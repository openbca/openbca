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codeName="{DD97A8EA-9A9A-E61F-A557-7D5A7D7259CE}"/>
  <workbookPr codeName="ThisWorkbook"/>
  <mc:AlternateContent xmlns:mc="http://schemas.openxmlformats.org/markup-compatibility/2006">
    <mc:Choice Requires="x15">
      <x15ac:absPath xmlns:x15ac="http://schemas.microsoft.com/office/spreadsheetml/2010/11/ac" url="https://icfonlineapc-my.sharepoint.com/personal/59212_icf_com/Documents/Python Projects/OpenBCA_test_CK/nspm/Input/"/>
    </mc:Choice>
  </mc:AlternateContent>
  <xr:revisionPtr revIDLastSave="7696" documentId="13_ncr:1_{8F2769B1-6561-4E10-85D2-D97D822D67EF}" xr6:coauthVersionLast="47" xr6:coauthVersionMax="47" xr10:uidLastSave="{930D5E9B-4521-423D-B12D-27531F22C254}"/>
  <bookViews>
    <workbookView xWindow="-110" yWindow="-110" windowWidth="19420" windowHeight="11500" firstSheet="1" activeTab="1" xr2:uid="{00000000-000D-0000-FFFF-FFFF00000000}"/>
  </bookViews>
  <sheets>
    <sheet name="Front Page" sheetId="2" r:id="rId1"/>
    <sheet name="Common Data" sheetId="1" r:id="rId2"/>
    <sheet name="Validations" sheetId="10" r:id="rId3"/>
    <sheet name="Dictionary" sheetId="91" r:id="rId4"/>
    <sheet name="Configuration Data" sheetId="13" r:id="rId5"/>
    <sheet name="Energy Generation (Electric)" sheetId="176" r:id="rId6"/>
    <sheet name="Generation Capacity (Electric)" sheetId="177" r:id="rId7"/>
    <sheet name="Transmission Capacity (Electric" sheetId="178" r:id="rId8"/>
  </sheets>
  <definedNames>
    <definedName name="baseYear">'Common Data'!$D$5</definedName>
    <definedName name="DefTable">Dictionary!$A$5:$C$95</definedName>
    <definedName name="inflationRate">'Common Data'!$D$8</definedName>
    <definedName name="periodTable">'Common Data'!$B$31:$Z$43</definedName>
    <definedName name="progYear">'Common Data'!$D$6</definedName>
    <definedName name="subsetNames">'Common Data'!$D$21:$D$23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76" l="1"/>
  <c r="B7" i="13"/>
  <c r="B6" i="13"/>
  <c r="B5" i="13"/>
  <c r="C8" i="13"/>
  <c r="C9" i="13"/>
  <c r="C10" i="13"/>
  <c r="C11" i="13"/>
  <c r="C12" i="13"/>
  <c r="C13" i="13"/>
  <c r="C14" i="13"/>
  <c r="C15" i="13"/>
  <c r="C16" i="13"/>
  <c r="A1" i="178"/>
  <c r="A1" i="177"/>
  <c r="C43" i="13" l="1"/>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7" i="13"/>
  <c r="C5" i="13"/>
  <c r="O46" i="10" l="1" a="1"/>
  <c r="O46" i="10" s="1"/>
  <c r="O45" i="10" a="1"/>
  <c r="O45" i="10" s="1"/>
  <c r="O44" i="10" a="1"/>
  <c r="O44" i="10" s="1"/>
  <c r="O43" i="10" a="1"/>
  <c r="O43" i="10" s="1"/>
  <c r="O42" i="10" a="1"/>
  <c r="O42" i="10" s="1"/>
  <c r="O41" i="10" a="1"/>
  <c r="O41" i="10" s="1"/>
  <c r="O40" i="10" a="1"/>
  <c r="O40" i="10" s="1"/>
  <c r="O39" i="10" a="1"/>
  <c r="O39" i="10" s="1"/>
  <c r="O38" i="10" a="1"/>
  <c r="O38" i="10" s="1"/>
  <c r="O37" i="10" a="1"/>
  <c r="O37" i="10" s="1"/>
  <c r="O36" i="10" a="1"/>
  <c r="O36" i="10" s="1"/>
  <c r="O35" i="10" a="1"/>
  <c r="O35" i="10" s="1"/>
  <c r="O34" i="10" a="1"/>
  <c r="O34" i="10" s="1"/>
  <c r="O33" i="10" a="1"/>
  <c r="O33" i="10" s="1"/>
  <c r="O32" i="10" a="1"/>
  <c r="O32" i="10" s="1"/>
  <c r="O31" i="10" a="1"/>
  <c r="O31" i="10" s="1"/>
  <c r="O30" i="10" a="1"/>
  <c r="O30" i="10" s="1"/>
  <c r="O29" i="10" a="1"/>
  <c r="O29" i="10" s="1"/>
  <c r="O28" i="10" a="1"/>
  <c r="O28" i="10" s="1"/>
  <c r="O27" i="10" a="1"/>
  <c r="O27" i="10" s="1"/>
  <c r="O26" i="10" a="1"/>
  <c r="O26" i="10" s="1"/>
  <c r="O25" i="10" a="1"/>
  <c r="O25" i="10" s="1"/>
  <c r="O24" i="10" a="1"/>
  <c r="O24" i="10" s="1"/>
  <c r="O23" i="10" a="1"/>
  <c r="O23" i="10" s="1"/>
  <c r="O22" i="10" a="1"/>
  <c r="O22" i="10" s="1"/>
  <c r="O21" i="10" a="1"/>
  <c r="O21" i="10" s="1"/>
  <c r="O20" i="10" a="1"/>
  <c r="O20" i="10" s="1"/>
  <c r="O19" i="10" a="1"/>
  <c r="O19" i="10" s="1"/>
  <c r="O18" i="10" a="1"/>
  <c r="O18" i="10" s="1"/>
  <c r="O17" i="10" a="1"/>
  <c r="O17" i="10" s="1"/>
  <c r="O16" i="10" a="1"/>
  <c r="O16" i="10" s="1"/>
  <c r="O15" i="10" a="1"/>
  <c r="O15" i="10" s="1"/>
  <c r="O14" i="10" a="1"/>
  <c r="O14" i="10" s="1"/>
  <c r="O13" i="10" a="1"/>
  <c r="O13" i="10" s="1"/>
  <c r="O12" i="10" a="1"/>
  <c r="O12" i="10" s="1"/>
  <c r="O11" i="10" a="1"/>
  <c r="O11" i="10" s="1"/>
  <c r="O10" i="10" a="1"/>
  <c r="O10" i="10" s="1"/>
  <c r="O9" i="10" a="1"/>
  <c r="O9" i="10" s="1"/>
  <c r="O8" i="10" a="1"/>
  <c r="O8" i="10" s="1"/>
  <c r="O7" i="10" a="1"/>
  <c r="O7" i="10" s="1"/>
  <c r="O6" i="10" a="1"/>
  <c r="O6" i="10" s="1"/>
  <c r="O5" i="10" a="1"/>
  <c r="O5" i="10" s="1"/>
  <c r="O4" i="10" a="1"/>
  <c r="O4" i="10" s="1"/>
  <c r="O3" i="10" a="1"/>
  <c r="O3" i="10" s="1"/>
  <c r="D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tc={ECC36BCE-0FFC-414A-9384-A4AA75955B73}</author>
  </authors>
  <commentList>
    <comment ref="G5" authorId="0" shapeId="0" xr:uid="{ECC36BCE-0FFC-414A-9384-A4AA75955B73}">
      <text>
        <t>[Threaded comment]
Your version of Excel allows you to read this threaded comment; however, any edits to it will get removed if the file is opened in a newer version of Excel. Learn more: https://go.microsoft.com/fwlink/?linkid=870924
Comment:
    Formula based on 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<sst xmlns="http://schemas.openxmlformats.org/spreadsheetml/2006/main" count="1564" uniqueCount="226">
  <si>
    <t xml:space="preserve">Developed by ICF and Recurve </t>
  </si>
  <si>
    <t>Tool Usage Guidance</t>
  </si>
  <si>
    <t>About</t>
  </si>
  <si>
    <t xml:space="preserve">The CONFIG file is used in conjunction with the System Input and Program Data File  for the Open BCA tool to calculate Cost Effectiveness of a portfolio as per NPSM guidelines. </t>
  </si>
  <si>
    <t>Data Formatting</t>
  </si>
  <si>
    <t>Sheet Glossary</t>
  </si>
  <si>
    <t>Color</t>
  </si>
  <si>
    <t>Action</t>
  </si>
  <si>
    <t>User Input</t>
  </si>
  <si>
    <t>NSPM Resources</t>
  </si>
  <si>
    <t>Link to NSPM</t>
  </si>
  <si>
    <t>https://www.nationalenergyscreeningproject.org/national-standard-practice-manual/</t>
  </si>
  <si>
    <t xml:space="preserve">Link to MTR </t>
  </si>
  <si>
    <t>https://www.nationalenergyscreeningproject.org/resources/quantifying-impacts/</t>
  </si>
  <si>
    <t>Acronyms</t>
  </si>
  <si>
    <t>JST - Jurisdiction Specific Test</t>
  </si>
  <si>
    <t>INPUTS AND ASSUMPTIONS</t>
  </si>
  <si>
    <t>Units</t>
  </si>
  <si>
    <t>Value</t>
  </si>
  <si>
    <t>Analysis Period</t>
  </si>
  <si>
    <t>Base Year/Dollar Year</t>
  </si>
  <si>
    <t>Year</t>
  </si>
  <si>
    <t xml:space="preserve">Program Year 1 </t>
  </si>
  <si>
    <t>Analysis End Year (30-Year)</t>
  </si>
  <si>
    <t>Inflation Rate</t>
  </si>
  <si>
    <t>%</t>
  </si>
  <si>
    <t>Discount Rates</t>
  </si>
  <si>
    <t>Jurisdiction Specific Test</t>
  </si>
  <si>
    <t>Real %</t>
  </si>
  <si>
    <t>Secondary Test</t>
  </si>
  <si>
    <t>Line Losses and Reserve Margin</t>
  </si>
  <si>
    <t>Average Line Losses - kWh</t>
  </si>
  <si>
    <t>Average Line Losses -  Peak kW</t>
  </si>
  <si>
    <t>Average Line Losses - Gas Therm</t>
  </si>
  <si>
    <t>Reserve Margin</t>
  </si>
  <si>
    <t>Version &amp; Subset Setup</t>
  </si>
  <si>
    <t xml:space="preserve">Enter Individual Version and Subset Names Below </t>
  </si>
  <si>
    <t>ex: Climate Zone 1</t>
  </si>
  <si>
    <t>Default</t>
  </si>
  <si>
    <t>ex: Climate Zone 2</t>
  </si>
  <si>
    <t>ex: Climate Zone 3</t>
  </si>
  <si>
    <t>Custom Periods (Max Supported: 4)</t>
  </si>
  <si>
    <t>Hour -&gt;</t>
  </si>
  <si>
    <t>Jan</t>
  </si>
  <si>
    <t>Winter Off-Peak</t>
  </si>
  <si>
    <t>Winter On-Peak</t>
  </si>
  <si>
    <t>Feb</t>
  </si>
  <si>
    <t>Mar</t>
  </si>
  <si>
    <t>Apr</t>
  </si>
  <si>
    <t>May</t>
  </si>
  <si>
    <t>Jun</t>
  </si>
  <si>
    <t>Summer Off-Peak</t>
  </si>
  <si>
    <t>Summer On-Peak</t>
  </si>
  <si>
    <t>Jul</t>
  </si>
  <si>
    <t>Aug</t>
  </si>
  <si>
    <t>Sep</t>
  </si>
  <si>
    <t>Oct</t>
  </si>
  <si>
    <t>Nov</t>
  </si>
  <si>
    <t>Dec</t>
  </si>
  <si>
    <t>Custom Period Names (Customize below)</t>
  </si>
  <si>
    <t>Custom Period 1</t>
  </si>
  <si>
    <t>Custom Period 2</t>
  </si>
  <si>
    <t>Custom Period 3</t>
  </si>
  <si>
    <t>Custom Period 4</t>
  </si>
  <si>
    <t>FOR REFERENCE</t>
  </si>
  <si>
    <t>Test Set Up:</t>
  </si>
  <si>
    <t>NSPM - Traditional Tests for Reference</t>
  </si>
  <si>
    <t>Color Code</t>
  </si>
  <si>
    <t>Value Stream</t>
  </si>
  <si>
    <t>Include if data is available</t>
  </si>
  <si>
    <t>Input Location</t>
  </si>
  <si>
    <t>Utility Cost Test</t>
  </si>
  <si>
    <t>Total Resource Cost Test</t>
  </si>
  <si>
    <t>Societal Cost Test</t>
  </si>
  <si>
    <t>Participant Cost Test</t>
  </si>
  <si>
    <t>Electric Utility Only</t>
  </si>
  <si>
    <t>Energy Generation (Electric)</t>
  </si>
  <si>
    <t>Yes</t>
  </si>
  <si>
    <t>Custom Period</t>
  </si>
  <si>
    <t>SYSTEM Input</t>
  </si>
  <si>
    <t>No</t>
  </si>
  <si>
    <t>Gas Utility Only</t>
  </si>
  <si>
    <t>Generation Capacity (Electric)</t>
  </si>
  <si>
    <t>Time Series - Annual</t>
  </si>
  <si>
    <t>Transmission Capacity (Electric)</t>
  </si>
  <si>
    <t>Distribution Capacity (Electric)</t>
  </si>
  <si>
    <t>Use as reference</t>
  </si>
  <si>
    <t>Environmental Compliance (Electric)</t>
  </si>
  <si>
    <t>RPS Compliance (Electric)</t>
  </si>
  <si>
    <t>Energy Market Price Effects (Electric)</t>
  </si>
  <si>
    <t>Capacity Market Price Effects (Electric)</t>
  </si>
  <si>
    <t>Ancillary Services (Electric)</t>
  </si>
  <si>
    <t>Utility Financial Incentives</t>
  </si>
  <si>
    <t xml:space="preserve">Utility Program Admin Costs </t>
  </si>
  <si>
    <t xml:space="preserve">Utility Performance Incentives </t>
  </si>
  <si>
    <t xml:space="preserve">Utility Credit and Collection Costs </t>
  </si>
  <si>
    <t>Utility Risk (Electric)</t>
  </si>
  <si>
    <t>Utiltiy Reliability (Electric)</t>
  </si>
  <si>
    <t>Utility Resilience (Electric)</t>
  </si>
  <si>
    <t>Fuel Supply and O&amp;M (NG)</t>
  </si>
  <si>
    <t>Capacity (NG)</t>
  </si>
  <si>
    <t>Environmental Compliance (NG)</t>
  </si>
  <si>
    <t>NG Market Price Effects (NG)</t>
  </si>
  <si>
    <t>Utility Risk (NG)</t>
  </si>
  <si>
    <t>Utiltiy Reliability (NG)</t>
  </si>
  <si>
    <t>Utility Resilience (NG)</t>
  </si>
  <si>
    <t>Societal Resilience</t>
  </si>
  <si>
    <t>GHG Emission Impact</t>
  </si>
  <si>
    <t>Other Environmental Impact</t>
  </si>
  <si>
    <t>Public Health Impact</t>
  </si>
  <si>
    <t>Economic Development &amp; Jobs Impact</t>
  </si>
  <si>
    <t>Energy Security</t>
  </si>
  <si>
    <t>Host Customer Incremental Costs</t>
  </si>
  <si>
    <t>PROGRAM Input</t>
  </si>
  <si>
    <t>Host Customer Transaction Costs</t>
  </si>
  <si>
    <t>Host Customer Interconnection Costs</t>
  </si>
  <si>
    <t>Host Customer Risk</t>
  </si>
  <si>
    <t>Host Customer Reliability</t>
  </si>
  <si>
    <t>Host Customer Resilience</t>
  </si>
  <si>
    <t xml:space="preserve">Host Customer Tax Incentives </t>
  </si>
  <si>
    <t>Host Customer NEIs</t>
  </si>
  <si>
    <t xml:space="preserve">Host Customer NEIs - LI </t>
  </si>
  <si>
    <t>Other Fuel Supply Impact</t>
  </si>
  <si>
    <t>CUSTOM V1</t>
  </si>
  <si>
    <t>CUSTOM V2</t>
  </si>
  <si>
    <t>CUSTOM V3</t>
  </si>
  <si>
    <t>CUSTOM V4</t>
  </si>
  <si>
    <t>CUSTOM V5</t>
  </si>
  <si>
    <t xml:space="preserve">Value Stream Calculation Types </t>
  </si>
  <si>
    <t>Adder ($/kWh)</t>
  </si>
  <si>
    <t>Adder ($/therm)</t>
  </si>
  <si>
    <t>Time Series - Monthly</t>
  </si>
  <si>
    <t xml:space="preserve">Adder (%) </t>
  </si>
  <si>
    <t>Time Series - Hourly</t>
  </si>
  <si>
    <t>List</t>
  </si>
  <si>
    <t>#</t>
  </si>
  <si>
    <t>Value Stream Calculation Type</t>
  </si>
  <si>
    <t>Definition</t>
  </si>
  <si>
    <t>The production or procurement of energy (kWh) from generation resources on behalf of customers</t>
  </si>
  <si>
    <t>The generation capacity (kW) required to meet the forecasted system peak load</t>
  </si>
  <si>
    <t>Maintaining the availability of the transmission system to transport electricity safely and reliably</t>
  </si>
  <si>
    <t>Maintaining the availability of the distribution system to transport electricity or gas safely and reliably</t>
  </si>
  <si>
    <t>Actions to comply with environmental regulations</t>
  </si>
  <si>
    <t>Actions to comply with renewable portfolio standards or clean energy standards</t>
  </si>
  <si>
    <t>The decrease (or increase) in wholesale market prices as a result of reduced (or increased) customer consumption</t>
  </si>
  <si>
    <t>Services required to maintain electric grid stability and power quality</t>
  </si>
  <si>
    <t>Utility financial support provided to DER host customers or other market actors to encourage DER implementation</t>
  </si>
  <si>
    <t>Utility Program Admin Costs</t>
  </si>
  <si>
    <t>Utility outreach to trade allies, technical training, marketing, and administration and management of DERs</t>
  </si>
  <si>
    <t>Utility Performance Incentives</t>
  </si>
  <si>
    <t>Incentives offered to utilities to encourage successful, effective implementation of DER programs</t>
  </si>
  <si>
    <t>Utility Credit and Collection Costs</t>
  </si>
  <si>
    <t>Bad debt, disconnections, reconnections</t>
  </si>
  <si>
    <t>Uncertainty including operational, technology, cybersecurity, financial, legal, reputational, and regulatory risks</t>
  </si>
  <si>
    <t>Utility Reliability (Electric)</t>
  </si>
  <si>
    <t>Maintaining generation, transmission, and distribution system to withstand instability, uncontrolled events, cascading failures, or unanticipated loss of system components</t>
  </si>
  <si>
    <t>The ability to anticipate, prepare for, and adapt to changing conditions and withstand, respond to, and recover rapidly from disruptions</t>
  </si>
  <si>
    <t>The fuel and O&amp;M impacts associated with gas or other fuels</t>
  </si>
  <si>
    <t>The gas capacity required to meet forecasted peak load</t>
  </si>
  <si>
    <t>Actions required to comply with environmental regulations</t>
  </si>
  <si>
    <t>NG Market Price Effects</t>
  </si>
  <si>
    <t>The decrease (or increase) in wholesale prices as a result of reduced (or increased) customer consumption</t>
  </si>
  <si>
    <t>Utility Reliability (NG)</t>
  </si>
  <si>
    <t>Maintaining the gas or other fuel system to withstand instability, uncontrolled events, cascading failures, or unanticipated loss of system components</t>
  </si>
  <si>
    <t>Resilience impacts beyond those experienced by utilities or host customers</t>
  </si>
  <si>
    <t>GHG emissions created by fossil-fueled energy resources</t>
  </si>
  <si>
    <t>Other air emissions, solid waste, land, water, and other environmental impacts</t>
  </si>
  <si>
    <t>Health impacts, medical costs, and productivity affected by health</t>
  </si>
  <si>
    <t>Incremental economic development and job impacts</t>
  </si>
  <si>
    <t>Energy imports and energy independence</t>
  </si>
  <si>
    <t>Costs incurred to install and operate DERs</t>
  </si>
  <si>
    <t>Other costs incurred to install and operate DERs</t>
  </si>
  <si>
    <t>Costs paid by host customer to interconnect DERs to the electricity grid</t>
  </si>
  <si>
    <t>Uncertainty including price volatility, power quality, outages, and operational risk related to failure of installed DER equipment and user error; this type of risk may depend on the type of DER</t>
  </si>
  <si>
    <t>The ability to prevent or reduce the duration of host customer outages</t>
  </si>
  <si>
    <t>Host Customer Tax Incentives</t>
  </si>
  <si>
    <t>Federal, state, and local tax incentives provided to host customers to defray the costs of some DERs</t>
  </si>
  <si>
    <t>Benefits and costs of DERs that are separate from energy-related impacts</t>
  </si>
  <si>
    <t>Host Customer NEIs – LI</t>
  </si>
  <si>
    <t>Non-energy benefits and costs that affect low-income DER host customers</t>
  </si>
  <si>
    <t>Month</t>
  </si>
  <si>
    <t>NSPM Definitions</t>
  </si>
  <si>
    <t>Dictionary and References</t>
  </si>
  <si>
    <t>Custom</t>
  </si>
  <si>
    <t>Discount rates</t>
  </si>
  <si>
    <t>Support/NSPM Definitions</t>
  </si>
  <si>
    <t>All results will be presented in a user-specified dollar year (e.g., 2025$)</t>
  </si>
  <si>
    <t>Default Inputs</t>
  </si>
  <si>
    <t>Time Series - Day</t>
  </si>
  <si>
    <t>User Input - Program Specific</t>
  </si>
  <si>
    <t>Adder (%)</t>
  </si>
  <si>
    <t>If Adder (%), specify</t>
  </si>
  <si>
    <t>A component of cost-effectiveness analysis which reflects a “time preference”—the relative weight given to short- versus long-term impacts. A higher discount rate gives more weight to short-term benefits and costs relative to long-term benefits and costs, while a lower discount rate gives greater weight to long-term impacts. Different cost-effectiveness tests may use different discount rates.</t>
  </si>
  <si>
    <t>Line losses</t>
  </si>
  <si>
    <t>A portion of all electricity produced at electric generation facilities is lost as it travels across transmission lines. Line losses grow exponentially with higher levels of load, and as such it is important that calculations account for marginal loss rates when determining this impact.</t>
  </si>
  <si>
    <t>Versioning</t>
  </si>
  <si>
    <t>Include values streams</t>
  </si>
  <si>
    <t xml:space="preserve">The user should select "Yes" if the value stream is included in any of the jurisdictions cost-effectiveness tests. The user configures the specific test at a later stage. </t>
  </si>
  <si>
    <t>Multiple Subsets</t>
  </si>
  <si>
    <t>If the user defined multiple subsets on the Common Data page, select which values streams should be segmented. All other value streams will apply uniformly across all measures.</t>
  </si>
  <si>
    <t>Data Granularity</t>
  </si>
  <si>
    <t>% Benefits of</t>
  </si>
  <si>
    <t xml:space="preserve">If the user selected "Adder %," this fields allows the user to select the base multiplier for the adder. </t>
  </si>
  <si>
    <t>This is the file in which the user enters the inputs.</t>
  </si>
  <si>
    <t>Support/ NSPM Definitions</t>
  </si>
  <si>
    <t>Data Granularity /Calculation Type</t>
  </si>
  <si>
    <t>Planning Reserve Margin</t>
  </si>
  <si>
    <t>Value Stream Configuration</t>
  </si>
  <si>
    <t>Cells requiring user input</t>
  </si>
  <si>
    <t>Calculated Cells</t>
  </si>
  <si>
    <t>Worksheets with Value Stream specific inputs</t>
  </si>
  <si>
    <t>Worksheets for set up</t>
  </si>
  <si>
    <t>Select the format of your avoided cost data.</t>
  </si>
  <si>
    <r>
      <t xml:space="preserve">In some cases, users may have multiple subsets of </t>
    </r>
    <r>
      <rPr>
        <sz val="11"/>
        <color rgb="FF000000"/>
        <rFont val="Aptos Narrow"/>
        <family val="2"/>
        <scheme val="minor"/>
      </rPr>
      <t>certain avoided costs that need to be incorporated into a BCA. For example, participants could span across multiple climate zones, or high transmission congestion zones. This tool allows for up to three subsets. On the "Configuration Data" tab, users will select which value streams require these subsets, and the tool will be the input templates accordingly. All other value streams will apply uniformly across all measures.</t>
    </r>
  </si>
  <si>
    <t>Version</t>
  </si>
  <si>
    <t>ex: 2024 Annual Report</t>
  </si>
  <si>
    <t>Subset (Min 1, Max 3 per Version)</t>
  </si>
  <si>
    <t>Enter Common data for Portfolio here</t>
  </si>
  <si>
    <t>Updated on: 2025-09-10 19.33</t>
  </si>
  <si>
    <t>Calculation Type: Time Series - Monthly</t>
  </si>
  <si>
    <t>Calculation Type: Time Series - Day</t>
  </si>
  <si>
    <t>Day</t>
  </si>
  <si>
    <t>Type of Day</t>
  </si>
  <si>
    <t>Weekday</t>
  </si>
  <si>
    <t>Weekend</t>
  </si>
  <si>
    <t>Updated on: 2025-09-11 14.16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</si>
</sst>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1"/>
      <color theme="1"/>
      <name val="Aptos Narrow"/>
      <family val="2"/>
      <scheme val="minor"/>
    </font>
    <font>
      <b/>
      <sz val="11"/>
      <color theme="1"/>
      <name val="Aptos Narrow"/>
      <family val="2"/>
      <scheme val="minor"/>
    </font>
    <font>
      <b/>
      <sz val="11"/>
      <name val="Aptos Narrow"/>
      <family val="2"/>
      <scheme val="minor"/>
    </font>
    <font>
      <sz val="11"/>
      <name val="Aptos Narrow"/>
      <family val="2"/>
      <scheme val="minor"/>
    </font>
    <font>
      <b/>
      <sz val="11"/>
      <color theme="8"/>
      <name val="Aptos Narrow"/>
      <family val="2"/>
      <scheme val="minor"/>
    </font>
    <font>
      <sz val="8"/>
      <name val="Aptos Narrow"/>
      <family val="2"/>
      <scheme val="minor"/>
    </font>
    <font>
      <sz val="11"/>
      <color theme="1"/>
      <name val="Aptos Narrow"/>
      <family val="2"/>
      <scheme val="minor"/>
    </font>
    <font>
      <b/>
      <sz val="20"/>
      <color theme="0"/>
      <name val="Aptos Narrow"/>
      <family val="2"/>
      <scheme val="minor"/>
    </font>
    <font>
      <sz val="11"/>
      <color rgb="FF0070C0"/>
      <name val="Aptos Narrow"/>
      <family val="2"/>
      <scheme val="minor"/>
    </font>
    <font>
      <i/>
      <sz val="11"/>
      <color theme="1"/>
      <name val="Aptos Narrow"/>
      <family val="2"/>
      <scheme val="minor"/>
    </font>
    <font>
      <sz val="11"/>
      <color theme="0"/>
      <name val="Aptos Narrow"/>
      <family val="2"/>
      <scheme val="minor"/>
    </font>
    <font>
      <b/>
      <sz val="16"/>
      <color theme="0"/>
      <name val="Aptos Narrow"/>
      <family val="2"/>
      <scheme val="minor"/>
    </font>
    <font>
      <b/>
      <sz val="12"/>
      <color theme="1"/>
      <name val="Aptos Narrow"/>
      <family val="2"/>
      <scheme val="minor"/>
    </font>
    <font>
      <b/>
      <sz val="12"/>
      <name val="Aptos Narrow"/>
      <family val="2"/>
      <scheme val="minor"/>
    </font>
    <font>
      <sz val="10"/>
      <name val="Aptos Narrow"/>
      <family val="2"/>
      <scheme val="minor"/>
    </font>
    <font>
      <i/>
      <sz val="11"/>
      <color rgb="FF808080"/>
      <name val="Aptos Narrow"/>
      <family val="2"/>
      <scheme val="minor"/>
    </font>
    <font>
      <u/>
      <sz val="11"/>
      <color theme="10"/>
      <name val="Aptos Narrow"/>
      <family val="2"/>
      <scheme val="minor"/>
    </font>
    <font>
      <sz val="11"/>
      <color theme="0" tint="-0.499984740745262"/>
      <name val="Aptos Narrow"/>
      <family val="2"/>
      <scheme val="minor"/>
    </font>
    <font>
      <sz val="10"/>
      <color theme="4" tint="-0.499984740745262"/>
      <name val="Aptos Narrow"/>
      <family val="2"/>
      <scheme val="minor"/>
    </font>
    <font>
      <sz val="11"/>
      <color theme="4" tint="-0.499984740745262"/>
      <name val="Aptos Narrow"/>
      <family val="2"/>
      <scheme val="minor"/>
    </font>
    <font>
      <sz val="11"/>
      <color rgb="FF7030A0"/>
      <name val="Aptos Narrow"/>
      <family val="2"/>
      <scheme val="minor"/>
    </font>
    <font>
      <b/>
      <sz val="20"/>
      <name val="Aptos Narrow"/>
      <family val="2"/>
      <scheme val="minor"/>
    </font>
    <font>
      <sz val="11"/>
      <color rgb="FF808080"/>
      <name val="Aptos Narrow"/>
      <family val="2"/>
      <scheme val="minor"/>
    </font>
    <font>
      <b/>
      <sz val="22"/>
      <color rgb="FFFFFFFF"/>
      <name val="Aptos Narrow"/>
      <family val="2"/>
      <scheme val="minor"/>
    </font>
    <font>
      <sz val="11"/>
      <color rgb="FFFF0000"/>
      <name val="Aptos Narrow"/>
      <family val="2"/>
      <scheme val="minor"/>
    </font>
    <font>
      <u/>
      <sz val="11"/>
      <color rgb="FF0785F2"/>
      <name val="Aptos Narrow"/>
      <family val="2"/>
      <scheme val="minor"/>
    </font>
    <font>
      <b/>
      <i/>
      <sz val="11"/>
      <color theme="1"/>
      <name val="Aptos Narrow"/>
      <family val="2"/>
      <scheme val="minor"/>
    </font>
    <font>
      <sz val="11"/>
      <color theme="1"/>
      <name val="Aptos Narrow"/>
      <family val="2"/>
      <scheme val="minor"/>
    </font>
    <font>
      <b/>
      <sz val="16"/>
      <color theme="1"/>
      <name val="Aptos Narrow"/>
      <family val="2"/>
      <scheme val="minor"/>
    </font>
    <font>
      <b/>
      <sz val="16"/>
      <color rgb="FFFFFFFF"/>
      <name val="Aptos Narrow"/>
      <family val="2"/>
      <scheme val="minor"/>
    </font>
    <font>
      <sz val="11"/>
      <color rgb="FF000000"/>
      <name val="Aptos Narrow"/>
      <family val="2"/>
      <scheme val="minor"/>
    </font>
    <font>
      <sz val="12"/>
      <color rgb="FF000000"/>
      <name val="Aptos Narrow"/>
      <family val="2"/>
    </font>
    <font>
      <sz val="11"/>
      <color rgb="FF000000"/>
      <name val="Aptos Narrow"/>
      <family val="2"/>
    </font>
    <font>
      <sz val="11"/>
      <color rgb="FF000000"/>
      <name val="Aptos Narrow"/>
      <family val="2"/>
      <scheme val="minor"/>
    </font>
    <font>
      <b/>
      <sz val="14"/>
      <color rgb="FF000000"/>
      <name val="Aptos Narrow"/>
      <family val="2"/>
      <scheme val="minor"/>
    </font>
    <font>
      <b/>
      <u/>
      <sz val="11"/>
      <color rgb="FF000000"/>
      <name val="Aptos Narrow"/>
      <family val="2"/>
      <scheme val="minor"/>
    </font>
    <font>
      <b/>
      <sz val="11"/>
      <color rgb="FF000000"/>
      <name val="Aptos Narrow"/>
      <family val="2"/>
      <scheme val="minor"/>
    </font>
    <font>
      <b/>
      <i/>
      <sz val="11"/>
      <color rgb="FF000000"/>
      <name val="Aptos Narrow"/>
      <family val="2"/>
      <scheme val="minor"/>
    </font>
    <font>
      <b/>
      <sz val="11"/>
      <color rgb="FFFF0000"/>
      <name val="Aptos Narrow"/>
      <family val="2"/>
      <scheme val="minor"/>
    </font>
    <font>
      <b/>
      <sz val="22"/>
      <color theme="0"/>
      <name val="Aptos Narrow"/>
      <family val="2"/>
      <scheme val="minor"/>
    </font>
  </fonts>
  <fills count="22">
    <fill>
      <patternFill patternType="none"/>
    </fill>
    <fill>
      <patternFill patternType="gray125"/>
    </fill>
    <fill>
      <patternFill patternType="solid">
        <fgColor theme="6"/>
        <bgColor indexed="64"/>
      </patternFill>
    </fill>
    <fill>
      <patternFill patternType="solid">
        <fgColor theme="0" tint="-4.9989318521683403E-2"/>
        <bgColor indexed="64"/>
      </patternFill>
    </fill>
    <fill>
      <patternFill patternType="solid">
        <fgColor theme="0"/>
        <bgColor indexed="64"/>
      </patternFill>
    </fill>
    <fill>
      <patternFill patternType="solid">
        <fgColor theme="4"/>
        <bgColor indexed="64"/>
      </patternFill>
    </fill>
    <fill>
      <patternFill patternType="solid">
        <fgColor theme="9" tint="0.79998168889431442"/>
        <bgColor indexed="64"/>
      </patternFill>
    </fill>
    <fill>
      <patternFill patternType="solid">
        <fgColor theme="7"/>
        <bgColor indexed="64"/>
      </patternFill>
    </fill>
    <fill>
      <patternFill patternType="solid">
        <fgColor rgb="FF30F298"/>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749992370372631"/>
        <bgColor indexed="64"/>
      </patternFill>
    </fill>
    <fill>
      <patternFill patternType="solid">
        <fgColor theme="6" tint="0.89999084444715716"/>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CCCCFF"/>
        <bgColor indexed="64"/>
      </patternFill>
    </fill>
    <fill>
      <patternFill patternType="solid">
        <fgColor rgb="FFCCECFF"/>
        <bgColor indexed="64"/>
      </patternFill>
    </fill>
    <fill>
      <patternFill patternType="solid">
        <fgColor rgb="FFBFBFBF"/>
        <bgColor indexed="64"/>
      </patternFill>
    </fill>
    <fill>
      <patternFill patternType="solid">
        <fgColor rgb="FF000000"/>
        <bgColor indexed="64"/>
      </patternFill>
    </fill>
    <fill>
      <patternFill patternType="solid">
        <fgColor rgb="FFFFFFFF"/>
        <bgColor indexed="64"/>
      </patternFill>
    </fill>
    <fill>
      <patternFill patternType="solid">
        <fgColor rgb="FFFFC628"/>
        <bgColor rgb="FF000000"/>
      </patternFill>
    </fill>
    <fill>
      <patternFill patternType="solid">
        <fgColor rgb="FFF2F2F2"/>
        <bgColor rgb="FF000000"/>
      </patternFill>
    </fill>
  </fills>
  <borders count="61">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medium">
        <color indexed="64"/>
      </left>
      <right style="thin">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theme="1"/>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right style="thin">
        <color theme="1"/>
      </right>
      <top/>
      <bottom style="thin">
        <color theme="1"/>
      </bottom>
      <diagonal/>
    </border>
    <border>
      <left style="thin">
        <color indexed="64"/>
      </left>
      <right style="thin">
        <color theme="1"/>
      </right>
      <top style="thin">
        <color indexed="64"/>
      </top>
      <bottom/>
      <diagonal/>
    </border>
    <border>
      <left style="thin">
        <color indexed="64"/>
      </left>
      <right style="thin">
        <color theme="1"/>
      </right>
      <top/>
      <bottom/>
      <diagonal/>
    </border>
    <border>
      <left style="thin">
        <color indexed="64"/>
      </left>
      <right style="thin">
        <color theme="1"/>
      </right>
      <top/>
      <bottom style="thin">
        <color indexed="64"/>
      </bottom>
      <diagonal/>
    </border>
    <border>
      <left style="double">
        <color auto="1"/>
      </left>
      <right style="double">
        <color auto="1"/>
      </right>
      <top style="double">
        <color auto="1"/>
      </top>
      <bottom style="double">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medium">
        <color indexed="64"/>
      </bottom>
      <diagonal/>
    </border>
    <border>
      <left/>
      <right/>
      <top style="medium">
        <color indexed="64"/>
      </top>
      <bottom/>
      <diagonal/>
    </border>
    <border>
      <left style="thin">
        <color indexed="64"/>
      </left>
      <right style="medium">
        <color indexed="64"/>
      </right>
      <top/>
      <bottom style="medium">
        <color indexed="64"/>
      </bottom>
      <diagonal/>
    </border>
  </borders>
  <cellStyleXfs count="3">
    <xf numFmtId="0" fontId="0" fillId="0" borderId="0"/>
    <xf numFmtId="9" fontId="6" fillId="0" borderId="0" applyFont="0" applyFill="0" applyBorder="0" applyAlignment="0" applyProtection="0"/>
    <xf numFmtId="0" fontId="16" fillId="0" borderId="0" applyNumberFormat="0" applyFill="0" applyBorder="0" applyAlignment="0" applyProtection="0"/>
  </cellStyleXfs>
  <cellXfs count="186">
    <xf numFmtId="0" fontId="0" fillId="0" borderId="0" xfId="0"/>
    <xf numFmtId="0" fontId="1" fillId="3" borderId="0" xfId="0" applyFont="1" applyFill="1" applyProtection="1">
      <protection locked="0"/>
    </xf>
    <xf numFmtId="0" fontId="1" fillId="4" borderId="12" xfId="0" applyFont="1" applyFill="1" applyBorder="1" applyProtection="1">
      <protection locked="0"/>
    </xf>
    <xf numFmtId="0" fontId="1" fillId="4" borderId="2" xfId="0" applyFont="1" applyFill="1" applyBorder="1" applyProtection="1">
      <protection locked="0"/>
    </xf>
    <xf numFmtId="0" fontId="3" fillId="3" borderId="24" xfId="0" applyFont="1" applyFill="1" applyBorder="1"/>
    <xf numFmtId="0" fontId="3" fillId="3" borderId="25" xfId="0" applyFont="1" applyFill="1" applyBorder="1"/>
    <xf numFmtId="0" fontId="3" fillId="4" borderId="26" xfId="0" applyFont="1" applyFill="1" applyBorder="1"/>
    <xf numFmtId="0" fontId="3" fillId="3" borderId="26" xfId="0" applyFont="1" applyFill="1" applyBorder="1"/>
    <xf numFmtId="0" fontId="1" fillId="3" borderId="23" xfId="0" applyFont="1" applyFill="1" applyBorder="1"/>
    <xf numFmtId="0" fontId="0" fillId="3" borderId="0" xfId="0" applyFill="1"/>
    <xf numFmtId="0" fontId="1" fillId="3" borderId="26" xfId="0" applyFont="1" applyFill="1" applyBorder="1"/>
    <xf numFmtId="0" fontId="1" fillId="3" borderId="24" xfId="0" applyFont="1" applyFill="1" applyBorder="1"/>
    <xf numFmtId="0" fontId="2" fillId="8" borderId="27" xfId="0" applyFont="1" applyFill="1" applyBorder="1" applyAlignment="1">
      <alignment vertical="top"/>
    </xf>
    <xf numFmtId="0" fontId="2" fillId="8" borderId="25" xfId="0" applyFont="1" applyFill="1" applyBorder="1" applyAlignment="1">
      <alignment vertical="top"/>
    </xf>
    <xf numFmtId="0" fontId="11" fillId="2" borderId="0" xfId="0" applyFont="1" applyFill="1" applyAlignment="1">
      <alignment vertical="center"/>
    </xf>
    <xf numFmtId="0" fontId="7" fillId="2" borderId="0" xfId="0" applyFont="1" applyFill="1" applyAlignment="1">
      <alignment vertical="center"/>
    </xf>
    <xf numFmtId="0" fontId="12" fillId="0" borderId="23" xfId="0" applyFont="1" applyBorder="1" applyAlignment="1">
      <alignment vertical="center"/>
    </xf>
    <xf numFmtId="0" fontId="7" fillId="3" borderId="0" xfId="0" applyFont="1" applyFill="1" applyAlignment="1">
      <alignment vertical="center"/>
    </xf>
    <xf numFmtId="0" fontId="11" fillId="3" borderId="0" xfId="0" applyFont="1" applyFill="1" applyAlignment="1">
      <alignment vertical="center"/>
    </xf>
    <xf numFmtId="0" fontId="10" fillId="3" borderId="0" xfId="0" applyFont="1" applyFill="1"/>
    <xf numFmtId="0" fontId="3" fillId="3" borderId="0" xfId="0" applyFont="1" applyFill="1"/>
    <xf numFmtId="1" fontId="9" fillId="4" borderId="31" xfId="0" applyNumberFormat="1" applyFont="1" applyFill="1" applyBorder="1" applyAlignment="1">
      <alignment horizontal="center"/>
    </xf>
    <xf numFmtId="1" fontId="9" fillId="4" borderId="40" xfId="0" applyNumberFormat="1" applyFont="1" applyFill="1" applyBorder="1" applyAlignment="1">
      <alignment horizontal="center"/>
    </xf>
    <xf numFmtId="1" fontId="9" fillId="4" borderId="13" xfId="0" applyNumberFormat="1" applyFont="1" applyFill="1" applyBorder="1" applyAlignment="1">
      <alignment horizontal="center"/>
    </xf>
    <xf numFmtId="1" fontId="9" fillId="4" borderId="41" xfId="0" applyNumberFormat="1" applyFont="1" applyFill="1" applyBorder="1" applyAlignment="1">
      <alignment horizontal="center"/>
    </xf>
    <xf numFmtId="1" fontId="9" fillId="4" borderId="32" xfId="0" applyNumberFormat="1" applyFont="1" applyFill="1" applyBorder="1" applyAlignment="1">
      <alignment horizontal="center"/>
    </xf>
    <xf numFmtId="1" fontId="9" fillId="4" borderId="42" xfId="0" applyNumberFormat="1" applyFont="1" applyFill="1" applyBorder="1" applyAlignment="1">
      <alignment horizontal="center"/>
    </xf>
    <xf numFmtId="0" fontId="2" fillId="0" borderId="23" xfId="0" applyFont="1" applyBorder="1" applyAlignment="1">
      <alignment horizontal="center" vertical="center"/>
    </xf>
    <xf numFmtId="0" fontId="2" fillId="0" borderId="23" xfId="0" applyFont="1" applyBorder="1" applyAlignment="1" applyProtection="1">
      <alignment horizontal="center" vertical="center"/>
      <protection locked="0"/>
    </xf>
    <xf numFmtId="0" fontId="2" fillId="5" borderId="27" xfId="0" applyFont="1" applyFill="1" applyBorder="1" applyAlignment="1">
      <alignment vertical="center"/>
    </xf>
    <xf numFmtId="0" fontId="13" fillId="5" borderId="21" xfId="0" applyFont="1" applyFill="1" applyBorder="1" applyAlignment="1">
      <alignment horizontal="center" vertical="center"/>
    </xf>
    <xf numFmtId="0" fontId="13" fillId="5" borderId="25" xfId="0" applyFont="1" applyFill="1" applyBorder="1" applyAlignment="1" applyProtection="1">
      <alignment vertical="center"/>
      <protection locked="0"/>
    </xf>
    <xf numFmtId="0" fontId="14" fillId="4" borderId="26" xfId="0" applyFont="1" applyFill="1" applyBorder="1" applyAlignment="1">
      <alignment horizontal="center" vertical="center"/>
    </xf>
    <xf numFmtId="0" fontId="14" fillId="4" borderId="23" xfId="0" applyFont="1" applyFill="1" applyBorder="1" applyAlignment="1">
      <alignment horizontal="center" vertical="center"/>
    </xf>
    <xf numFmtId="0" fontId="14" fillId="0" borderId="23" xfId="0" applyFont="1" applyBorder="1" applyAlignment="1">
      <alignment horizontal="center" vertical="center"/>
    </xf>
    <xf numFmtId="0" fontId="2" fillId="8" borderId="27" xfId="0" applyFont="1" applyFill="1" applyBorder="1" applyAlignment="1">
      <alignment vertical="center"/>
    </xf>
    <xf numFmtId="0" fontId="2" fillId="8" borderId="23" xfId="0" applyFont="1" applyFill="1" applyBorder="1" applyAlignment="1">
      <alignment vertical="center"/>
    </xf>
    <xf numFmtId="0" fontId="0" fillId="0" borderId="23" xfId="0" applyBorder="1" applyAlignment="1">
      <alignment horizontal="center" vertical="center"/>
    </xf>
    <xf numFmtId="0" fontId="0" fillId="0" borderId="23" xfId="0" applyBorder="1" applyAlignment="1">
      <alignment horizontal="center"/>
    </xf>
    <xf numFmtId="0" fontId="0" fillId="4" borderId="36" xfId="0" applyFill="1" applyBorder="1" applyAlignment="1">
      <alignment horizontal="left"/>
    </xf>
    <xf numFmtId="1" fontId="0" fillId="9" borderId="37" xfId="0" applyNumberFormat="1" applyFill="1" applyBorder="1"/>
    <xf numFmtId="1" fontId="0" fillId="10" borderId="37" xfId="0" applyNumberFormat="1" applyFill="1" applyBorder="1"/>
    <xf numFmtId="1" fontId="0" fillId="11" borderId="37" xfId="0" applyNumberFormat="1" applyFill="1" applyBorder="1"/>
    <xf numFmtId="0" fontId="0" fillId="4" borderId="38" xfId="0" applyFill="1" applyBorder="1" applyAlignment="1">
      <alignment horizontal="left"/>
    </xf>
    <xf numFmtId="1" fontId="0" fillId="12" borderId="39" xfId="0" applyNumberFormat="1" applyFill="1" applyBorder="1"/>
    <xf numFmtId="0" fontId="0" fillId="0" borderId="30" xfId="0" applyBorder="1" applyAlignment="1">
      <alignment horizontal="center"/>
    </xf>
    <xf numFmtId="0" fontId="3" fillId="4" borderId="31" xfId="0" applyFont="1" applyFill="1" applyBorder="1"/>
    <xf numFmtId="0" fontId="3" fillId="4" borderId="13" xfId="0" applyFont="1" applyFill="1" applyBorder="1"/>
    <xf numFmtId="0" fontId="1" fillId="5" borderId="23" xfId="0" applyFont="1" applyFill="1" applyBorder="1"/>
    <xf numFmtId="0" fontId="0" fillId="5" borderId="23" xfId="0" applyFill="1" applyBorder="1" applyAlignment="1">
      <alignment horizontal="center"/>
    </xf>
    <xf numFmtId="0" fontId="0" fillId="2" borderId="0" xfId="0" applyFill="1" applyProtection="1">
      <protection locked="0"/>
    </xf>
    <xf numFmtId="0" fontId="0" fillId="3" borderId="0" xfId="0" applyFill="1" applyProtection="1">
      <protection locked="0"/>
    </xf>
    <xf numFmtId="0" fontId="0" fillId="0" borderId="0" xfId="0" applyProtection="1">
      <protection locked="0"/>
    </xf>
    <xf numFmtId="0" fontId="0" fillId="4" borderId="2" xfId="0" applyFill="1" applyBorder="1" applyProtection="1">
      <protection locked="0"/>
    </xf>
    <xf numFmtId="0" fontId="0" fillId="4" borderId="0" xfId="0" applyFill="1" applyProtection="1">
      <protection locked="0"/>
    </xf>
    <xf numFmtId="0" fontId="0" fillId="4" borderId="7" xfId="0" applyFill="1" applyBorder="1" applyProtection="1">
      <protection locked="0"/>
    </xf>
    <xf numFmtId="0" fontId="0" fillId="4" borderId="13" xfId="0" applyFill="1" applyBorder="1" applyProtection="1">
      <protection locked="0"/>
    </xf>
    <xf numFmtId="0" fontId="0" fillId="4" borderId="5" xfId="0" applyFill="1" applyBorder="1" applyProtection="1">
      <protection locked="0"/>
    </xf>
    <xf numFmtId="0" fontId="0" fillId="4" borderId="8" xfId="0" applyFill="1" applyBorder="1" applyProtection="1">
      <protection locked="0"/>
    </xf>
    <xf numFmtId="0" fontId="16" fillId="4" borderId="13" xfId="2" applyFill="1" applyBorder="1" applyProtection="1">
      <protection locked="0"/>
    </xf>
    <xf numFmtId="0" fontId="0" fillId="4" borderId="17" xfId="0" applyFill="1" applyBorder="1" applyProtection="1">
      <protection locked="0"/>
    </xf>
    <xf numFmtId="0" fontId="0" fillId="4" borderId="18" xfId="0"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0" fillId="6" borderId="0" xfId="0" applyFill="1" applyProtection="1">
      <protection locked="0"/>
    </xf>
    <xf numFmtId="0" fontId="13" fillId="5" borderId="30" xfId="0" applyFont="1" applyFill="1" applyBorder="1" applyAlignment="1">
      <alignment vertical="top"/>
    </xf>
    <xf numFmtId="0" fontId="0" fillId="5" borderId="21" xfId="0" applyFill="1" applyBorder="1"/>
    <xf numFmtId="0" fontId="13" fillId="5" borderId="21" xfId="0" applyFont="1" applyFill="1" applyBorder="1" applyAlignment="1">
      <alignment vertical="top"/>
    </xf>
    <xf numFmtId="0" fontId="0" fillId="5" borderId="22" xfId="0" applyFill="1" applyBorder="1"/>
    <xf numFmtId="0" fontId="1" fillId="0" borderId="23" xfId="0" applyFont="1" applyBorder="1" applyAlignment="1">
      <alignment horizontal="center" vertical="center"/>
    </xf>
    <xf numFmtId="0" fontId="1" fillId="4" borderId="23" xfId="0" applyFont="1" applyFill="1" applyBorder="1" applyAlignment="1">
      <alignment horizontal="center" vertical="center"/>
    </xf>
    <xf numFmtId="0" fontId="0" fillId="5" borderId="23" xfId="0" applyFill="1" applyBorder="1"/>
    <xf numFmtId="0" fontId="10" fillId="2" borderId="0" xfId="0" applyFont="1" applyFill="1" applyAlignment="1">
      <alignment horizontal="center" wrapText="1"/>
    </xf>
    <xf numFmtId="0" fontId="17" fillId="13" borderId="0" xfId="0" applyFont="1" applyFill="1"/>
    <xf numFmtId="0" fontId="0" fillId="0" borderId="43" xfId="0" applyBorder="1"/>
    <xf numFmtId="0" fontId="10" fillId="2" borderId="23" xfId="0" applyFont="1" applyFill="1" applyBorder="1"/>
    <xf numFmtId="0" fontId="0" fillId="0" borderId="44" xfId="0" applyBorder="1"/>
    <xf numFmtId="0" fontId="0" fillId="0" borderId="45" xfId="0" applyBorder="1"/>
    <xf numFmtId="0" fontId="0" fillId="0" borderId="46" xfId="0" applyBorder="1"/>
    <xf numFmtId="0" fontId="10" fillId="2" borderId="30" xfId="0" applyFont="1" applyFill="1" applyBorder="1" applyAlignment="1">
      <alignment horizontal="center" wrapText="1"/>
    </xf>
    <xf numFmtId="0" fontId="10" fillId="2" borderId="21" xfId="0" applyFont="1" applyFill="1" applyBorder="1" applyAlignment="1">
      <alignment horizontal="center" wrapText="1"/>
    </xf>
    <xf numFmtId="0" fontId="10" fillId="2" borderId="22" xfId="0" applyFont="1" applyFill="1" applyBorder="1" applyAlignment="1">
      <alignment horizontal="center" wrapText="1"/>
    </xf>
    <xf numFmtId="0" fontId="0" fillId="0" borderId="47" xfId="0" applyBorder="1"/>
    <xf numFmtId="0" fontId="0" fillId="0" borderId="48" xfId="0" applyBorder="1"/>
    <xf numFmtId="0" fontId="0" fillId="0" borderId="49" xfId="0" applyBorder="1"/>
    <xf numFmtId="0" fontId="0" fillId="0" borderId="50" xfId="0" applyBorder="1"/>
    <xf numFmtId="0" fontId="0" fillId="0" borderId="51" xfId="0" applyBorder="1"/>
    <xf numFmtId="0" fontId="0" fillId="0" borderId="52" xfId="0" applyBorder="1"/>
    <xf numFmtId="0" fontId="0" fillId="0" borderId="53" xfId="0" applyBorder="1"/>
    <xf numFmtId="0" fontId="0" fillId="0" borderId="54" xfId="0" applyBorder="1"/>
    <xf numFmtId="0" fontId="0" fillId="0" borderId="55" xfId="0" applyBorder="1"/>
    <xf numFmtId="0" fontId="18" fillId="14" borderId="23" xfId="0" applyFont="1" applyFill="1" applyBorder="1" applyAlignment="1">
      <alignment horizontal="center" vertical="center"/>
    </xf>
    <xf numFmtId="10" fontId="18" fillId="14" borderId="23" xfId="1" applyNumberFormat="1" applyFont="1" applyFill="1" applyBorder="1" applyAlignment="1">
      <alignment horizontal="center" vertical="center"/>
    </xf>
    <xf numFmtId="0" fontId="2" fillId="8" borderId="25" xfId="0" applyFont="1" applyFill="1" applyBorder="1" applyAlignment="1">
      <alignment vertical="center"/>
    </xf>
    <xf numFmtId="0" fontId="2" fillId="8" borderId="26" xfId="0" applyFont="1" applyFill="1" applyBorder="1" applyAlignment="1">
      <alignment vertical="center"/>
    </xf>
    <xf numFmtId="0" fontId="18" fillId="14" borderId="43" xfId="0" applyFont="1" applyFill="1" applyBorder="1" applyAlignment="1">
      <alignment horizontal="center" vertical="center"/>
    </xf>
    <xf numFmtId="0" fontId="14" fillId="4" borderId="28" xfId="0" applyFont="1" applyFill="1" applyBorder="1" applyAlignment="1">
      <alignment horizontal="left" vertical="center" indent="1"/>
    </xf>
    <xf numFmtId="0" fontId="14" fillId="4" borderId="27" xfId="0" applyFont="1" applyFill="1" applyBorder="1" applyAlignment="1">
      <alignment horizontal="left" vertical="center" indent="1"/>
    </xf>
    <xf numFmtId="0" fontId="14" fillId="0" borderId="27" xfId="0" applyFont="1" applyBorder="1" applyAlignment="1">
      <alignment horizontal="left" vertical="center" indent="1"/>
    </xf>
    <xf numFmtId="0" fontId="14" fillId="4" borderId="35" xfId="0" applyFont="1" applyFill="1" applyBorder="1" applyAlignment="1">
      <alignment horizontal="left" vertical="center" indent="1"/>
    </xf>
    <xf numFmtId="0" fontId="2" fillId="5" borderId="27" xfId="0" applyFont="1" applyFill="1" applyBorder="1" applyAlignment="1">
      <alignment vertical="top"/>
    </xf>
    <xf numFmtId="0" fontId="15" fillId="4" borderId="23" xfId="0" applyFont="1" applyFill="1" applyBorder="1" applyAlignment="1">
      <alignment horizontal="left" vertical="center"/>
    </xf>
    <xf numFmtId="0" fontId="19" fillId="14" borderId="23" xfId="0" applyFont="1" applyFill="1" applyBorder="1" applyAlignment="1">
      <alignment horizontal="center" vertical="center"/>
    </xf>
    <xf numFmtId="0" fontId="19" fillId="14" borderId="26" xfId="0" applyFont="1" applyFill="1" applyBorder="1"/>
    <xf numFmtId="0" fontId="1" fillId="5" borderId="23" xfId="0" applyFont="1" applyFill="1" applyBorder="1" applyAlignment="1">
      <alignment horizontal="center" vertical="center"/>
    </xf>
    <xf numFmtId="0" fontId="8" fillId="16" borderId="23" xfId="0" applyFont="1" applyFill="1" applyBorder="1" applyAlignment="1">
      <alignment horizontal="center"/>
    </xf>
    <xf numFmtId="0" fontId="20" fillId="15" borderId="23" xfId="0" applyFont="1" applyFill="1" applyBorder="1" applyAlignment="1">
      <alignment horizontal="center"/>
    </xf>
    <xf numFmtId="0" fontId="3" fillId="4" borderId="25" xfId="0" applyFont="1" applyFill="1" applyBorder="1" applyAlignment="1">
      <alignment horizontal="center"/>
    </xf>
    <xf numFmtId="0" fontId="3" fillId="4" borderId="24" xfId="0" applyFont="1" applyFill="1" applyBorder="1" applyAlignment="1">
      <alignment horizontal="center"/>
    </xf>
    <xf numFmtId="0" fontId="1" fillId="4" borderId="43" xfId="0" applyFont="1" applyFill="1" applyBorder="1" applyAlignment="1">
      <alignment horizontal="center" vertical="center"/>
    </xf>
    <xf numFmtId="0" fontId="21" fillId="3" borderId="0" xfId="0" applyFont="1" applyFill="1" applyAlignment="1">
      <alignment vertical="center"/>
    </xf>
    <xf numFmtId="10" fontId="18" fillId="14" borderId="22" xfId="1" applyNumberFormat="1" applyFont="1" applyFill="1" applyBorder="1" applyAlignment="1" applyProtection="1">
      <alignment horizontal="center" vertical="center"/>
    </xf>
    <xf numFmtId="10" fontId="18" fillId="14" borderId="14" xfId="1" applyNumberFormat="1" applyFont="1" applyFill="1" applyBorder="1" applyAlignment="1" applyProtection="1">
      <alignment horizontal="center" vertical="center"/>
    </xf>
    <xf numFmtId="10" fontId="18" fillId="14" borderId="23" xfId="1" applyNumberFormat="1" applyFont="1" applyFill="1" applyBorder="1" applyAlignment="1" applyProtection="1">
      <alignment horizontal="center" vertical="center"/>
    </xf>
    <xf numFmtId="0" fontId="10" fillId="2" borderId="0" xfId="0" applyFont="1" applyFill="1" applyAlignment="1">
      <alignment horizontal="left" wrapText="1"/>
    </xf>
    <xf numFmtId="0" fontId="19" fillId="14" borderId="25" xfId="0" applyFont="1" applyFill="1" applyBorder="1"/>
    <xf numFmtId="0" fontId="19" fillId="14" borderId="24" xfId="0" applyFont="1" applyFill="1" applyBorder="1"/>
    <xf numFmtId="0" fontId="0" fillId="4" borderId="3" xfId="0" applyFill="1" applyBorder="1" applyProtection="1">
      <protection locked="0"/>
    </xf>
    <xf numFmtId="0" fontId="0" fillId="4" borderId="6" xfId="0" applyFill="1" applyBorder="1" applyProtection="1">
      <protection locked="0"/>
    </xf>
    <xf numFmtId="0" fontId="1" fillId="4" borderId="19" xfId="0" applyFont="1" applyFill="1" applyBorder="1" applyProtection="1">
      <protection locked="0"/>
    </xf>
    <xf numFmtId="0" fontId="11" fillId="4" borderId="56" xfId="0" applyFont="1" applyFill="1" applyBorder="1" applyAlignment="1">
      <alignment vertical="center"/>
    </xf>
    <xf numFmtId="0" fontId="11" fillId="4" borderId="57" xfId="0" applyFont="1" applyFill="1" applyBorder="1" applyAlignment="1">
      <alignment vertical="center"/>
    </xf>
    <xf numFmtId="0" fontId="0" fillId="4" borderId="8" xfId="0" applyFill="1" applyBorder="1"/>
    <xf numFmtId="0" fontId="0" fillId="4" borderId="7" xfId="0" applyFill="1" applyBorder="1"/>
    <xf numFmtId="0" fontId="0" fillId="4" borderId="17" xfId="0" applyFill="1" applyBorder="1"/>
    <xf numFmtId="0" fontId="0" fillId="4" borderId="20" xfId="0" applyFill="1" applyBorder="1"/>
    <xf numFmtId="0" fontId="22" fillId="17" borderId="24" xfId="0" applyFont="1" applyFill="1" applyBorder="1"/>
    <xf numFmtId="0" fontId="22" fillId="17" borderId="26" xfId="0" applyFont="1" applyFill="1" applyBorder="1"/>
    <xf numFmtId="0" fontId="16" fillId="0" borderId="0" xfId="2"/>
    <xf numFmtId="0" fontId="0" fillId="3" borderId="0" xfId="0" applyFill="1" applyAlignment="1">
      <alignment horizontal="center" vertical="center"/>
    </xf>
    <xf numFmtId="0" fontId="25" fillId="19" borderId="24" xfId="2" applyFont="1" applyFill="1" applyBorder="1"/>
    <xf numFmtId="0" fontId="22" fillId="17" borderId="24" xfId="2" applyFont="1" applyFill="1" applyBorder="1"/>
    <xf numFmtId="0" fontId="28" fillId="2" borderId="0" xfId="0" applyFont="1" applyFill="1" applyAlignment="1">
      <alignment vertical="center"/>
    </xf>
    <xf numFmtId="0" fontId="28" fillId="3" borderId="0" xfId="0" applyFont="1" applyFill="1" applyAlignment="1">
      <alignment vertical="center"/>
    </xf>
    <xf numFmtId="0" fontId="27" fillId="3" borderId="0" xfId="0" applyFont="1" applyFill="1"/>
    <xf numFmtId="0" fontId="24" fillId="3" borderId="0" xfId="0" applyFont="1" applyFill="1"/>
    <xf numFmtId="0" fontId="27" fillId="3" borderId="0" xfId="0" applyFont="1" applyFill="1" applyAlignment="1">
      <alignment horizontal="center"/>
    </xf>
    <xf numFmtId="0" fontId="33" fillId="0" borderId="0" xfId="0" applyFont="1"/>
    <xf numFmtId="0" fontId="34" fillId="0" borderId="0" xfId="0" applyFont="1"/>
    <xf numFmtId="0" fontId="35" fillId="0" borderId="0" xfId="0" applyFont="1"/>
    <xf numFmtId="0" fontId="36" fillId="0" borderId="0" xfId="0" applyFont="1"/>
    <xf numFmtId="0" fontId="33" fillId="20" borderId="29" xfId="0" applyFont="1" applyFill="1" applyBorder="1"/>
    <xf numFmtId="0" fontId="33" fillId="0" borderId="29" xfId="0" applyFont="1" applyBorder="1"/>
    <xf numFmtId="0" fontId="33" fillId="21" borderId="0" xfId="0" applyFont="1" applyFill="1" applyAlignment="1">
      <alignment horizontal="center" vertical="center"/>
    </xf>
    <xf numFmtId="0" fontId="38" fillId="21" borderId="26" xfId="0" applyFont="1" applyFill="1" applyBorder="1"/>
    <xf numFmtId="0" fontId="24" fillId="21" borderId="24" xfId="0" applyFont="1" applyFill="1" applyBorder="1"/>
    <xf numFmtId="0" fontId="2" fillId="21" borderId="26" xfId="0" applyFont="1" applyFill="1" applyBorder="1"/>
    <xf numFmtId="0" fontId="39" fillId="2" borderId="0" xfId="0" applyFont="1" applyFill="1" applyAlignment="1">
      <alignment vertical="center"/>
    </xf>
    <xf numFmtId="0" fontId="4" fillId="4" borderId="23" xfId="0" applyFont="1" applyFill="1" applyBorder="1" applyProtection="1">
      <protection locked="0"/>
    </xf>
    <xf numFmtId="0" fontId="4" fillId="4" borderId="60" xfId="0" applyFont="1" applyFill="1" applyBorder="1" applyProtection="1">
      <protection locked="0"/>
    </xf>
    <xf numFmtId="0" fontId="19" fillId="14" borderId="30" xfId="0" applyFont="1" applyFill="1" applyBorder="1" applyProtection="1">
      <protection locked="0"/>
    </xf>
    <xf numFmtId="0" fontId="0" fillId="4" borderId="30" xfId="0" applyFill="1" applyBorder="1" applyProtection="1">
      <protection locked="0"/>
    </xf>
    <xf numFmtId="0" fontId="3" fillId="4" borderId="17" xfId="0" applyFont="1" applyFill="1" applyBorder="1" applyProtection="1">
      <protection locked="0"/>
    </xf>
    <xf numFmtId="0" fontId="19" fillId="5" borderId="8" xfId="0" applyFont="1" applyFill="1" applyBorder="1" applyProtection="1">
      <protection locked="0"/>
    </xf>
    <xf numFmtId="0" fontId="0" fillId="2" borderId="58" xfId="0" applyFill="1" applyBorder="1" applyProtection="1">
      <protection locked="0"/>
    </xf>
    <xf numFmtId="0" fontId="30" fillId="0" borderId="0" xfId="0" applyFont="1"/>
    <xf numFmtId="0" fontId="30" fillId="0" borderId="29" xfId="0" applyFont="1" applyBorder="1"/>
    <xf numFmtId="0" fontId="3" fillId="4" borderId="26" xfId="0" applyFont="1" applyFill="1" applyBorder="1" applyAlignment="1">
      <alignment horizontal="center"/>
    </xf>
    <xf numFmtId="0" fontId="1" fillId="7" borderId="1" xfId="0" applyFont="1" applyFill="1" applyBorder="1" applyAlignment="1" applyProtection="1">
      <alignment horizontal="left"/>
      <protection locked="0"/>
    </xf>
    <xf numFmtId="0" fontId="1" fillId="7" borderId="2" xfId="0" applyFont="1" applyFill="1" applyBorder="1" applyAlignment="1" applyProtection="1">
      <alignment horizontal="left"/>
      <protection locked="0"/>
    </xf>
    <xf numFmtId="0" fontId="1" fillId="7" borderId="3" xfId="0" applyFont="1" applyFill="1" applyBorder="1" applyAlignment="1" applyProtection="1">
      <alignment horizontal="left"/>
      <protection locked="0"/>
    </xf>
    <xf numFmtId="0" fontId="1" fillId="7" borderId="9" xfId="0" applyFont="1" applyFill="1" applyBorder="1" applyAlignment="1" applyProtection="1">
      <alignment horizontal="left"/>
      <protection locked="0"/>
    </xf>
    <xf numFmtId="0" fontId="1" fillId="7" borderId="10" xfId="0" applyFont="1" applyFill="1" applyBorder="1" applyAlignment="1" applyProtection="1">
      <alignment horizontal="left"/>
      <protection locked="0"/>
    </xf>
    <xf numFmtId="0" fontId="1" fillId="7" borderId="11" xfId="0" applyFont="1" applyFill="1" applyBorder="1" applyAlignment="1" applyProtection="1">
      <alignment horizontal="left"/>
      <protection locked="0"/>
    </xf>
    <xf numFmtId="0" fontId="1" fillId="7" borderId="56" xfId="0" applyFont="1" applyFill="1" applyBorder="1" applyAlignment="1" applyProtection="1">
      <alignment horizontal="left"/>
      <protection locked="0"/>
    </xf>
    <xf numFmtId="0" fontId="1" fillId="7" borderId="59" xfId="0" applyFont="1" applyFill="1" applyBorder="1" applyAlignment="1" applyProtection="1">
      <alignment horizontal="left"/>
      <protection locked="0"/>
    </xf>
    <xf numFmtId="0" fontId="1" fillId="7" borderId="57" xfId="0" applyFont="1" applyFill="1" applyBorder="1" applyAlignment="1" applyProtection="1">
      <alignment horizontal="left"/>
      <protection locked="0"/>
    </xf>
    <xf numFmtId="0" fontId="0" fillId="4" borderId="4" xfId="0" applyFill="1" applyBorder="1" applyAlignment="1" applyProtection="1">
      <alignment horizontal="left" vertical="center" wrapText="1"/>
      <protection locked="0"/>
    </xf>
    <xf numFmtId="0" fontId="0" fillId="4" borderId="5" xfId="0" applyFill="1" applyBorder="1" applyAlignment="1" applyProtection="1">
      <alignment horizontal="left" vertical="center" wrapText="1"/>
      <protection locked="0"/>
    </xf>
    <xf numFmtId="0" fontId="0" fillId="4" borderId="6" xfId="0" applyFill="1" applyBorder="1" applyAlignment="1" applyProtection="1">
      <alignment horizontal="left" vertical="center" wrapText="1"/>
      <protection locked="0"/>
    </xf>
    <xf numFmtId="0" fontId="0" fillId="4" borderId="17" xfId="0" applyFill="1" applyBorder="1" applyAlignment="1" applyProtection="1">
      <alignment horizontal="left" vertical="center" wrapText="1"/>
      <protection locked="0"/>
    </xf>
    <xf numFmtId="0" fontId="0" fillId="4" borderId="19" xfId="0" applyFill="1" applyBorder="1" applyAlignment="1" applyProtection="1">
      <alignment horizontal="left" vertical="center" wrapText="1"/>
      <protection locked="0"/>
    </xf>
    <xf numFmtId="0" fontId="0" fillId="4" borderId="20" xfId="0" applyFill="1" applyBorder="1" applyAlignment="1" applyProtection="1">
      <alignment horizontal="left" vertical="center" wrapText="1"/>
      <protection locked="0"/>
    </xf>
    <xf numFmtId="0" fontId="14" fillId="4" borderId="33" xfId="0" applyFont="1" applyFill="1" applyBorder="1" applyAlignment="1">
      <alignment horizontal="left" vertical="center" indent="1"/>
    </xf>
    <xf numFmtId="0" fontId="14" fillId="4" borderId="16" xfId="0" applyFont="1" applyFill="1" applyBorder="1" applyAlignment="1">
      <alignment horizontal="left" vertical="center" indent="1"/>
    </xf>
    <xf numFmtId="0" fontId="14" fillId="4" borderId="34" xfId="0" applyFont="1" applyFill="1" applyBorder="1" applyAlignment="1">
      <alignment horizontal="left" vertical="center" indent="1"/>
    </xf>
    <xf numFmtId="0" fontId="14" fillId="5" borderId="30" xfId="0" applyFont="1" applyFill="1" applyBorder="1" applyAlignment="1">
      <alignment horizontal="center" vertical="top"/>
    </xf>
    <xf numFmtId="0" fontId="14" fillId="5" borderId="22" xfId="0" applyFont="1" applyFill="1" applyBorder="1" applyAlignment="1">
      <alignment horizontal="center" vertical="top"/>
    </xf>
    <xf numFmtId="0" fontId="26" fillId="3" borderId="15" xfId="0" applyFont="1" applyFill="1" applyBorder="1" applyAlignment="1">
      <alignment horizontal="center" vertical="top" wrapText="1"/>
    </xf>
    <xf numFmtId="0" fontId="33" fillId="0" borderId="0" xfId="0" applyFont="1"/>
    <xf numFmtId="0" fontId="1" fillId="5" borderId="30" xfId="0" applyFont="1" applyFill="1" applyBorder="1" applyAlignment="1">
      <alignment horizontal="center" vertical="center"/>
    </xf>
    <xf numFmtId="0" fontId="1" fillId="5" borderId="21" xfId="0" applyFont="1" applyFill="1" applyBorder="1" applyAlignment="1">
      <alignment horizontal="center" vertical="center"/>
    </xf>
    <xf numFmtId="0" fontId="1" fillId="5" borderId="22" xfId="0" applyFont="1" applyFill="1" applyBorder="1" applyAlignment="1">
      <alignment horizontal="center" vertical="center"/>
    </xf>
    <xf numFmtId="0" fontId="37" fillId="21" borderId="0" xfId="0" applyFont="1" applyFill="1" applyAlignment="1">
      <alignment horizontal="center" vertical="top" wrapText="1"/>
    </xf>
    <xf numFmtId="0" fontId="23" fillId="18" borderId="0" xfId="0" applyFont="1" applyFill="1" applyAlignment="1">
      <alignment horizontal="left" vertical="center"/>
    </xf>
    <xf numFmtId="0" fontId="29" fillId="18" borderId="0" xfId="0" applyFont="1" applyFill="1" applyAlignment="1">
      <alignment horizontal="left" vertical="center"/>
    </xf>
  </cellXfs>
  <cellStyles count="3">
    <cellStyle name="Hyperlink" xfId="2" builtinId="8"/>
    <cellStyle name="Normal" xfId="0" builtinId="0"/>
    <cellStyle name="Percent" xfId="1" builtinId="5"/>
  </cellStyles>
  <dxfs count="7">
    <dxf>
      <fill>
        <patternFill>
          <bgColor theme="0" tint="-0.14996795556505021"/>
        </patternFill>
      </fill>
    </dxf>
    <dxf>
      <fill>
        <patternFill>
          <bgColor theme="0" tint="-0.14996795556505021"/>
        </patternFill>
      </fill>
    </dxf>
    <dxf>
      <font>
        <color theme="0" tint="-0.24994659260841701"/>
      </font>
    </dxf>
    <dxf>
      <fill>
        <patternFill>
          <bgColor theme="5" tint="0.59996337778862885"/>
        </patternFill>
      </fill>
    </dxf>
    <dxf>
      <fill>
        <patternFill>
          <bgColor theme="5" tint="0.79998168889431442"/>
        </patternFill>
      </fill>
    </dxf>
    <dxf>
      <fill>
        <patternFill>
          <bgColor theme="6" tint="0.749961851863155"/>
        </patternFill>
      </fill>
    </dxf>
    <dxf>
      <fill>
        <patternFill>
          <bgColor theme="6" tint="0.89996032593768116"/>
        </patternFill>
      </fill>
    </dxf>
  </dxfs>
  <tableStyles count="0" defaultTableStyle="TableStyleMedium2" defaultPivotStyle="PivotStyleMedium9"/>
  <colors>
    <mruColors>
      <color rgb="FFCCCCFF"/>
      <color rgb="FFCCECFF"/>
      <color rgb="FF30F2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1053899</xdr:colOff>
      <xdr:row>0</xdr:row>
      <xdr:rowOff>75636</xdr:rowOff>
    </xdr:from>
    <xdr:to>
      <xdr:col>12</xdr:col>
      <xdr:colOff>1430482</xdr:colOff>
      <xdr:row>2</xdr:row>
      <xdr:rowOff>58148</xdr:rowOff>
    </xdr:to>
    <xdr:pic>
      <xdr:nvPicPr>
        <xdr:cNvPr id="2" name="Picture 24">
          <a:extLst>
            <a:ext uri="{FF2B5EF4-FFF2-40B4-BE49-F238E27FC236}">
              <a16:creationId xmlns:a16="http://schemas.microsoft.com/office/drawing/2014/main" id="{59AB7963-AF11-4A33-B8B6-4B5611518761}"/>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1099" y="75636"/>
          <a:ext cx="381663" cy="368592"/>
        </a:xfrm>
        <a:prstGeom prst="rect">
          <a:avLst/>
        </a:prstGeom>
      </xdr:spPr>
    </xdr:pic>
    <xdr:clientData/>
  </xdr:twoCellAnchor>
  <xdr:twoCellAnchor editAs="oneCell">
    <xdr:from>
      <xdr:col>12</xdr:col>
      <xdr:colOff>1358646</xdr:colOff>
      <xdr:row>0</xdr:row>
      <xdr:rowOff>74353</xdr:rowOff>
    </xdr:from>
    <xdr:to>
      <xdr:col>12</xdr:col>
      <xdr:colOff>1701051</xdr:colOff>
      <xdr:row>2</xdr:row>
      <xdr:rowOff>63216</xdr:rowOff>
    </xdr:to>
    <xdr:pic>
      <xdr:nvPicPr>
        <xdr:cNvPr id="3" name="Picture 25">
          <a:extLst>
            <a:ext uri="{FF2B5EF4-FFF2-40B4-BE49-F238E27FC236}">
              <a16:creationId xmlns:a16="http://schemas.microsoft.com/office/drawing/2014/main" id="{09BCF319-8AAC-4217-8870-E83510755675}"/>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74353"/>
          <a:ext cx="341135" cy="368593"/>
        </a:xfrm>
        <a:prstGeom prst="rect">
          <a:avLst/>
        </a:prstGeom>
      </xdr:spPr>
    </xdr:pic>
    <xdr:clientData/>
  </xdr:twoCellAnchor>
  <xdr:twoCellAnchor editAs="oneCell">
    <xdr:from>
      <xdr:col>12</xdr:col>
      <xdr:colOff>1358646</xdr:colOff>
      <xdr:row>2</xdr:row>
      <xdr:rowOff>2632</xdr:rowOff>
    </xdr:from>
    <xdr:to>
      <xdr:col>12</xdr:col>
      <xdr:colOff>1701051</xdr:colOff>
      <xdr:row>3</xdr:row>
      <xdr:rowOff>173558</xdr:rowOff>
    </xdr:to>
    <xdr:pic>
      <xdr:nvPicPr>
        <xdr:cNvPr id="4" name="Picture 26">
          <a:extLst>
            <a:ext uri="{FF2B5EF4-FFF2-40B4-BE49-F238E27FC236}">
              <a16:creationId xmlns:a16="http://schemas.microsoft.com/office/drawing/2014/main" id="{B10F5CE8-81DB-4E8B-8ECA-5DAE1223DA1F}"/>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383632"/>
          <a:ext cx="341135" cy="360156"/>
        </a:xfrm>
        <a:prstGeom prst="rect">
          <a:avLst/>
        </a:prstGeom>
      </xdr:spPr>
    </xdr:pic>
    <xdr:clientData/>
  </xdr:twoCellAnchor>
  <xdr:twoCellAnchor editAs="oneCell">
    <xdr:from>
      <xdr:col>12</xdr:col>
      <xdr:colOff>1058269</xdr:colOff>
      <xdr:row>2</xdr:row>
      <xdr:rowOff>6033</xdr:rowOff>
    </xdr:from>
    <xdr:to>
      <xdr:col>12</xdr:col>
      <xdr:colOff>1429411</xdr:colOff>
      <xdr:row>3</xdr:row>
      <xdr:rowOff>172696</xdr:rowOff>
    </xdr:to>
    <xdr:pic>
      <xdr:nvPicPr>
        <xdr:cNvPr id="5" name="Picture 27">
          <a:extLst>
            <a:ext uri="{FF2B5EF4-FFF2-40B4-BE49-F238E27FC236}">
              <a16:creationId xmlns:a16="http://schemas.microsoft.com/office/drawing/2014/main" id="{B25BB125-136B-4AC1-8C76-AFCDDB0E9A4C}"/>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10335619" y="387033"/>
          <a:ext cx="373682" cy="359703"/>
        </a:xfrm>
        <a:prstGeom prst="rect">
          <a:avLst/>
        </a:prstGeom>
      </xdr:spPr>
    </xdr:pic>
    <xdr:clientData/>
  </xdr:twoCellAnchor>
  <xdr:oneCellAnchor>
    <xdr:from>
      <xdr:col>0</xdr:col>
      <xdr:colOff>19050</xdr:colOff>
      <xdr:row>0</xdr:row>
      <xdr:rowOff>38100</xdr:rowOff>
    </xdr:from>
    <xdr:ext cx="5848350" cy="734121"/>
    <xdr:sp macro="" textlink="">
      <xdr:nvSpPr>
        <xdr:cNvPr id="6" name="TextBox 28">
          <a:extLst>
            <a:ext uri="{FF2B5EF4-FFF2-40B4-BE49-F238E27FC236}">
              <a16:creationId xmlns:a16="http://schemas.microsoft.com/office/drawing/2014/main" id="{AE102A0C-3E91-4B4F-9287-B838692786AF}"/>
            </a:ext>
          </a:extLst>
        </xdr:cNvPr>
        <xdr:cNvSpPr txBox="1"/>
      </xdr:nvSpPr>
      <xdr:spPr>
        <a:xfrm>
          <a:off x="19050" y="38100"/>
          <a:ext cx="5848350" cy="7341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4000" b="0">
              <a:solidFill>
                <a:schemeClr val="accent6">
                  <a:lumMod val="20000"/>
                  <a:lumOff val="80000"/>
                </a:schemeClr>
              </a:solidFill>
              <a:latin typeface="DM Sans Medium" pitchFamily="2" charset="0"/>
            </a:rPr>
            <a:t>OpenBCA CONFIG</a:t>
          </a:r>
          <a:endParaRPr lang="en-US" sz="4000" b="0">
            <a:solidFill>
              <a:schemeClr val="accent5"/>
            </a:solidFill>
            <a:latin typeface="DM Sans" pitchFamily="2"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5</xdr:col>
      <xdr:colOff>139700</xdr:colOff>
      <xdr:row>2</xdr:row>
      <xdr:rowOff>76200</xdr:rowOff>
    </xdr:from>
    <xdr:to>
      <xdr:col>6</xdr:col>
      <xdr:colOff>1014730</xdr:colOff>
      <xdr:row>4</xdr:row>
      <xdr:rowOff>62230</xdr:rowOff>
    </xdr:to>
    <xdr:sp macro="" textlink="">
      <xdr:nvSpPr>
        <xdr:cNvPr id="4106" name="btnCreateSystem" hidden="1">
          <a:extLst>
            <a:ext uri="{63B3BB69-23CF-44E3-9099-C40C66FF867C}">
              <a14:compatExt xmlns:a14="http://schemas.microsoft.com/office/drawing/2010/main"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215900</xdr:colOff>
      <xdr:row>2</xdr:row>
      <xdr:rowOff>88900</xdr:rowOff>
    </xdr:from>
    <xdr:to>
      <xdr:col>6</xdr:col>
      <xdr:colOff>1028700</xdr:colOff>
      <xdr:row>4</xdr:row>
      <xdr:rowOff>96520</xdr:rowOff>
    </xdr:to>
    <xdr:sp macro="" textlink="">
      <xdr:nvSpPr>
        <xdr:cNvPr id="4110" name="btnCreateSheets" hidden="1">
          <a:extLst>
            <a:ext uri="{63B3BB69-23CF-44E3-9099-C40C66FF867C}">
              <a14:compatExt xmlns:a14="http://schemas.microsoft.com/office/drawing/2010/main" spid="_x0000_s4110"/>
            </a:ext>
            <a:ext uri="{FF2B5EF4-FFF2-40B4-BE49-F238E27FC236}">
              <a16:creationId xmlns:a16="http://schemas.microsoft.com/office/drawing/2014/main" id="{00000000-0008-0000-0100-00000E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0</xdr:col>
          <xdr:colOff>342900</xdr:colOff>
          <xdr:row>4</xdr:row>
          <xdr:rowOff>12700</xdr:rowOff>
        </xdr:from>
        <xdr:to>
          <xdr:col>0</xdr:col>
          <xdr:colOff>622300</xdr:colOff>
          <xdr:row>5</xdr:row>
          <xdr:rowOff>12700</xdr:rowOff>
        </xdr:to>
        <xdr:sp macro="" textlink="">
          <xdr:nvSpPr>
            <xdr:cNvPr id="4112" name="Button 16" hidden="1">
              <a:extLst>
                <a:ext uri="{63B3BB69-23CF-44E3-9099-C40C66FF867C}">
                  <a14:compatExt spid="_x0000_s4112"/>
                </a:ext>
                <a:ext uri="{FF2B5EF4-FFF2-40B4-BE49-F238E27FC236}">
                  <a16:creationId xmlns:a16="http://schemas.microsoft.com/office/drawing/2014/main" id="{00000000-0008-0000-0100-000010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8</xdr:row>
          <xdr:rowOff>12700</xdr:rowOff>
        </xdr:from>
        <xdr:to>
          <xdr:col>0</xdr:col>
          <xdr:colOff>622300</xdr:colOff>
          <xdr:row>9</xdr:row>
          <xdr:rowOff>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2</xdr:row>
          <xdr:rowOff>88900</xdr:rowOff>
        </xdr:from>
        <xdr:to>
          <xdr:col>6</xdr:col>
          <xdr:colOff>1104900</xdr:colOff>
          <xdr:row>4</xdr:row>
          <xdr:rowOff>50800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1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Create System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xdr:colOff>
          <xdr:row>4</xdr:row>
          <xdr:rowOff>152400</xdr:rowOff>
        </xdr:from>
        <xdr:to>
          <xdr:col>6</xdr:col>
          <xdr:colOff>1130300</xdr:colOff>
          <xdr:row>6</xdr:row>
          <xdr:rowOff>165100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1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Set up Program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12</xdr:row>
          <xdr:rowOff>12700</xdr:rowOff>
        </xdr:from>
        <xdr:to>
          <xdr:col>0</xdr:col>
          <xdr:colOff>622300</xdr:colOff>
          <xdr:row>13</xdr:row>
          <xdr:rowOff>12700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100-00001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15</xdr:row>
          <xdr:rowOff>12700</xdr:rowOff>
        </xdr:from>
        <xdr:to>
          <xdr:col>0</xdr:col>
          <xdr:colOff>622300</xdr:colOff>
          <xdr:row>16</xdr:row>
          <xdr:rowOff>12700</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100-000018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18</xdr:row>
          <xdr:rowOff>12700</xdr:rowOff>
        </xdr:from>
        <xdr:to>
          <xdr:col>0</xdr:col>
          <xdr:colOff>622300</xdr:colOff>
          <xdr:row>19</xdr:row>
          <xdr:rowOff>25400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4</xdr:row>
          <xdr:rowOff>12700</xdr:rowOff>
        </xdr:from>
        <xdr:to>
          <xdr:col>0</xdr:col>
          <xdr:colOff>571500</xdr:colOff>
          <xdr:row>4</xdr:row>
          <xdr:rowOff>241300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5</xdr:row>
          <xdr:rowOff>12700</xdr:rowOff>
        </xdr:from>
        <xdr:to>
          <xdr:col>0</xdr:col>
          <xdr:colOff>571500</xdr:colOff>
          <xdr:row>5</xdr:row>
          <xdr:rowOff>241300</xdr:rowOff>
        </xdr:to>
        <xdr:sp macro="" textlink="">
          <xdr:nvSpPr>
            <xdr:cNvPr id="10288" name="Button 48" hidden="1">
              <a:extLst>
                <a:ext uri="{63B3BB69-23CF-44E3-9099-C40C66FF867C}">
                  <a14:compatExt spid="_x0000_s10288"/>
                </a:ext>
                <a:ext uri="{FF2B5EF4-FFF2-40B4-BE49-F238E27FC236}">
                  <a16:creationId xmlns:a16="http://schemas.microsoft.com/office/drawing/2014/main" id="{00000000-0008-0000-0400-000030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6</xdr:row>
          <xdr:rowOff>12700</xdr:rowOff>
        </xdr:from>
        <xdr:to>
          <xdr:col>0</xdr:col>
          <xdr:colOff>571500</xdr:colOff>
          <xdr:row>6</xdr:row>
          <xdr:rowOff>241300</xdr:rowOff>
        </xdr:to>
        <xdr:sp macro="" textlink="">
          <xdr:nvSpPr>
            <xdr:cNvPr id="10289" name="Button 49" hidden="1">
              <a:extLst>
                <a:ext uri="{63B3BB69-23CF-44E3-9099-C40C66FF867C}">
                  <a14:compatExt spid="_x0000_s10289"/>
                </a:ext>
                <a:ext uri="{FF2B5EF4-FFF2-40B4-BE49-F238E27FC236}">
                  <a16:creationId xmlns:a16="http://schemas.microsoft.com/office/drawing/2014/main" id="{00000000-0008-0000-0400-000031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7</xdr:row>
          <xdr:rowOff>12700</xdr:rowOff>
        </xdr:from>
        <xdr:to>
          <xdr:col>0</xdr:col>
          <xdr:colOff>571500</xdr:colOff>
          <xdr:row>7</xdr:row>
          <xdr:rowOff>241300</xdr:rowOff>
        </xdr:to>
        <xdr:sp macro="" textlink="">
          <xdr:nvSpPr>
            <xdr:cNvPr id="10290" name="Button 50" hidden="1">
              <a:extLst>
                <a:ext uri="{63B3BB69-23CF-44E3-9099-C40C66FF867C}">
                  <a14:compatExt spid="_x0000_s10290"/>
                </a:ext>
                <a:ext uri="{FF2B5EF4-FFF2-40B4-BE49-F238E27FC236}">
                  <a16:creationId xmlns:a16="http://schemas.microsoft.com/office/drawing/2014/main" id="{00000000-0008-0000-0400-000032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8</xdr:row>
          <xdr:rowOff>12700</xdr:rowOff>
        </xdr:from>
        <xdr:to>
          <xdr:col>0</xdr:col>
          <xdr:colOff>571500</xdr:colOff>
          <xdr:row>8</xdr:row>
          <xdr:rowOff>241300</xdr:rowOff>
        </xdr:to>
        <xdr:sp macro="" textlink="">
          <xdr:nvSpPr>
            <xdr:cNvPr id="10291" name="Button 51" hidden="1">
              <a:extLst>
                <a:ext uri="{63B3BB69-23CF-44E3-9099-C40C66FF867C}">
                  <a14:compatExt spid="_x0000_s10291"/>
                </a:ext>
                <a:ext uri="{FF2B5EF4-FFF2-40B4-BE49-F238E27FC236}">
                  <a16:creationId xmlns:a16="http://schemas.microsoft.com/office/drawing/2014/main" id="{00000000-0008-0000-0400-000033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9</xdr:row>
          <xdr:rowOff>12700</xdr:rowOff>
        </xdr:from>
        <xdr:to>
          <xdr:col>0</xdr:col>
          <xdr:colOff>571500</xdr:colOff>
          <xdr:row>9</xdr:row>
          <xdr:rowOff>241300</xdr:rowOff>
        </xdr:to>
        <xdr:sp macro="" textlink="">
          <xdr:nvSpPr>
            <xdr:cNvPr id="10292" name="Button 52" hidden="1">
              <a:extLst>
                <a:ext uri="{63B3BB69-23CF-44E3-9099-C40C66FF867C}">
                  <a14:compatExt spid="_x0000_s10292"/>
                </a:ext>
                <a:ext uri="{FF2B5EF4-FFF2-40B4-BE49-F238E27FC236}">
                  <a16:creationId xmlns:a16="http://schemas.microsoft.com/office/drawing/2014/main" id="{00000000-0008-0000-0400-000034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10</xdr:row>
          <xdr:rowOff>12700</xdr:rowOff>
        </xdr:from>
        <xdr:to>
          <xdr:col>0</xdr:col>
          <xdr:colOff>571500</xdr:colOff>
          <xdr:row>10</xdr:row>
          <xdr:rowOff>241300</xdr:rowOff>
        </xdr:to>
        <xdr:sp macro="" textlink="">
          <xdr:nvSpPr>
            <xdr:cNvPr id="10293" name="Button 53" hidden="1">
              <a:extLst>
                <a:ext uri="{63B3BB69-23CF-44E3-9099-C40C66FF867C}">
                  <a14:compatExt spid="_x0000_s10293"/>
                </a:ext>
                <a:ext uri="{FF2B5EF4-FFF2-40B4-BE49-F238E27FC236}">
                  <a16:creationId xmlns:a16="http://schemas.microsoft.com/office/drawing/2014/main" id="{00000000-0008-0000-0400-000035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11</xdr:row>
          <xdr:rowOff>12700</xdr:rowOff>
        </xdr:from>
        <xdr:to>
          <xdr:col>0</xdr:col>
          <xdr:colOff>571500</xdr:colOff>
          <xdr:row>11</xdr:row>
          <xdr:rowOff>241300</xdr:rowOff>
        </xdr:to>
        <xdr:sp macro="" textlink="">
          <xdr:nvSpPr>
            <xdr:cNvPr id="10294" name="Button 54" hidden="1">
              <a:extLst>
                <a:ext uri="{63B3BB69-23CF-44E3-9099-C40C66FF867C}">
                  <a14:compatExt spid="_x0000_s10294"/>
                </a:ext>
                <a:ext uri="{FF2B5EF4-FFF2-40B4-BE49-F238E27FC236}">
                  <a16:creationId xmlns:a16="http://schemas.microsoft.com/office/drawing/2014/main" id="{00000000-0008-0000-0400-000036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12</xdr:row>
          <xdr:rowOff>12700</xdr:rowOff>
        </xdr:from>
        <xdr:to>
          <xdr:col>0</xdr:col>
          <xdr:colOff>571500</xdr:colOff>
          <xdr:row>12</xdr:row>
          <xdr:rowOff>241300</xdr:rowOff>
        </xdr:to>
        <xdr:sp macro="" textlink="">
          <xdr:nvSpPr>
            <xdr:cNvPr id="10295" name="Button 55" hidden="1">
              <a:extLst>
                <a:ext uri="{63B3BB69-23CF-44E3-9099-C40C66FF867C}">
                  <a14:compatExt spid="_x0000_s10295"/>
                </a:ext>
                <a:ext uri="{FF2B5EF4-FFF2-40B4-BE49-F238E27FC236}">
                  <a16:creationId xmlns:a16="http://schemas.microsoft.com/office/drawing/2014/main" id="{00000000-0008-0000-0400-000037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14</xdr:row>
          <xdr:rowOff>12700</xdr:rowOff>
        </xdr:from>
        <xdr:to>
          <xdr:col>0</xdr:col>
          <xdr:colOff>571500</xdr:colOff>
          <xdr:row>14</xdr:row>
          <xdr:rowOff>241300</xdr:rowOff>
        </xdr:to>
        <xdr:sp macro="" textlink="">
          <xdr:nvSpPr>
            <xdr:cNvPr id="10296" name="Button 56" hidden="1">
              <a:extLst>
                <a:ext uri="{63B3BB69-23CF-44E3-9099-C40C66FF867C}">
                  <a14:compatExt spid="_x0000_s10296"/>
                </a:ext>
                <a:ext uri="{FF2B5EF4-FFF2-40B4-BE49-F238E27FC236}">
                  <a16:creationId xmlns:a16="http://schemas.microsoft.com/office/drawing/2014/main" id="{00000000-0008-0000-0400-000038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13</xdr:row>
          <xdr:rowOff>12700</xdr:rowOff>
        </xdr:from>
        <xdr:to>
          <xdr:col>0</xdr:col>
          <xdr:colOff>571500</xdr:colOff>
          <xdr:row>13</xdr:row>
          <xdr:rowOff>241300</xdr:rowOff>
        </xdr:to>
        <xdr:sp macro="" textlink="">
          <xdr:nvSpPr>
            <xdr:cNvPr id="10297" name="Button 57" hidden="1">
              <a:extLst>
                <a:ext uri="{63B3BB69-23CF-44E3-9099-C40C66FF867C}">
                  <a14:compatExt spid="_x0000_s10297"/>
                </a:ext>
                <a:ext uri="{FF2B5EF4-FFF2-40B4-BE49-F238E27FC236}">
                  <a16:creationId xmlns:a16="http://schemas.microsoft.com/office/drawing/2014/main" id="{00000000-0008-0000-0400-000039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15</xdr:row>
          <xdr:rowOff>12700</xdr:rowOff>
        </xdr:from>
        <xdr:to>
          <xdr:col>0</xdr:col>
          <xdr:colOff>571500</xdr:colOff>
          <xdr:row>15</xdr:row>
          <xdr:rowOff>241300</xdr:rowOff>
        </xdr:to>
        <xdr:sp macro="" textlink="">
          <xdr:nvSpPr>
            <xdr:cNvPr id="10298" name="Button 58" hidden="1">
              <a:extLst>
                <a:ext uri="{63B3BB69-23CF-44E3-9099-C40C66FF867C}">
                  <a14:compatExt spid="_x0000_s10298"/>
                </a:ext>
                <a:ext uri="{FF2B5EF4-FFF2-40B4-BE49-F238E27FC236}">
                  <a16:creationId xmlns:a16="http://schemas.microsoft.com/office/drawing/2014/main" id="{00000000-0008-0000-0400-00003A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16</xdr:row>
          <xdr:rowOff>12700</xdr:rowOff>
        </xdr:from>
        <xdr:to>
          <xdr:col>0</xdr:col>
          <xdr:colOff>571500</xdr:colOff>
          <xdr:row>16</xdr:row>
          <xdr:rowOff>241300</xdr:rowOff>
        </xdr:to>
        <xdr:sp macro="" textlink="">
          <xdr:nvSpPr>
            <xdr:cNvPr id="10299" name="Button 59" hidden="1">
              <a:extLst>
                <a:ext uri="{63B3BB69-23CF-44E3-9099-C40C66FF867C}">
                  <a14:compatExt spid="_x0000_s10299"/>
                </a:ext>
                <a:ext uri="{FF2B5EF4-FFF2-40B4-BE49-F238E27FC236}">
                  <a16:creationId xmlns:a16="http://schemas.microsoft.com/office/drawing/2014/main" id="{00000000-0008-0000-0400-00003B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17</xdr:row>
          <xdr:rowOff>12700</xdr:rowOff>
        </xdr:from>
        <xdr:to>
          <xdr:col>0</xdr:col>
          <xdr:colOff>571500</xdr:colOff>
          <xdr:row>17</xdr:row>
          <xdr:rowOff>241300</xdr:rowOff>
        </xdr:to>
        <xdr:sp macro="" textlink="">
          <xdr:nvSpPr>
            <xdr:cNvPr id="10300" name="Button 60" hidden="1">
              <a:extLst>
                <a:ext uri="{63B3BB69-23CF-44E3-9099-C40C66FF867C}">
                  <a14:compatExt spid="_x0000_s10300"/>
                </a:ext>
                <a:ext uri="{FF2B5EF4-FFF2-40B4-BE49-F238E27FC236}">
                  <a16:creationId xmlns:a16="http://schemas.microsoft.com/office/drawing/2014/main" id="{00000000-0008-0000-0400-00003C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18</xdr:row>
          <xdr:rowOff>12700</xdr:rowOff>
        </xdr:from>
        <xdr:to>
          <xdr:col>0</xdr:col>
          <xdr:colOff>571500</xdr:colOff>
          <xdr:row>18</xdr:row>
          <xdr:rowOff>241300</xdr:rowOff>
        </xdr:to>
        <xdr:sp macro="" textlink="">
          <xdr:nvSpPr>
            <xdr:cNvPr id="10301" name="Button 61" hidden="1">
              <a:extLst>
                <a:ext uri="{63B3BB69-23CF-44E3-9099-C40C66FF867C}">
                  <a14:compatExt spid="_x0000_s10301"/>
                </a:ext>
                <a:ext uri="{FF2B5EF4-FFF2-40B4-BE49-F238E27FC236}">
                  <a16:creationId xmlns:a16="http://schemas.microsoft.com/office/drawing/2014/main" id="{00000000-0008-0000-0400-00003D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19</xdr:row>
          <xdr:rowOff>12700</xdr:rowOff>
        </xdr:from>
        <xdr:to>
          <xdr:col>0</xdr:col>
          <xdr:colOff>571500</xdr:colOff>
          <xdr:row>19</xdr:row>
          <xdr:rowOff>241300</xdr:rowOff>
        </xdr:to>
        <xdr:sp macro="" textlink="">
          <xdr:nvSpPr>
            <xdr:cNvPr id="10302" name="Button 62" hidden="1">
              <a:extLst>
                <a:ext uri="{63B3BB69-23CF-44E3-9099-C40C66FF867C}">
                  <a14:compatExt spid="_x0000_s10302"/>
                </a:ext>
                <a:ext uri="{FF2B5EF4-FFF2-40B4-BE49-F238E27FC236}">
                  <a16:creationId xmlns:a16="http://schemas.microsoft.com/office/drawing/2014/main" id="{00000000-0008-0000-0400-00003E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20</xdr:row>
          <xdr:rowOff>12700</xdr:rowOff>
        </xdr:from>
        <xdr:to>
          <xdr:col>0</xdr:col>
          <xdr:colOff>571500</xdr:colOff>
          <xdr:row>20</xdr:row>
          <xdr:rowOff>241300</xdr:rowOff>
        </xdr:to>
        <xdr:sp macro="" textlink="">
          <xdr:nvSpPr>
            <xdr:cNvPr id="10303" name="Button 63" hidden="1">
              <a:extLst>
                <a:ext uri="{63B3BB69-23CF-44E3-9099-C40C66FF867C}">
                  <a14:compatExt spid="_x0000_s10303"/>
                </a:ext>
                <a:ext uri="{FF2B5EF4-FFF2-40B4-BE49-F238E27FC236}">
                  <a16:creationId xmlns:a16="http://schemas.microsoft.com/office/drawing/2014/main" id="{00000000-0008-0000-0400-00003F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21</xdr:row>
          <xdr:rowOff>12700</xdr:rowOff>
        </xdr:from>
        <xdr:to>
          <xdr:col>0</xdr:col>
          <xdr:colOff>571500</xdr:colOff>
          <xdr:row>21</xdr:row>
          <xdr:rowOff>241300</xdr:rowOff>
        </xdr:to>
        <xdr:sp macro="" textlink="">
          <xdr:nvSpPr>
            <xdr:cNvPr id="10304" name="Button 64" hidden="1">
              <a:extLst>
                <a:ext uri="{63B3BB69-23CF-44E3-9099-C40C66FF867C}">
                  <a14:compatExt spid="_x0000_s10304"/>
                </a:ext>
                <a:ext uri="{FF2B5EF4-FFF2-40B4-BE49-F238E27FC236}">
                  <a16:creationId xmlns:a16="http://schemas.microsoft.com/office/drawing/2014/main" id="{00000000-0008-0000-0400-000040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22</xdr:row>
          <xdr:rowOff>12700</xdr:rowOff>
        </xdr:from>
        <xdr:to>
          <xdr:col>0</xdr:col>
          <xdr:colOff>571500</xdr:colOff>
          <xdr:row>22</xdr:row>
          <xdr:rowOff>241300</xdr:rowOff>
        </xdr:to>
        <xdr:sp macro="" textlink="">
          <xdr:nvSpPr>
            <xdr:cNvPr id="10305" name="Button 65" hidden="1">
              <a:extLst>
                <a:ext uri="{63B3BB69-23CF-44E3-9099-C40C66FF867C}">
                  <a14:compatExt spid="_x0000_s10305"/>
                </a:ext>
                <a:ext uri="{FF2B5EF4-FFF2-40B4-BE49-F238E27FC236}">
                  <a16:creationId xmlns:a16="http://schemas.microsoft.com/office/drawing/2014/main" id="{00000000-0008-0000-0400-000041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23</xdr:row>
          <xdr:rowOff>12700</xdr:rowOff>
        </xdr:from>
        <xdr:to>
          <xdr:col>0</xdr:col>
          <xdr:colOff>571500</xdr:colOff>
          <xdr:row>23</xdr:row>
          <xdr:rowOff>241300</xdr:rowOff>
        </xdr:to>
        <xdr:sp macro="" textlink="">
          <xdr:nvSpPr>
            <xdr:cNvPr id="10306" name="Button 66" hidden="1">
              <a:extLst>
                <a:ext uri="{63B3BB69-23CF-44E3-9099-C40C66FF867C}">
                  <a14:compatExt spid="_x0000_s10306"/>
                </a:ext>
                <a:ext uri="{FF2B5EF4-FFF2-40B4-BE49-F238E27FC236}">
                  <a16:creationId xmlns:a16="http://schemas.microsoft.com/office/drawing/2014/main" id="{00000000-0008-0000-0400-000042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24</xdr:row>
          <xdr:rowOff>12700</xdr:rowOff>
        </xdr:from>
        <xdr:to>
          <xdr:col>0</xdr:col>
          <xdr:colOff>571500</xdr:colOff>
          <xdr:row>24</xdr:row>
          <xdr:rowOff>241300</xdr:rowOff>
        </xdr:to>
        <xdr:sp macro="" textlink="">
          <xdr:nvSpPr>
            <xdr:cNvPr id="10307" name="Button 67" hidden="1">
              <a:extLst>
                <a:ext uri="{63B3BB69-23CF-44E3-9099-C40C66FF867C}">
                  <a14:compatExt spid="_x0000_s10307"/>
                </a:ext>
                <a:ext uri="{FF2B5EF4-FFF2-40B4-BE49-F238E27FC236}">
                  <a16:creationId xmlns:a16="http://schemas.microsoft.com/office/drawing/2014/main" id="{00000000-0008-0000-0400-000043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25</xdr:row>
          <xdr:rowOff>12700</xdr:rowOff>
        </xdr:from>
        <xdr:to>
          <xdr:col>0</xdr:col>
          <xdr:colOff>571500</xdr:colOff>
          <xdr:row>25</xdr:row>
          <xdr:rowOff>241300</xdr:rowOff>
        </xdr:to>
        <xdr:sp macro="" textlink="">
          <xdr:nvSpPr>
            <xdr:cNvPr id="10308" name="Button 68" hidden="1">
              <a:extLst>
                <a:ext uri="{63B3BB69-23CF-44E3-9099-C40C66FF867C}">
                  <a14:compatExt spid="_x0000_s10308"/>
                </a:ext>
                <a:ext uri="{FF2B5EF4-FFF2-40B4-BE49-F238E27FC236}">
                  <a16:creationId xmlns:a16="http://schemas.microsoft.com/office/drawing/2014/main" id="{00000000-0008-0000-0400-000044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26</xdr:row>
          <xdr:rowOff>12700</xdr:rowOff>
        </xdr:from>
        <xdr:to>
          <xdr:col>0</xdr:col>
          <xdr:colOff>571500</xdr:colOff>
          <xdr:row>26</xdr:row>
          <xdr:rowOff>241300</xdr:rowOff>
        </xdr:to>
        <xdr:sp macro="" textlink="">
          <xdr:nvSpPr>
            <xdr:cNvPr id="10309" name="Button 69" hidden="1">
              <a:extLst>
                <a:ext uri="{63B3BB69-23CF-44E3-9099-C40C66FF867C}">
                  <a14:compatExt spid="_x0000_s10309"/>
                </a:ext>
                <a:ext uri="{FF2B5EF4-FFF2-40B4-BE49-F238E27FC236}">
                  <a16:creationId xmlns:a16="http://schemas.microsoft.com/office/drawing/2014/main" id="{00000000-0008-0000-0400-000045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27</xdr:row>
          <xdr:rowOff>12700</xdr:rowOff>
        </xdr:from>
        <xdr:to>
          <xdr:col>0</xdr:col>
          <xdr:colOff>571500</xdr:colOff>
          <xdr:row>27</xdr:row>
          <xdr:rowOff>241300</xdr:rowOff>
        </xdr:to>
        <xdr:sp macro="" textlink="">
          <xdr:nvSpPr>
            <xdr:cNvPr id="10310" name="Button 70" hidden="1">
              <a:extLst>
                <a:ext uri="{63B3BB69-23CF-44E3-9099-C40C66FF867C}">
                  <a14:compatExt spid="_x0000_s10310"/>
                </a:ext>
                <a:ext uri="{FF2B5EF4-FFF2-40B4-BE49-F238E27FC236}">
                  <a16:creationId xmlns:a16="http://schemas.microsoft.com/office/drawing/2014/main" id="{00000000-0008-0000-0400-000046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28</xdr:row>
          <xdr:rowOff>12700</xdr:rowOff>
        </xdr:from>
        <xdr:to>
          <xdr:col>0</xdr:col>
          <xdr:colOff>571500</xdr:colOff>
          <xdr:row>28</xdr:row>
          <xdr:rowOff>241300</xdr:rowOff>
        </xdr:to>
        <xdr:sp macro="" textlink="">
          <xdr:nvSpPr>
            <xdr:cNvPr id="10311" name="Button 71" hidden="1">
              <a:extLst>
                <a:ext uri="{63B3BB69-23CF-44E3-9099-C40C66FF867C}">
                  <a14:compatExt spid="_x0000_s10311"/>
                </a:ext>
                <a:ext uri="{FF2B5EF4-FFF2-40B4-BE49-F238E27FC236}">
                  <a16:creationId xmlns:a16="http://schemas.microsoft.com/office/drawing/2014/main" id="{00000000-0008-0000-0400-000047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29</xdr:row>
          <xdr:rowOff>12700</xdr:rowOff>
        </xdr:from>
        <xdr:to>
          <xdr:col>0</xdr:col>
          <xdr:colOff>571500</xdr:colOff>
          <xdr:row>29</xdr:row>
          <xdr:rowOff>241300</xdr:rowOff>
        </xdr:to>
        <xdr:sp macro="" textlink="">
          <xdr:nvSpPr>
            <xdr:cNvPr id="10312" name="Button 72" hidden="1">
              <a:extLst>
                <a:ext uri="{63B3BB69-23CF-44E3-9099-C40C66FF867C}">
                  <a14:compatExt spid="_x0000_s10312"/>
                </a:ext>
                <a:ext uri="{FF2B5EF4-FFF2-40B4-BE49-F238E27FC236}">
                  <a16:creationId xmlns:a16="http://schemas.microsoft.com/office/drawing/2014/main" id="{00000000-0008-0000-0400-000048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30</xdr:row>
          <xdr:rowOff>12700</xdr:rowOff>
        </xdr:from>
        <xdr:to>
          <xdr:col>0</xdr:col>
          <xdr:colOff>571500</xdr:colOff>
          <xdr:row>30</xdr:row>
          <xdr:rowOff>241300</xdr:rowOff>
        </xdr:to>
        <xdr:sp macro="" textlink="">
          <xdr:nvSpPr>
            <xdr:cNvPr id="10313" name="Button 73" hidden="1">
              <a:extLst>
                <a:ext uri="{63B3BB69-23CF-44E3-9099-C40C66FF867C}">
                  <a14:compatExt spid="_x0000_s10313"/>
                </a:ext>
                <a:ext uri="{FF2B5EF4-FFF2-40B4-BE49-F238E27FC236}">
                  <a16:creationId xmlns:a16="http://schemas.microsoft.com/office/drawing/2014/main" id="{00000000-0008-0000-0400-000049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31</xdr:row>
          <xdr:rowOff>12700</xdr:rowOff>
        </xdr:from>
        <xdr:to>
          <xdr:col>0</xdr:col>
          <xdr:colOff>571500</xdr:colOff>
          <xdr:row>31</xdr:row>
          <xdr:rowOff>241300</xdr:rowOff>
        </xdr:to>
        <xdr:sp macro="" textlink="">
          <xdr:nvSpPr>
            <xdr:cNvPr id="10314" name="Button 74" hidden="1">
              <a:extLst>
                <a:ext uri="{63B3BB69-23CF-44E3-9099-C40C66FF867C}">
                  <a14:compatExt spid="_x0000_s10314"/>
                </a:ext>
                <a:ext uri="{FF2B5EF4-FFF2-40B4-BE49-F238E27FC236}">
                  <a16:creationId xmlns:a16="http://schemas.microsoft.com/office/drawing/2014/main" id="{00000000-0008-0000-0400-00004A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32</xdr:row>
          <xdr:rowOff>12700</xdr:rowOff>
        </xdr:from>
        <xdr:to>
          <xdr:col>0</xdr:col>
          <xdr:colOff>571500</xdr:colOff>
          <xdr:row>32</xdr:row>
          <xdr:rowOff>241300</xdr:rowOff>
        </xdr:to>
        <xdr:sp macro="" textlink="">
          <xdr:nvSpPr>
            <xdr:cNvPr id="10315" name="Button 75" hidden="1">
              <a:extLst>
                <a:ext uri="{63B3BB69-23CF-44E3-9099-C40C66FF867C}">
                  <a14:compatExt spid="_x0000_s10315"/>
                </a:ext>
                <a:ext uri="{FF2B5EF4-FFF2-40B4-BE49-F238E27FC236}">
                  <a16:creationId xmlns:a16="http://schemas.microsoft.com/office/drawing/2014/main" id="{00000000-0008-0000-0400-00004B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33</xdr:row>
          <xdr:rowOff>12700</xdr:rowOff>
        </xdr:from>
        <xdr:to>
          <xdr:col>0</xdr:col>
          <xdr:colOff>571500</xdr:colOff>
          <xdr:row>33</xdr:row>
          <xdr:rowOff>241300</xdr:rowOff>
        </xdr:to>
        <xdr:sp macro="" textlink="">
          <xdr:nvSpPr>
            <xdr:cNvPr id="10316" name="Button 76" hidden="1">
              <a:extLst>
                <a:ext uri="{63B3BB69-23CF-44E3-9099-C40C66FF867C}">
                  <a14:compatExt spid="_x0000_s10316"/>
                </a:ext>
                <a:ext uri="{FF2B5EF4-FFF2-40B4-BE49-F238E27FC236}">
                  <a16:creationId xmlns:a16="http://schemas.microsoft.com/office/drawing/2014/main" id="{00000000-0008-0000-0400-00004C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34</xdr:row>
          <xdr:rowOff>12700</xdr:rowOff>
        </xdr:from>
        <xdr:to>
          <xdr:col>0</xdr:col>
          <xdr:colOff>571500</xdr:colOff>
          <xdr:row>34</xdr:row>
          <xdr:rowOff>241300</xdr:rowOff>
        </xdr:to>
        <xdr:sp macro="" textlink="">
          <xdr:nvSpPr>
            <xdr:cNvPr id="10317" name="Button 77" hidden="1">
              <a:extLst>
                <a:ext uri="{63B3BB69-23CF-44E3-9099-C40C66FF867C}">
                  <a14:compatExt spid="_x0000_s10317"/>
                </a:ext>
                <a:ext uri="{FF2B5EF4-FFF2-40B4-BE49-F238E27FC236}">
                  <a16:creationId xmlns:a16="http://schemas.microsoft.com/office/drawing/2014/main" id="{00000000-0008-0000-0400-00004D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35</xdr:row>
          <xdr:rowOff>12700</xdr:rowOff>
        </xdr:from>
        <xdr:to>
          <xdr:col>0</xdr:col>
          <xdr:colOff>571500</xdr:colOff>
          <xdr:row>35</xdr:row>
          <xdr:rowOff>241300</xdr:rowOff>
        </xdr:to>
        <xdr:sp macro="" textlink="">
          <xdr:nvSpPr>
            <xdr:cNvPr id="10318" name="Button 78" hidden="1">
              <a:extLst>
                <a:ext uri="{63B3BB69-23CF-44E3-9099-C40C66FF867C}">
                  <a14:compatExt spid="_x0000_s10318"/>
                </a:ext>
                <a:ext uri="{FF2B5EF4-FFF2-40B4-BE49-F238E27FC236}">
                  <a16:creationId xmlns:a16="http://schemas.microsoft.com/office/drawing/2014/main" id="{00000000-0008-0000-0400-00004E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36</xdr:row>
          <xdr:rowOff>12700</xdr:rowOff>
        </xdr:from>
        <xdr:to>
          <xdr:col>0</xdr:col>
          <xdr:colOff>571500</xdr:colOff>
          <xdr:row>36</xdr:row>
          <xdr:rowOff>241300</xdr:rowOff>
        </xdr:to>
        <xdr:sp macro="" textlink="">
          <xdr:nvSpPr>
            <xdr:cNvPr id="10319" name="Button 79" hidden="1">
              <a:extLst>
                <a:ext uri="{63B3BB69-23CF-44E3-9099-C40C66FF867C}">
                  <a14:compatExt spid="_x0000_s10319"/>
                </a:ext>
                <a:ext uri="{FF2B5EF4-FFF2-40B4-BE49-F238E27FC236}">
                  <a16:creationId xmlns:a16="http://schemas.microsoft.com/office/drawing/2014/main" id="{00000000-0008-0000-0400-00004F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37</xdr:row>
          <xdr:rowOff>12700</xdr:rowOff>
        </xdr:from>
        <xdr:to>
          <xdr:col>0</xdr:col>
          <xdr:colOff>571500</xdr:colOff>
          <xdr:row>37</xdr:row>
          <xdr:rowOff>241300</xdr:rowOff>
        </xdr:to>
        <xdr:sp macro="" textlink="">
          <xdr:nvSpPr>
            <xdr:cNvPr id="10320" name="Button 80" hidden="1">
              <a:extLst>
                <a:ext uri="{63B3BB69-23CF-44E3-9099-C40C66FF867C}">
                  <a14:compatExt spid="_x0000_s10320"/>
                </a:ext>
                <a:ext uri="{FF2B5EF4-FFF2-40B4-BE49-F238E27FC236}">
                  <a16:creationId xmlns:a16="http://schemas.microsoft.com/office/drawing/2014/main" id="{00000000-0008-0000-0400-000050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12700</xdr:rowOff>
        </xdr:from>
        <xdr:to>
          <xdr:col>0</xdr:col>
          <xdr:colOff>571500</xdr:colOff>
          <xdr:row>38</xdr:row>
          <xdr:rowOff>241300</xdr:rowOff>
        </xdr:to>
        <xdr:sp macro="" textlink="">
          <xdr:nvSpPr>
            <xdr:cNvPr id="10321" name="Button 81" hidden="1">
              <a:extLst>
                <a:ext uri="{63B3BB69-23CF-44E3-9099-C40C66FF867C}">
                  <a14:compatExt spid="_x0000_s10321"/>
                </a:ext>
                <a:ext uri="{FF2B5EF4-FFF2-40B4-BE49-F238E27FC236}">
                  <a16:creationId xmlns:a16="http://schemas.microsoft.com/office/drawing/2014/main" id="{00000000-0008-0000-0400-000051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39</xdr:row>
          <xdr:rowOff>12700</xdr:rowOff>
        </xdr:from>
        <xdr:to>
          <xdr:col>0</xdr:col>
          <xdr:colOff>571500</xdr:colOff>
          <xdr:row>39</xdr:row>
          <xdr:rowOff>241300</xdr:rowOff>
        </xdr:to>
        <xdr:sp macro="" textlink="">
          <xdr:nvSpPr>
            <xdr:cNvPr id="10322" name="Button 82" hidden="1">
              <a:extLst>
                <a:ext uri="{63B3BB69-23CF-44E3-9099-C40C66FF867C}">
                  <a14:compatExt spid="_x0000_s10322"/>
                </a:ext>
                <a:ext uri="{FF2B5EF4-FFF2-40B4-BE49-F238E27FC236}">
                  <a16:creationId xmlns:a16="http://schemas.microsoft.com/office/drawing/2014/main" id="{00000000-0008-0000-0400-000052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40</xdr:row>
          <xdr:rowOff>12700</xdr:rowOff>
        </xdr:from>
        <xdr:to>
          <xdr:col>0</xdr:col>
          <xdr:colOff>571500</xdr:colOff>
          <xdr:row>40</xdr:row>
          <xdr:rowOff>241300</xdr:rowOff>
        </xdr:to>
        <xdr:sp macro="" textlink="">
          <xdr:nvSpPr>
            <xdr:cNvPr id="10323" name="Button 83" hidden="1">
              <a:extLst>
                <a:ext uri="{63B3BB69-23CF-44E3-9099-C40C66FF867C}">
                  <a14:compatExt spid="_x0000_s10323"/>
                </a:ext>
                <a:ext uri="{FF2B5EF4-FFF2-40B4-BE49-F238E27FC236}">
                  <a16:creationId xmlns:a16="http://schemas.microsoft.com/office/drawing/2014/main" id="{00000000-0008-0000-0400-000053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12700</xdr:rowOff>
        </xdr:from>
        <xdr:to>
          <xdr:col>0</xdr:col>
          <xdr:colOff>571500</xdr:colOff>
          <xdr:row>41</xdr:row>
          <xdr:rowOff>241300</xdr:rowOff>
        </xdr:to>
        <xdr:sp macro="" textlink="">
          <xdr:nvSpPr>
            <xdr:cNvPr id="10324" name="Button 84" hidden="1">
              <a:extLst>
                <a:ext uri="{63B3BB69-23CF-44E3-9099-C40C66FF867C}">
                  <a14:compatExt spid="_x0000_s10324"/>
                </a:ext>
                <a:ext uri="{FF2B5EF4-FFF2-40B4-BE49-F238E27FC236}">
                  <a16:creationId xmlns:a16="http://schemas.microsoft.com/office/drawing/2014/main" id="{00000000-0008-0000-0400-000054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12700</xdr:rowOff>
        </xdr:from>
        <xdr:to>
          <xdr:col>0</xdr:col>
          <xdr:colOff>571500</xdr:colOff>
          <xdr:row>42</xdr:row>
          <xdr:rowOff>241300</xdr:rowOff>
        </xdr:to>
        <xdr:sp macro="" textlink="">
          <xdr:nvSpPr>
            <xdr:cNvPr id="10325" name="Button 85" hidden="1">
              <a:extLst>
                <a:ext uri="{63B3BB69-23CF-44E3-9099-C40C66FF867C}">
                  <a14:compatExt spid="_x0000_s10325"/>
                </a:ext>
                <a:ext uri="{FF2B5EF4-FFF2-40B4-BE49-F238E27FC236}">
                  <a16:creationId xmlns:a16="http://schemas.microsoft.com/office/drawing/2014/main" id="{00000000-0008-0000-0400-000055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1</xdr:row>
          <xdr:rowOff>12700</xdr:rowOff>
        </xdr:from>
        <xdr:to>
          <xdr:col>2</xdr:col>
          <xdr:colOff>571500</xdr:colOff>
          <xdr:row>1</xdr:row>
          <xdr:rowOff>241300</xdr:rowOff>
        </xdr:to>
        <xdr:sp macro="" textlink="">
          <xdr:nvSpPr>
            <xdr:cNvPr id="10330" name="Button 90" hidden="1">
              <a:extLst>
                <a:ext uri="{63B3BB69-23CF-44E3-9099-C40C66FF867C}">
                  <a14:compatExt spid="_x0000_s10330"/>
                </a:ext>
                <a:ext uri="{FF2B5EF4-FFF2-40B4-BE49-F238E27FC236}">
                  <a16:creationId xmlns:a16="http://schemas.microsoft.com/office/drawing/2014/main" id="{00000000-0008-0000-0400-00005A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1</xdr:row>
          <xdr:rowOff>12700</xdr:rowOff>
        </xdr:from>
        <xdr:to>
          <xdr:col>3</xdr:col>
          <xdr:colOff>571500</xdr:colOff>
          <xdr:row>1</xdr:row>
          <xdr:rowOff>241300</xdr:rowOff>
        </xdr:to>
        <xdr:sp macro="" textlink="">
          <xdr:nvSpPr>
            <xdr:cNvPr id="10331" name="Button 91" hidden="1">
              <a:extLst>
                <a:ext uri="{63B3BB69-23CF-44E3-9099-C40C66FF867C}">
                  <a14:compatExt spid="_x0000_s10331"/>
                </a:ext>
                <a:ext uri="{FF2B5EF4-FFF2-40B4-BE49-F238E27FC236}">
                  <a16:creationId xmlns:a16="http://schemas.microsoft.com/office/drawing/2014/main" id="{00000000-0008-0000-0400-00005B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xdr:row>
          <xdr:rowOff>12700</xdr:rowOff>
        </xdr:from>
        <xdr:to>
          <xdr:col>4</xdr:col>
          <xdr:colOff>571500</xdr:colOff>
          <xdr:row>1</xdr:row>
          <xdr:rowOff>241300</xdr:rowOff>
        </xdr:to>
        <xdr:sp macro="" textlink="">
          <xdr:nvSpPr>
            <xdr:cNvPr id="10332" name="Button 92" hidden="1">
              <a:extLst>
                <a:ext uri="{63B3BB69-23CF-44E3-9099-C40C66FF867C}">
                  <a14:compatExt spid="_x0000_s10332"/>
                </a:ext>
                <a:ext uri="{FF2B5EF4-FFF2-40B4-BE49-F238E27FC236}">
                  <a16:creationId xmlns:a16="http://schemas.microsoft.com/office/drawing/2014/main" id="{00000000-0008-0000-0400-00005C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12700</xdr:rowOff>
        </xdr:from>
        <xdr:to>
          <xdr:col>5</xdr:col>
          <xdr:colOff>571500</xdr:colOff>
          <xdr:row>1</xdr:row>
          <xdr:rowOff>241300</xdr:rowOff>
        </xdr:to>
        <xdr:sp macro="" textlink="">
          <xdr:nvSpPr>
            <xdr:cNvPr id="10333" name="Button 93" hidden="1">
              <a:extLst>
                <a:ext uri="{63B3BB69-23CF-44E3-9099-C40C66FF867C}">
                  <a14:compatExt spid="_x0000_s10333"/>
                </a:ext>
                <a:ext uri="{FF2B5EF4-FFF2-40B4-BE49-F238E27FC236}">
                  <a16:creationId xmlns:a16="http://schemas.microsoft.com/office/drawing/2014/main" id="{00000000-0008-0000-0400-00005D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1</xdr:row>
          <xdr:rowOff>12700</xdr:rowOff>
        </xdr:from>
        <xdr:to>
          <xdr:col>6</xdr:col>
          <xdr:colOff>571500</xdr:colOff>
          <xdr:row>1</xdr:row>
          <xdr:rowOff>241300</xdr:rowOff>
        </xdr:to>
        <xdr:sp macro="" textlink="">
          <xdr:nvSpPr>
            <xdr:cNvPr id="10334" name="Button 94" hidden="1">
              <a:extLst>
                <a:ext uri="{63B3BB69-23CF-44E3-9099-C40C66FF867C}">
                  <a14:compatExt spid="_x0000_s10334"/>
                </a:ext>
                <a:ext uri="{FF2B5EF4-FFF2-40B4-BE49-F238E27FC236}">
                  <a16:creationId xmlns:a16="http://schemas.microsoft.com/office/drawing/2014/main" id="{00000000-0008-0000-0400-00005E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0" i="0" u="none" strike="noStrike" baseline="0">
                  <a:solidFill>
                    <a:srgbClr val="000000"/>
                  </a:solidFill>
                  <a:latin typeface="Aptos Narrow"/>
                </a:rPr>
                <a:t>•</a:t>
              </a:r>
            </a:p>
            <a:p>
              <a:pPr algn="ctr" rtl="0">
                <a:defRPr sz="1000"/>
              </a:pPr>
              <a:endParaRPr lang="en-IN" sz="1200" b="0" i="0" u="none" strike="noStrike" baseline="0">
                <a:solidFill>
                  <a:srgbClr val="000000"/>
                </a:solidFill>
                <a:latin typeface="Aptos Narrow"/>
              </a:endParaRP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Hari, Sriram" id="{40A88E54-9007-4A45-A28A-3DCA8E34D6CA}" userId="S::61027@icf.com::0468ba7c-2674-4da2-8b79-c5cba67ea0f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121166E-1740-4B3A-901E-6E8A79664F85}" name="Energy_Generation_(Electric)" displayName="Energy_Generation__Electric" ref="A4:E368" totalsRowShown="0">
  <autoFilter ref="A4:E368" xr:uid="{5121166E-1740-4B3A-901E-6E8A79664F85}"/>
  <tableColumns count="5">
    <tableColumn id="1" xr3:uid="{FC019DE8-BA87-4E01-B4B5-1B9F0241F46A}" name="Year"/>
    <tableColumn id="2" xr3:uid="{971A19DC-CEB2-42BC-9283-B2860CE8D5D2}" name="Month"/>
    <tableColumn id="3" xr3:uid="{457B44BE-D0EF-4904-B13F-547B45F97521}" name="Day"/>
    <tableColumn id="4" xr3:uid="{4A2FCDCA-2FF7-49B3-B67A-34AE95E4B89F}" name="Type of Day"/>
    <tableColumn id="5" xr3:uid="{97FFB54E-914D-45A9-80A7-21D2EDE98FDD}" name="Default Input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028F5B7-D2CB-45AF-BA38-88A19596DEF2}" name="Generation_Capacity_(Electric)" displayName="Generation_Capacity__Electric" ref="A4:C364" totalsRowShown="0">
  <autoFilter ref="A4:C364" xr:uid="{D028F5B7-D2CB-45AF-BA38-88A19596DEF2}"/>
  <tableColumns count="3">
    <tableColumn id="1" xr3:uid="{4A6F713A-EE20-4604-9D6A-D26A1452CA4C}" name="Year"/>
    <tableColumn id="2" xr3:uid="{EF57B162-BF3C-43AC-BAE8-3BF78F3C67D1}" name="Month"/>
    <tableColumn id="3" xr3:uid="{14CB45E7-3639-4E3C-A856-7B79D3EFB9D1}" name="Default Input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FA66EF4-B66B-444A-BFC8-649199645229}" name="Transmission_Capacity_(Electric" displayName="Transmission_Capacity__Electric" ref="A4:E368" totalsRowShown="0">
  <autoFilter ref="A4:E368" xr:uid="{BFA66EF4-B66B-444A-BFC8-649199645229}"/>
  <tableColumns count="5">
    <tableColumn id="1" xr3:uid="{AD81E759-FFA6-4EB0-BA8B-EDD61BEEBC4E}" name="Year"/>
    <tableColumn id="2" xr3:uid="{6886AA59-E7DD-4964-9045-360C46941A26}" name="Month"/>
    <tableColumn id="3" xr3:uid="{722CE982-85A5-434A-8DC8-5E0999E1CEF5}" name="Day"/>
    <tableColumn id="4" xr3:uid="{C6F4833F-CE7A-4CDA-9028-61635E214604}" name="Type of Day"/>
    <tableColumn id="5" xr3:uid="{1271D9AC-EDD0-4807-9554-E2082889DAF7}" name="Default Input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Custom 1">
      <a:dk1>
        <a:srgbClr val="000000"/>
      </a:dk1>
      <a:lt1>
        <a:srgbClr val="FFFFFF"/>
      </a:lt1>
      <a:dk2>
        <a:srgbClr val="414041"/>
      </a:dk2>
      <a:lt2>
        <a:srgbClr val="808285"/>
      </a:lt2>
      <a:accent1>
        <a:srgbClr val="30F298"/>
      </a:accent1>
      <a:accent2>
        <a:srgbClr val="FFC628"/>
      </a:accent2>
      <a:accent3>
        <a:srgbClr val="031D40"/>
      </a:accent3>
      <a:accent4>
        <a:srgbClr val="5FBDDB"/>
      </a:accent4>
      <a:accent5>
        <a:srgbClr val="0785F2"/>
      </a:accent5>
      <a:accent6>
        <a:srgbClr val="BCBEC0"/>
      </a:accent6>
      <a:hlink>
        <a:srgbClr val="0785F2"/>
      </a:hlink>
      <a:folHlink>
        <a:srgbClr val="5FBDDB"/>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5" dT="2025-09-05T19:16:51.40" personId="{40A88E54-9007-4A45-A28A-3DCA8E34D6CA}" id="{ECC36BCE-0FFC-414A-9384-A4AA75955B73}">
    <text>Formula based on D</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nationalenergyscreeningproject.org/national-standard-practice-manual/" TargetMode="External"/><Relationship Id="rId1" Type="http://schemas.openxmlformats.org/officeDocument/2006/relationships/hyperlink" Target="https://www.nationalenergyscreeningproject.org/resources/quantifying-impact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9" Type="http://schemas.openxmlformats.org/officeDocument/2006/relationships/ctrlProp" Target="../ctrlProps/ctrlProp44.xml"/><Relationship Id="rId21" Type="http://schemas.openxmlformats.org/officeDocument/2006/relationships/ctrlProp" Target="../ctrlProps/ctrlProp26.xml"/><Relationship Id="rId34" Type="http://schemas.openxmlformats.org/officeDocument/2006/relationships/ctrlProp" Target="../ctrlProps/ctrlProp39.xml"/><Relationship Id="rId42" Type="http://schemas.openxmlformats.org/officeDocument/2006/relationships/ctrlProp" Target="../ctrlProps/ctrlProp47.xml"/><Relationship Id="rId47" Type="http://schemas.openxmlformats.org/officeDocument/2006/relationships/comments" Target="../comments1.xml"/><Relationship Id="rId7" Type="http://schemas.openxmlformats.org/officeDocument/2006/relationships/ctrlProp" Target="../ctrlProps/ctrlProp12.xml"/><Relationship Id="rId2" Type="http://schemas.openxmlformats.org/officeDocument/2006/relationships/vmlDrawing" Target="../drawings/vmlDrawing2.vml"/><Relationship Id="rId16" Type="http://schemas.openxmlformats.org/officeDocument/2006/relationships/ctrlProp" Target="../ctrlProps/ctrlProp21.xml"/><Relationship Id="rId29" Type="http://schemas.openxmlformats.org/officeDocument/2006/relationships/ctrlProp" Target="../ctrlProps/ctrlProp34.xml"/><Relationship Id="rId1" Type="http://schemas.openxmlformats.org/officeDocument/2006/relationships/drawing" Target="../drawings/drawing3.xml"/><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32" Type="http://schemas.openxmlformats.org/officeDocument/2006/relationships/ctrlProp" Target="../ctrlProps/ctrlProp37.xml"/><Relationship Id="rId37" Type="http://schemas.openxmlformats.org/officeDocument/2006/relationships/ctrlProp" Target="../ctrlProps/ctrlProp42.xml"/><Relationship Id="rId40" Type="http://schemas.openxmlformats.org/officeDocument/2006/relationships/ctrlProp" Target="../ctrlProps/ctrlProp45.xml"/><Relationship Id="rId45" Type="http://schemas.openxmlformats.org/officeDocument/2006/relationships/ctrlProp" Target="../ctrlProps/ctrlProp50.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36" Type="http://schemas.openxmlformats.org/officeDocument/2006/relationships/ctrlProp" Target="../ctrlProps/ctrlProp41.xml"/><Relationship Id="rId10" Type="http://schemas.openxmlformats.org/officeDocument/2006/relationships/ctrlProp" Target="../ctrlProps/ctrlProp15.xml"/><Relationship Id="rId19" Type="http://schemas.openxmlformats.org/officeDocument/2006/relationships/ctrlProp" Target="../ctrlProps/ctrlProp24.xml"/><Relationship Id="rId31" Type="http://schemas.openxmlformats.org/officeDocument/2006/relationships/ctrlProp" Target="../ctrlProps/ctrlProp36.xml"/><Relationship Id="rId44" Type="http://schemas.openxmlformats.org/officeDocument/2006/relationships/ctrlProp" Target="../ctrlProps/ctrlProp49.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ctrlProp" Target="../ctrlProps/ctrlProp32.xml"/><Relationship Id="rId30" Type="http://schemas.openxmlformats.org/officeDocument/2006/relationships/ctrlProp" Target="../ctrlProps/ctrlProp35.xml"/><Relationship Id="rId35" Type="http://schemas.openxmlformats.org/officeDocument/2006/relationships/ctrlProp" Target="../ctrlProps/ctrlProp40.xml"/><Relationship Id="rId43" Type="http://schemas.openxmlformats.org/officeDocument/2006/relationships/ctrlProp" Target="../ctrlProps/ctrlProp48.xml"/><Relationship Id="rId48" Type="http://schemas.microsoft.com/office/2017/10/relationships/threadedComment" Target="../threadedComments/threadedComment1.xml"/><Relationship Id="rId8" Type="http://schemas.openxmlformats.org/officeDocument/2006/relationships/ctrlProp" Target="../ctrlProps/ctrlProp13.xml"/><Relationship Id="rId3" Type="http://schemas.openxmlformats.org/officeDocument/2006/relationships/ctrlProp" Target="../ctrlProps/ctrlProp8.x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33" Type="http://schemas.openxmlformats.org/officeDocument/2006/relationships/ctrlProp" Target="../ctrlProps/ctrlProp38.xml"/><Relationship Id="rId38" Type="http://schemas.openxmlformats.org/officeDocument/2006/relationships/ctrlProp" Target="../ctrlProps/ctrlProp43.xml"/><Relationship Id="rId46" Type="http://schemas.openxmlformats.org/officeDocument/2006/relationships/ctrlProp" Target="../ctrlProps/ctrlProp51.xml"/><Relationship Id="rId20" Type="http://schemas.openxmlformats.org/officeDocument/2006/relationships/ctrlProp" Target="../ctrlProps/ctrlProp25.xml"/><Relationship Id="rId41" Type="http://schemas.openxmlformats.org/officeDocument/2006/relationships/ctrlProp" Target="../ctrlProps/ctrlProp4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2C380-C60D-4BDA-A2F9-06F75E504249}">
  <sheetPr codeName="Sheet1">
    <tabColor theme="7"/>
  </sheetPr>
  <dimension ref="A1:XFC39"/>
  <sheetViews>
    <sheetView topLeftCell="A5" zoomScaleNormal="100" workbookViewId="0">
      <selection activeCell="F27" sqref="F27"/>
    </sheetView>
  </sheetViews>
  <sheetFormatPr defaultColWidth="0" defaultRowHeight="0" customHeight="1" zeroHeight="1" x14ac:dyDescent="0.35"/>
  <cols>
    <col min="1" max="1" width="13.453125" style="52" customWidth="1"/>
    <col min="2" max="2" width="9.453125" style="52" customWidth="1"/>
    <col min="3" max="3" width="23.453125" style="52" customWidth="1"/>
    <col min="4" max="9" width="9.453125" style="52" customWidth="1"/>
    <col min="10" max="10" width="5.453125" style="52" customWidth="1"/>
    <col min="11" max="11" width="9.453125" style="52" customWidth="1"/>
    <col min="12" max="12" width="21.453125" style="52" customWidth="1"/>
    <col min="13" max="13" width="27.453125" style="52" customWidth="1"/>
    <col min="14" max="14" width="9.453125" style="52" hidden="1" customWidth="1"/>
    <col min="15" max="16" width="10.453125" style="52" hidden="1" customWidth="1"/>
    <col min="17" max="16383" width="9.453125" style="52" hidden="1"/>
    <col min="16384" max="16384" width="6.453125" style="52" hidden="1" customWidth="1"/>
  </cols>
  <sheetData>
    <row r="1" spans="1:13" s="50" customFormat="1" ht="14.5" x14ac:dyDescent="0.35"/>
    <row r="2" spans="1:13" s="50" customFormat="1" ht="14.5" x14ac:dyDescent="0.35"/>
    <row r="3" spans="1:13" s="50" customFormat="1" ht="14.5" x14ac:dyDescent="0.35"/>
    <row r="4" spans="1:13" s="50" customFormat="1" ht="26.25" customHeight="1" x14ac:dyDescent="0.35"/>
    <row r="5" spans="1:13" ht="17.25" customHeight="1" x14ac:dyDescent="0.35">
      <c r="A5" s="1" t="s">
        <v>0</v>
      </c>
      <c r="B5" s="51"/>
      <c r="C5" s="51"/>
      <c r="D5" s="51"/>
      <c r="E5" s="51"/>
      <c r="F5" s="51"/>
      <c r="G5" s="51"/>
      <c r="H5" s="51"/>
      <c r="I5" s="51"/>
      <c r="J5" s="51"/>
      <c r="K5" s="51"/>
      <c r="L5" s="51"/>
      <c r="M5" s="51"/>
    </row>
    <row r="6" spans="1:13" ht="15" thickBot="1" x14ac:dyDescent="0.4">
      <c r="A6" s="1" t="s">
        <v>1</v>
      </c>
      <c r="B6" s="51"/>
      <c r="C6" s="51"/>
      <c r="D6" s="51"/>
      <c r="E6" s="51"/>
      <c r="F6" s="51"/>
      <c r="G6" s="51"/>
      <c r="H6" s="51"/>
      <c r="I6" s="51"/>
      <c r="J6" s="51"/>
      <c r="K6" s="51"/>
      <c r="L6" s="51"/>
      <c r="M6" s="51"/>
    </row>
    <row r="7" spans="1:13" ht="14.5" x14ac:dyDescent="0.35">
      <c r="A7" s="158" t="s">
        <v>2</v>
      </c>
      <c r="B7" s="159"/>
      <c r="C7" s="159"/>
      <c r="D7" s="159"/>
      <c r="E7" s="159"/>
      <c r="F7" s="159"/>
      <c r="G7" s="159"/>
      <c r="H7" s="159"/>
      <c r="I7" s="159"/>
      <c r="J7" s="160"/>
      <c r="K7" s="51"/>
      <c r="L7" s="51"/>
      <c r="M7" s="51"/>
    </row>
    <row r="8" spans="1:13" ht="15" customHeight="1" x14ac:dyDescent="0.35">
      <c r="A8" s="167" t="s">
        <v>3</v>
      </c>
      <c r="B8" s="168"/>
      <c r="C8" s="168"/>
      <c r="D8" s="168"/>
      <c r="E8" s="168"/>
      <c r="F8" s="168"/>
      <c r="G8" s="168"/>
      <c r="H8" s="168"/>
      <c r="I8" s="168"/>
      <c r="J8" s="169"/>
      <c r="K8" s="51"/>
      <c r="L8" s="51"/>
      <c r="M8" s="51"/>
    </row>
    <row r="9" spans="1:13" ht="15" customHeight="1" thickBot="1" x14ac:dyDescent="0.4">
      <c r="A9" s="170"/>
      <c r="B9" s="171"/>
      <c r="C9" s="171"/>
      <c r="D9" s="171"/>
      <c r="E9" s="171"/>
      <c r="F9" s="171"/>
      <c r="G9" s="171"/>
      <c r="H9" s="171"/>
      <c r="I9" s="171"/>
      <c r="J9" s="172"/>
      <c r="K9" s="51"/>
      <c r="L9" s="51"/>
      <c r="M9" s="51"/>
    </row>
    <row r="10" spans="1:13" ht="15" thickBot="1" x14ac:dyDescent="0.4">
      <c r="A10" s="51"/>
      <c r="B10" s="51"/>
      <c r="C10" s="51"/>
      <c r="D10" s="51"/>
      <c r="E10" s="51"/>
      <c r="F10" s="51"/>
      <c r="G10" s="51"/>
      <c r="H10" s="51"/>
      <c r="I10" s="51"/>
      <c r="J10" s="51"/>
      <c r="K10" s="51"/>
      <c r="L10" s="51"/>
      <c r="M10" s="51"/>
    </row>
    <row r="11" spans="1:13" ht="14.5" x14ac:dyDescent="0.35">
      <c r="A11" s="164" t="s">
        <v>4</v>
      </c>
      <c r="B11" s="165"/>
      <c r="C11" s="166"/>
      <c r="D11" s="51"/>
      <c r="E11" s="51"/>
      <c r="F11" s="51"/>
      <c r="G11" s="51"/>
      <c r="H11" s="51"/>
      <c r="I11" s="51"/>
      <c r="J11" s="51"/>
      <c r="K11" s="51"/>
      <c r="L11" s="51"/>
      <c r="M11" s="51"/>
    </row>
    <row r="12" spans="1:13" ht="14.5" x14ac:dyDescent="0.35">
      <c r="A12" s="150" t="s">
        <v>8</v>
      </c>
      <c r="B12" s="151" t="s">
        <v>208</v>
      </c>
      <c r="C12" s="148"/>
      <c r="D12" s="51"/>
      <c r="E12" s="51"/>
      <c r="F12" s="51"/>
      <c r="G12" s="51"/>
      <c r="H12" s="51"/>
      <c r="I12" s="51"/>
      <c r="J12" s="51"/>
      <c r="K12" s="51"/>
      <c r="L12" s="51"/>
      <c r="M12" s="51"/>
    </row>
    <row r="13" spans="1:13" ht="15" thickBot="1" x14ac:dyDescent="0.4">
      <c r="A13" s="152" t="s">
        <v>8</v>
      </c>
      <c r="B13" s="61" t="s">
        <v>209</v>
      </c>
      <c r="C13" s="149"/>
      <c r="D13" s="51"/>
      <c r="E13" s="51"/>
      <c r="F13" s="51"/>
      <c r="G13" s="51"/>
      <c r="H13" s="51"/>
      <c r="I13" s="51"/>
      <c r="J13" s="51"/>
      <c r="K13" s="51"/>
      <c r="L13" s="51"/>
      <c r="M13" s="51"/>
    </row>
    <row r="14" spans="1:13" ht="15" thickBot="1" x14ac:dyDescent="0.4">
      <c r="A14" s="51"/>
      <c r="B14" s="51"/>
      <c r="C14" s="51"/>
      <c r="D14" s="51"/>
      <c r="E14" s="51"/>
      <c r="F14" s="51"/>
      <c r="G14" s="51"/>
      <c r="H14" s="51"/>
      <c r="I14" s="51"/>
      <c r="J14" s="51"/>
      <c r="K14" s="51"/>
      <c r="L14" s="51"/>
      <c r="M14" s="51"/>
    </row>
    <row r="15" spans="1:13" ht="15" customHeight="1" thickBot="1" x14ac:dyDescent="0.4">
      <c r="A15" s="161" t="s">
        <v>5</v>
      </c>
      <c r="B15" s="162"/>
      <c r="C15" s="162"/>
      <c r="D15" s="162"/>
      <c r="E15" s="162"/>
      <c r="F15" s="162"/>
      <c r="G15" s="162"/>
      <c r="H15" s="162"/>
      <c r="I15" s="162"/>
      <c r="J15" s="163"/>
      <c r="K15" s="51"/>
      <c r="L15" s="51"/>
      <c r="M15" s="51"/>
    </row>
    <row r="16" spans="1:13" ht="14.5" x14ac:dyDescent="0.35">
      <c r="A16" s="2" t="s">
        <v>6</v>
      </c>
      <c r="B16" s="3" t="s">
        <v>7</v>
      </c>
      <c r="C16" s="53"/>
      <c r="D16" s="53"/>
      <c r="E16" s="53"/>
      <c r="F16" s="53"/>
      <c r="G16" s="53"/>
      <c r="H16" s="53"/>
      <c r="I16" s="53"/>
      <c r="J16" s="117"/>
      <c r="K16" s="51"/>
      <c r="L16" s="51"/>
      <c r="M16" s="51"/>
    </row>
    <row r="17" spans="1:13" ht="14.5" x14ac:dyDescent="0.35">
      <c r="A17" s="153"/>
      <c r="B17" s="56" t="s">
        <v>211</v>
      </c>
      <c r="C17" s="54"/>
      <c r="D17" s="54"/>
      <c r="E17" s="57"/>
      <c r="F17" s="57"/>
      <c r="G17" s="57"/>
      <c r="H17" s="57"/>
      <c r="I17" s="57"/>
      <c r="J17" s="118"/>
      <c r="K17" s="51"/>
      <c r="L17" s="51"/>
      <c r="M17" s="51"/>
    </row>
    <row r="18" spans="1:13" ht="15" thickBot="1" x14ac:dyDescent="0.4">
      <c r="A18" s="154"/>
      <c r="B18" s="62" t="s">
        <v>210</v>
      </c>
      <c r="C18" s="62"/>
      <c r="D18" s="62"/>
      <c r="E18" s="62"/>
      <c r="F18" s="62"/>
      <c r="G18" s="119"/>
      <c r="H18" s="62"/>
      <c r="I18" s="62"/>
      <c r="J18" s="63"/>
      <c r="K18" s="51"/>
      <c r="L18" s="51"/>
      <c r="M18" s="51"/>
    </row>
    <row r="19" spans="1:13" ht="15" thickBot="1" x14ac:dyDescent="0.4">
      <c r="A19" s="51"/>
      <c r="B19" s="51"/>
      <c r="C19" s="51"/>
      <c r="D19" s="51"/>
      <c r="E19" s="51"/>
      <c r="F19" s="51"/>
      <c r="G19" s="51"/>
      <c r="H19" s="51"/>
      <c r="I19" s="51"/>
      <c r="J19" s="51"/>
      <c r="K19" s="51"/>
      <c r="L19" s="51"/>
      <c r="M19" s="51"/>
    </row>
    <row r="20" spans="1:13" ht="14.5" x14ac:dyDescent="0.35">
      <c r="A20" s="158" t="s">
        <v>9</v>
      </c>
      <c r="B20" s="159"/>
      <c r="C20" s="159"/>
      <c r="D20" s="159"/>
      <c r="E20" s="159"/>
      <c r="F20" s="159"/>
      <c r="G20" s="159"/>
      <c r="H20" s="159"/>
      <c r="I20" s="159"/>
      <c r="J20" s="160"/>
      <c r="K20" s="51"/>
      <c r="L20" s="51"/>
      <c r="M20" s="51"/>
    </row>
    <row r="21" spans="1:13" ht="14.5" x14ac:dyDescent="0.35">
      <c r="A21" s="58" t="s">
        <v>10</v>
      </c>
      <c r="B21" s="59" t="s">
        <v>11</v>
      </c>
      <c r="C21" s="54"/>
      <c r="D21" s="54"/>
      <c r="E21" s="54"/>
      <c r="F21" s="54"/>
      <c r="G21" s="54"/>
      <c r="H21" s="54"/>
      <c r="I21" s="54"/>
      <c r="J21" s="55"/>
      <c r="K21" s="51"/>
      <c r="L21" s="51"/>
      <c r="M21" s="51"/>
    </row>
    <row r="22" spans="1:13" ht="14.5" x14ac:dyDescent="0.35">
      <c r="A22" s="58" t="s">
        <v>12</v>
      </c>
      <c r="B22" s="59" t="s">
        <v>13</v>
      </c>
      <c r="C22" s="54"/>
      <c r="D22" s="54"/>
      <c r="E22" s="54"/>
      <c r="F22" s="54"/>
      <c r="G22" s="54"/>
      <c r="H22" s="54"/>
      <c r="I22" s="54"/>
      <c r="J22" s="55"/>
      <c r="K22" s="51"/>
      <c r="L22" s="51"/>
      <c r="M22" s="51"/>
    </row>
    <row r="23" spans="1:13" ht="14.5" x14ac:dyDescent="0.35">
      <c r="A23" s="58"/>
      <c r="B23" s="56"/>
      <c r="C23" s="54"/>
      <c r="D23" s="54"/>
      <c r="E23" s="54"/>
      <c r="F23" s="54"/>
      <c r="G23" s="54"/>
      <c r="H23" s="54"/>
      <c r="I23" s="54"/>
      <c r="J23" s="55"/>
      <c r="K23" s="51"/>
      <c r="L23" s="51"/>
      <c r="M23" s="51"/>
    </row>
    <row r="24" spans="1:13" ht="15" thickBot="1" x14ac:dyDescent="0.4">
      <c r="A24" s="60"/>
      <c r="B24" s="61"/>
      <c r="C24" s="62"/>
      <c r="D24" s="62"/>
      <c r="E24" s="62"/>
      <c r="F24" s="62"/>
      <c r="G24" s="62"/>
      <c r="H24" s="62"/>
      <c r="I24" s="62"/>
      <c r="J24" s="63"/>
      <c r="K24" s="51"/>
      <c r="L24" s="51"/>
      <c r="M24" s="51"/>
    </row>
    <row r="25" spans="1:13" ht="15" thickBot="1" x14ac:dyDescent="0.4">
      <c r="A25" s="51"/>
      <c r="B25" s="51"/>
      <c r="C25" s="51"/>
      <c r="D25" s="51"/>
      <c r="E25" s="51"/>
      <c r="F25" s="51"/>
      <c r="G25" s="51"/>
      <c r="H25" s="51"/>
      <c r="I25" s="51"/>
      <c r="J25" s="51"/>
      <c r="K25" s="51"/>
      <c r="L25" s="51"/>
      <c r="M25" s="51"/>
    </row>
    <row r="26" spans="1:13" ht="15" thickBot="1" x14ac:dyDescent="0.4">
      <c r="A26" s="162" t="s">
        <v>14</v>
      </c>
      <c r="B26" s="162"/>
      <c r="C26" s="163"/>
      <c r="D26" s="51"/>
      <c r="E26" s="51"/>
      <c r="F26" s="51"/>
      <c r="G26" s="51"/>
      <c r="H26" s="51"/>
      <c r="I26" s="51"/>
      <c r="J26" s="51"/>
      <c r="K26" s="51"/>
      <c r="L26" s="51"/>
      <c r="M26" s="51"/>
    </row>
    <row r="27" spans="1:13" ht="14.5" x14ac:dyDescent="0.35">
      <c r="A27" s="54" t="s">
        <v>15</v>
      </c>
      <c r="B27" s="54"/>
      <c r="C27" s="55"/>
      <c r="D27" s="51"/>
      <c r="E27" s="51"/>
      <c r="F27" s="51"/>
      <c r="G27" s="51"/>
      <c r="H27" s="51"/>
      <c r="I27" s="51"/>
      <c r="J27" s="51"/>
      <c r="K27" s="51"/>
      <c r="L27" s="51"/>
      <c r="M27" s="51"/>
    </row>
    <row r="28" spans="1:13" ht="14.5" x14ac:dyDescent="0.35">
      <c r="A28" s="54"/>
      <c r="B28" s="54"/>
      <c r="C28" s="55"/>
      <c r="D28" s="51"/>
      <c r="E28" s="51"/>
      <c r="F28" s="51"/>
      <c r="G28" s="51"/>
      <c r="H28" s="51"/>
      <c r="I28" s="51"/>
      <c r="J28" s="51"/>
      <c r="K28" s="51"/>
      <c r="L28" s="51"/>
      <c r="M28" s="51"/>
    </row>
    <row r="29" spans="1:13" ht="14.5" x14ac:dyDescent="0.35">
      <c r="A29" s="54"/>
      <c r="B29" s="54"/>
      <c r="C29" s="55"/>
      <c r="D29" s="51"/>
      <c r="E29" s="51"/>
      <c r="F29" s="51"/>
      <c r="G29" s="51"/>
      <c r="H29" s="51"/>
      <c r="I29" s="51"/>
      <c r="J29" s="51"/>
      <c r="K29" s="51"/>
      <c r="L29" s="51"/>
      <c r="M29" s="51"/>
    </row>
    <row r="30" spans="1:13" ht="14.5" x14ac:dyDescent="0.35">
      <c r="A30" s="54"/>
      <c r="B30" s="54"/>
      <c r="C30" s="55"/>
      <c r="D30" s="51"/>
      <c r="E30" s="51"/>
      <c r="F30" s="51"/>
      <c r="G30" s="51"/>
      <c r="H30" s="51"/>
      <c r="I30" s="51"/>
      <c r="J30" s="51"/>
      <c r="K30" s="51"/>
      <c r="L30" s="51"/>
      <c r="M30" s="51"/>
    </row>
    <row r="31" spans="1:13" ht="14.5" x14ac:dyDescent="0.35">
      <c r="A31" s="54"/>
      <c r="B31" s="54"/>
      <c r="C31" s="55"/>
      <c r="D31" s="51"/>
      <c r="E31" s="51"/>
      <c r="F31" s="51"/>
      <c r="G31" s="64"/>
      <c r="H31" s="64"/>
      <c r="I31" s="64"/>
      <c r="J31" s="64"/>
      <c r="K31" s="64"/>
      <c r="L31" s="64"/>
      <c r="M31" s="51"/>
    </row>
    <row r="32" spans="1:13" ht="14.5" x14ac:dyDescent="0.35">
      <c r="A32" s="54"/>
      <c r="B32" s="54"/>
      <c r="C32" s="55"/>
      <c r="D32" s="51"/>
      <c r="E32" s="51"/>
      <c r="F32" s="51"/>
      <c r="G32" s="64"/>
      <c r="H32" s="64"/>
      <c r="I32" s="64"/>
      <c r="J32" s="64"/>
      <c r="K32" s="64"/>
      <c r="L32" s="64"/>
      <c r="M32" s="51"/>
    </row>
    <row r="33" spans="1:13" ht="14.5" x14ac:dyDescent="0.35">
      <c r="A33" s="54"/>
      <c r="B33" s="54"/>
      <c r="C33" s="55"/>
      <c r="D33" s="51"/>
      <c r="E33" s="51"/>
      <c r="F33" s="51"/>
      <c r="G33" s="51"/>
      <c r="H33" s="51"/>
      <c r="I33" s="51"/>
      <c r="J33" s="51"/>
      <c r="K33" s="51"/>
      <c r="L33" s="51"/>
      <c r="M33" s="51"/>
    </row>
    <row r="34" spans="1:13" ht="14.5" x14ac:dyDescent="0.35">
      <c r="A34" s="54"/>
      <c r="B34" s="54"/>
      <c r="C34" s="55"/>
      <c r="D34" s="51"/>
      <c r="E34" s="51"/>
      <c r="F34" s="51"/>
      <c r="G34" s="51"/>
      <c r="H34" s="51"/>
      <c r="I34" s="51"/>
      <c r="J34" s="51"/>
      <c r="K34" s="51"/>
      <c r="L34" s="51"/>
      <c r="M34" s="51"/>
    </row>
    <row r="35" spans="1:13" ht="15" thickBot="1" x14ac:dyDescent="0.4">
      <c r="A35" s="62"/>
      <c r="B35" s="62"/>
      <c r="C35" s="63"/>
      <c r="D35" s="51"/>
      <c r="E35" s="51"/>
      <c r="F35" s="51"/>
      <c r="G35" s="51"/>
      <c r="H35" s="51"/>
      <c r="I35" s="51"/>
      <c r="J35" s="51"/>
      <c r="K35" s="51"/>
      <c r="L35" s="51"/>
      <c r="M35" s="51"/>
    </row>
    <row r="36" spans="1:13" ht="14.5" x14ac:dyDescent="0.35">
      <c r="A36" s="51"/>
      <c r="B36" s="51"/>
      <c r="C36" s="51"/>
      <c r="D36" s="51"/>
      <c r="E36" s="51"/>
      <c r="F36" s="51"/>
      <c r="G36" s="51"/>
      <c r="H36" s="51"/>
      <c r="I36" s="51"/>
      <c r="J36" s="51"/>
      <c r="K36" s="51"/>
      <c r="L36" s="51"/>
      <c r="M36" s="51"/>
    </row>
    <row r="37" spans="1:13" ht="14.5" x14ac:dyDescent="0.35">
      <c r="A37" s="51"/>
      <c r="B37" s="51"/>
      <c r="C37" s="51"/>
      <c r="D37" s="51"/>
      <c r="E37" s="51"/>
      <c r="F37" s="51"/>
      <c r="G37" s="51"/>
      <c r="H37" s="51"/>
      <c r="I37" s="51"/>
      <c r="J37" s="51"/>
      <c r="K37" s="51"/>
      <c r="L37" s="51"/>
      <c r="M37" s="51"/>
    </row>
    <row r="38" spans="1:13" ht="14.5" x14ac:dyDescent="0.35">
      <c r="A38" s="51"/>
      <c r="B38" s="51"/>
      <c r="C38" s="51"/>
      <c r="D38" s="51"/>
      <c r="E38" s="51"/>
      <c r="F38" s="51"/>
      <c r="G38" s="51"/>
      <c r="H38" s="51"/>
      <c r="I38" s="51"/>
      <c r="J38" s="51"/>
      <c r="K38" s="51"/>
      <c r="L38" s="51"/>
      <c r="M38" s="51"/>
    </row>
    <row r="39" spans="1:13" ht="14.5" x14ac:dyDescent="0.35">
      <c r="A39" s="51"/>
      <c r="B39" s="51"/>
      <c r="C39" s="51"/>
      <c r="D39" s="51"/>
      <c r="E39" s="51"/>
      <c r="F39" s="51"/>
      <c r="G39" s="51"/>
      <c r="H39" s="51"/>
      <c r="I39" s="51"/>
      <c r="J39" s="51"/>
      <c r="K39" s="51"/>
      <c r="L39" s="51"/>
      <c r="M39" s="51"/>
    </row>
  </sheetData>
  <mergeCells count="6">
    <mergeCell ref="A20:J20"/>
    <mergeCell ref="A15:J15"/>
    <mergeCell ref="A26:C26"/>
    <mergeCell ref="A7:J7"/>
    <mergeCell ref="A11:C11"/>
    <mergeCell ref="A8:J9"/>
  </mergeCells>
  <hyperlinks>
    <hyperlink ref="B22" r:id="rId1" xr:uid="{637437CC-C52F-4980-9BB6-9396394FDAB1}"/>
    <hyperlink ref="B21" r:id="rId2" xr:uid="{06DF2E2E-9F08-4400-959A-7B10CBCD6A05}"/>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sheetPr>
  <dimension ref="A1:AY49"/>
  <sheetViews>
    <sheetView tabSelected="1" zoomScaleNormal="100" workbookViewId="0">
      <pane xSplit="2" topLeftCell="C1" activePane="topRight" state="frozen"/>
      <selection pane="topRight" activeCell="D23" sqref="D23"/>
    </sheetView>
  </sheetViews>
  <sheetFormatPr defaultColWidth="8.453125" defaultRowHeight="14.5" x14ac:dyDescent="0.35"/>
  <cols>
    <col min="1" max="1" width="13.1796875" style="134" customWidth="1"/>
    <col min="2" max="2" width="40.453125" style="9" customWidth="1"/>
    <col min="3" max="4" width="25.453125" style="9" customWidth="1"/>
    <col min="5" max="26" width="17.453125" style="9" customWidth="1"/>
    <col min="27" max="16384" width="8.453125" style="9"/>
  </cols>
  <sheetData>
    <row r="1" spans="1:51" s="14" customFormat="1" ht="30.75" customHeight="1" x14ac:dyDescent="0.35">
      <c r="A1" s="132"/>
      <c r="B1" s="15" t="s">
        <v>217</v>
      </c>
    </row>
    <row r="2" spans="1:51" s="18" customFormat="1" ht="13" customHeight="1" thickBot="1" x14ac:dyDescent="0.4">
      <c r="A2" s="133"/>
      <c r="B2" s="17"/>
    </row>
    <row r="3" spans="1:51" s="18" customFormat="1" ht="13" customHeight="1" x14ac:dyDescent="0.35">
      <c r="A3" s="178" t="s">
        <v>185</v>
      </c>
      <c r="B3" s="16" t="s">
        <v>16</v>
      </c>
      <c r="C3" s="27" t="s">
        <v>17</v>
      </c>
      <c r="D3" s="28" t="s">
        <v>18</v>
      </c>
      <c r="F3" s="120"/>
      <c r="G3" s="121"/>
    </row>
    <row r="4" spans="1:51" ht="21" customHeight="1" x14ac:dyDescent="0.35">
      <c r="A4" s="178"/>
      <c r="B4" s="29" t="s">
        <v>19</v>
      </c>
      <c r="C4" s="30"/>
      <c r="D4" s="31"/>
      <c r="F4" s="122"/>
      <c r="G4" s="123"/>
    </row>
    <row r="5" spans="1:51" x14ac:dyDescent="0.35">
      <c r="A5" s="136">
        <v>41</v>
      </c>
      <c r="B5" s="96" t="s">
        <v>20</v>
      </c>
      <c r="C5" s="32" t="s">
        <v>21</v>
      </c>
      <c r="D5" s="91">
        <v>2025</v>
      </c>
      <c r="F5" s="122"/>
      <c r="G5" s="123"/>
    </row>
    <row r="6" spans="1:51" x14ac:dyDescent="0.35">
      <c r="A6" s="136"/>
      <c r="B6" s="97" t="s">
        <v>22</v>
      </c>
      <c r="C6" s="33" t="s">
        <v>21</v>
      </c>
      <c r="D6" s="91">
        <v>2026</v>
      </c>
      <c r="F6" s="122"/>
      <c r="G6" s="123"/>
      <c r="P6" s="19"/>
    </row>
    <row r="7" spans="1:51" x14ac:dyDescent="0.35">
      <c r="A7" s="136"/>
      <c r="B7" s="97" t="s">
        <v>23</v>
      </c>
      <c r="C7" s="33" t="s">
        <v>21</v>
      </c>
      <c r="D7" s="33">
        <f>D5+29</f>
        <v>2054</v>
      </c>
      <c r="F7" s="122"/>
      <c r="G7" s="123"/>
      <c r="P7" s="19"/>
    </row>
    <row r="8" spans="1:51" ht="15" thickBot="1" x14ac:dyDescent="0.4">
      <c r="A8" s="136"/>
      <c r="B8" s="98" t="s">
        <v>24</v>
      </c>
      <c r="C8" s="34" t="s">
        <v>25</v>
      </c>
      <c r="D8" s="92">
        <v>0.02</v>
      </c>
      <c r="F8" s="124"/>
      <c r="G8" s="125"/>
      <c r="P8" s="19"/>
    </row>
    <row r="9" spans="1:51" ht="15" thickBot="1" x14ac:dyDescent="0.4">
      <c r="A9" s="136">
        <v>42</v>
      </c>
      <c r="B9" s="35" t="s">
        <v>26</v>
      </c>
      <c r="C9" s="93"/>
      <c r="D9" s="36"/>
      <c r="P9" s="19"/>
    </row>
    <row r="10" spans="1:51" ht="15.5" thickTop="1" thickBot="1" x14ac:dyDescent="0.4">
      <c r="A10" s="136"/>
      <c r="B10" s="97" t="s">
        <v>27</v>
      </c>
      <c r="C10" s="95" t="s">
        <v>28</v>
      </c>
      <c r="D10" s="111">
        <v>4.3999999999999997E-2</v>
      </c>
      <c r="P10" s="19"/>
    </row>
    <row r="11" spans="1:51" ht="15.5" thickTop="1" thickBot="1" x14ac:dyDescent="0.4">
      <c r="A11" s="136"/>
      <c r="B11" s="96" t="s">
        <v>29</v>
      </c>
      <c r="C11" s="95" t="s">
        <v>28</v>
      </c>
      <c r="D11" s="112">
        <v>6.7500000000000004E-2</v>
      </c>
      <c r="P11" s="19"/>
    </row>
    <row r="12" spans="1:51" ht="15" thickTop="1" x14ac:dyDescent="0.35">
      <c r="A12" s="136"/>
      <c r="B12" s="35" t="s">
        <v>30</v>
      </c>
      <c r="C12" s="94"/>
      <c r="D12" s="36"/>
      <c r="P12" s="19"/>
    </row>
    <row r="13" spans="1:51" x14ac:dyDescent="0.35">
      <c r="A13" s="136">
        <v>43</v>
      </c>
      <c r="B13" s="97" t="s">
        <v>31</v>
      </c>
      <c r="C13" s="34" t="s">
        <v>25</v>
      </c>
      <c r="D13" s="113">
        <v>6.5000000000000002E-2</v>
      </c>
    </row>
    <row r="14" spans="1:51" x14ac:dyDescent="0.35">
      <c r="A14" s="136"/>
      <c r="B14" s="96" t="s">
        <v>32</v>
      </c>
      <c r="C14" s="34" t="s">
        <v>25</v>
      </c>
      <c r="D14" s="113">
        <v>6.5000000000000002E-2</v>
      </c>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row>
    <row r="15" spans="1:51" x14ac:dyDescent="0.35">
      <c r="A15" s="136"/>
      <c r="B15" s="97" t="s">
        <v>33</v>
      </c>
      <c r="C15" s="34" t="s">
        <v>25</v>
      </c>
      <c r="D15" s="113">
        <v>0</v>
      </c>
    </row>
    <row r="16" spans="1:51" x14ac:dyDescent="0.35">
      <c r="A16" s="136">
        <v>44</v>
      </c>
      <c r="B16" s="99" t="s">
        <v>206</v>
      </c>
      <c r="C16" s="34" t="s">
        <v>25</v>
      </c>
      <c r="D16" s="92">
        <v>0.1</v>
      </c>
    </row>
    <row r="17" spans="1:26" x14ac:dyDescent="0.35">
      <c r="A17" s="136"/>
    </row>
    <row r="18" spans="1:26" x14ac:dyDescent="0.35">
      <c r="A18" s="136"/>
    </row>
    <row r="19" spans="1:26" ht="14.5" customHeight="1" x14ac:dyDescent="0.35">
      <c r="A19" s="136">
        <v>45</v>
      </c>
      <c r="B19" s="100" t="s">
        <v>35</v>
      </c>
      <c r="C19" s="176" t="s">
        <v>36</v>
      </c>
      <c r="D19" s="177"/>
    </row>
    <row r="20" spans="1:26" ht="15" customHeight="1" x14ac:dyDescent="0.35">
      <c r="A20" s="136"/>
      <c r="B20" s="96" t="s">
        <v>214</v>
      </c>
      <c r="C20" s="101" t="s">
        <v>215</v>
      </c>
      <c r="D20" s="102">
        <v>2025</v>
      </c>
    </row>
    <row r="21" spans="1:26" ht="14.5" customHeight="1" x14ac:dyDescent="0.35">
      <c r="A21" s="136"/>
      <c r="B21" s="173" t="s">
        <v>216</v>
      </c>
      <c r="C21" s="101" t="s">
        <v>37</v>
      </c>
      <c r="D21" s="102" t="s">
        <v>38</v>
      </c>
    </row>
    <row r="22" spans="1:26" ht="14.5" customHeight="1" x14ac:dyDescent="0.35">
      <c r="A22" s="136"/>
      <c r="B22" s="174"/>
      <c r="C22" s="101" t="s">
        <v>39</v>
      </c>
      <c r="D22" s="102"/>
    </row>
    <row r="23" spans="1:26" ht="15" customHeight="1" x14ac:dyDescent="0.35">
      <c r="A23" s="136"/>
      <c r="B23" s="175"/>
      <c r="C23" s="101" t="s">
        <v>40</v>
      </c>
      <c r="D23" s="102"/>
    </row>
    <row r="25" spans="1:26" x14ac:dyDescent="0.35">
      <c r="B25" s="48" t="s">
        <v>59</v>
      </c>
      <c r="C25" s="49"/>
    </row>
    <row r="26" spans="1:26" x14ac:dyDescent="0.35">
      <c r="B26" s="39" t="s">
        <v>60</v>
      </c>
      <c r="C26" s="40" t="s">
        <v>52</v>
      </c>
    </row>
    <row r="27" spans="1:26" x14ac:dyDescent="0.35">
      <c r="B27" s="39" t="s">
        <v>61</v>
      </c>
      <c r="C27" s="41" t="s">
        <v>51</v>
      </c>
    </row>
    <row r="28" spans="1:26" x14ac:dyDescent="0.35">
      <c r="B28" s="39" t="s">
        <v>62</v>
      </c>
      <c r="C28" s="42" t="s">
        <v>45</v>
      </c>
    </row>
    <row r="29" spans="1:26" x14ac:dyDescent="0.35">
      <c r="B29" s="43" t="s">
        <v>63</v>
      </c>
      <c r="C29" s="44" t="s">
        <v>44</v>
      </c>
    </row>
    <row r="30" spans="1:26" x14ac:dyDescent="0.35">
      <c r="B30" s="12" t="s">
        <v>41</v>
      </c>
      <c r="C30" s="13" t="s">
        <v>42</v>
      </c>
    </row>
    <row r="31" spans="1:26" x14ac:dyDescent="0.35">
      <c r="B31" s="12" t="s">
        <v>180</v>
      </c>
      <c r="C31" s="37">
        <v>1</v>
      </c>
      <c r="D31" s="37">
        <v>2</v>
      </c>
      <c r="E31" s="37">
        <v>3</v>
      </c>
      <c r="F31" s="37">
        <v>4</v>
      </c>
      <c r="G31" s="37">
        <v>5</v>
      </c>
      <c r="H31" s="37">
        <v>6</v>
      </c>
      <c r="I31" s="37">
        <v>7</v>
      </c>
      <c r="J31" s="37">
        <v>8</v>
      </c>
      <c r="K31" s="37">
        <v>9</v>
      </c>
      <c r="L31" s="37">
        <v>10</v>
      </c>
      <c r="M31" s="37">
        <v>11</v>
      </c>
      <c r="N31" s="37">
        <v>12</v>
      </c>
      <c r="O31" s="37">
        <v>13</v>
      </c>
      <c r="P31" s="37">
        <v>14</v>
      </c>
      <c r="Q31" s="37">
        <v>15</v>
      </c>
      <c r="R31" s="37">
        <v>16</v>
      </c>
      <c r="S31" s="37">
        <v>17</v>
      </c>
      <c r="T31" s="37">
        <v>18</v>
      </c>
      <c r="U31" s="37">
        <v>19</v>
      </c>
      <c r="V31" s="37">
        <v>20</v>
      </c>
      <c r="W31" s="37">
        <v>21</v>
      </c>
      <c r="X31" s="37">
        <v>22</v>
      </c>
      <c r="Y31" s="37">
        <v>23</v>
      </c>
      <c r="Z31" s="37">
        <v>24</v>
      </c>
    </row>
    <row r="32" spans="1:26" x14ac:dyDescent="0.35">
      <c r="B32" s="45" t="s">
        <v>43</v>
      </c>
      <c r="C32" s="21" t="s">
        <v>44</v>
      </c>
      <c r="D32" s="21" t="s">
        <v>44</v>
      </c>
      <c r="E32" s="21" t="s">
        <v>44</v>
      </c>
      <c r="F32" s="21" t="s">
        <v>44</v>
      </c>
      <c r="G32" s="21" t="s">
        <v>44</v>
      </c>
      <c r="H32" s="21" t="s">
        <v>44</v>
      </c>
      <c r="I32" s="21" t="s">
        <v>45</v>
      </c>
      <c r="J32" s="21" t="s">
        <v>45</v>
      </c>
      <c r="K32" s="21" t="s">
        <v>45</v>
      </c>
      <c r="L32" s="21" t="s">
        <v>45</v>
      </c>
      <c r="M32" s="21" t="s">
        <v>44</v>
      </c>
      <c r="N32" s="21" t="s">
        <v>44</v>
      </c>
      <c r="O32" s="21" t="s">
        <v>44</v>
      </c>
      <c r="P32" s="21" t="s">
        <v>44</v>
      </c>
      <c r="Q32" s="21" t="s">
        <v>44</v>
      </c>
      <c r="R32" s="21" t="s">
        <v>44</v>
      </c>
      <c r="S32" s="21" t="s">
        <v>44</v>
      </c>
      <c r="T32" s="21" t="s">
        <v>44</v>
      </c>
      <c r="U32" s="21" t="s">
        <v>44</v>
      </c>
      <c r="V32" s="21" t="s">
        <v>44</v>
      </c>
      <c r="W32" s="21" t="s">
        <v>44</v>
      </c>
      <c r="X32" s="21" t="s">
        <v>44</v>
      </c>
      <c r="Y32" s="21" t="s">
        <v>44</v>
      </c>
      <c r="Z32" s="22" t="s">
        <v>44</v>
      </c>
    </row>
    <row r="33" spans="2:26" x14ac:dyDescent="0.35">
      <c r="B33" s="45" t="s">
        <v>46</v>
      </c>
      <c r="C33" s="23" t="s">
        <v>44</v>
      </c>
      <c r="D33" s="23" t="s">
        <v>44</v>
      </c>
      <c r="E33" s="23" t="s">
        <v>44</v>
      </c>
      <c r="F33" s="23" t="s">
        <v>44</v>
      </c>
      <c r="G33" s="23" t="s">
        <v>44</v>
      </c>
      <c r="H33" s="23" t="s">
        <v>44</v>
      </c>
      <c r="I33" s="23" t="s">
        <v>45</v>
      </c>
      <c r="J33" s="23" t="s">
        <v>45</v>
      </c>
      <c r="K33" s="23" t="s">
        <v>45</v>
      </c>
      <c r="L33" s="23" t="s">
        <v>45</v>
      </c>
      <c r="M33" s="23" t="s">
        <v>44</v>
      </c>
      <c r="N33" s="23" t="s">
        <v>44</v>
      </c>
      <c r="O33" s="23" t="s">
        <v>44</v>
      </c>
      <c r="P33" s="23" t="s">
        <v>44</v>
      </c>
      <c r="Q33" s="23" t="s">
        <v>44</v>
      </c>
      <c r="R33" s="23" t="s">
        <v>44</v>
      </c>
      <c r="S33" s="23" t="s">
        <v>44</v>
      </c>
      <c r="T33" s="23" t="s">
        <v>44</v>
      </c>
      <c r="U33" s="23" t="s">
        <v>44</v>
      </c>
      <c r="V33" s="23" t="s">
        <v>44</v>
      </c>
      <c r="W33" s="23" t="s">
        <v>44</v>
      </c>
      <c r="X33" s="23" t="s">
        <v>44</v>
      </c>
      <c r="Y33" s="23" t="s">
        <v>44</v>
      </c>
      <c r="Z33" s="24" t="s">
        <v>44</v>
      </c>
    </row>
    <row r="34" spans="2:26" x14ac:dyDescent="0.35">
      <c r="B34" s="45" t="s">
        <v>47</v>
      </c>
      <c r="C34" s="23" t="s">
        <v>44</v>
      </c>
      <c r="D34" s="23" t="s">
        <v>44</v>
      </c>
      <c r="E34" s="23" t="s">
        <v>44</v>
      </c>
      <c r="F34" s="23" t="s">
        <v>44</v>
      </c>
      <c r="G34" s="23" t="s">
        <v>44</v>
      </c>
      <c r="H34" s="23" t="s">
        <v>44</v>
      </c>
      <c r="I34" s="23" t="s">
        <v>45</v>
      </c>
      <c r="J34" s="23" t="s">
        <v>45</v>
      </c>
      <c r="K34" s="23" t="s">
        <v>45</v>
      </c>
      <c r="L34" s="23" t="s">
        <v>45</v>
      </c>
      <c r="M34" s="23" t="s">
        <v>44</v>
      </c>
      <c r="N34" s="23" t="s">
        <v>44</v>
      </c>
      <c r="O34" s="23" t="s">
        <v>44</v>
      </c>
      <c r="P34" s="23" t="s">
        <v>44</v>
      </c>
      <c r="Q34" s="23" t="s">
        <v>44</v>
      </c>
      <c r="R34" s="23" t="s">
        <v>44</v>
      </c>
      <c r="S34" s="23" t="s">
        <v>44</v>
      </c>
      <c r="T34" s="23" t="s">
        <v>44</v>
      </c>
      <c r="U34" s="23" t="s">
        <v>44</v>
      </c>
      <c r="V34" s="23" t="s">
        <v>44</v>
      </c>
      <c r="W34" s="23" t="s">
        <v>44</v>
      </c>
      <c r="X34" s="23" t="s">
        <v>44</v>
      </c>
      <c r="Y34" s="23" t="s">
        <v>44</v>
      </c>
      <c r="Z34" s="24" t="s">
        <v>44</v>
      </c>
    </row>
    <row r="35" spans="2:26" x14ac:dyDescent="0.35">
      <c r="B35" s="45" t="s">
        <v>48</v>
      </c>
      <c r="C35" s="23" t="s">
        <v>44</v>
      </c>
      <c r="D35" s="23" t="s">
        <v>44</v>
      </c>
      <c r="E35" s="23" t="s">
        <v>44</v>
      </c>
      <c r="F35" s="23" t="s">
        <v>44</v>
      </c>
      <c r="G35" s="23" t="s">
        <v>44</v>
      </c>
      <c r="H35" s="23" t="s">
        <v>44</v>
      </c>
      <c r="I35" s="23" t="s">
        <v>45</v>
      </c>
      <c r="J35" s="23" t="s">
        <v>45</v>
      </c>
      <c r="K35" s="23" t="s">
        <v>45</v>
      </c>
      <c r="L35" s="23" t="s">
        <v>45</v>
      </c>
      <c r="M35" s="23" t="s">
        <v>44</v>
      </c>
      <c r="N35" s="23" t="s">
        <v>44</v>
      </c>
      <c r="O35" s="23" t="s">
        <v>44</v>
      </c>
      <c r="P35" s="23" t="s">
        <v>44</v>
      </c>
      <c r="Q35" s="23" t="s">
        <v>44</v>
      </c>
      <c r="R35" s="23" t="s">
        <v>44</v>
      </c>
      <c r="S35" s="23" t="s">
        <v>44</v>
      </c>
      <c r="T35" s="23" t="s">
        <v>44</v>
      </c>
      <c r="U35" s="23" t="s">
        <v>44</v>
      </c>
      <c r="V35" s="23" t="s">
        <v>44</v>
      </c>
      <c r="W35" s="23" t="s">
        <v>44</v>
      </c>
      <c r="X35" s="23" t="s">
        <v>44</v>
      </c>
      <c r="Y35" s="23" t="s">
        <v>44</v>
      </c>
      <c r="Z35" s="24" t="s">
        <v>44</v>
      </c>
    </row>
    <row r="36" spans="2:26" x14ac:dyDescent="0.35">
      <c r="B36" s="45" t="s">
        <v>49</v>
      </c>
      <c r="C36" s="23" t="s">
        <v>44</v>
      </c>
      <c r="D36" s="23" t="s">
        <v>44</v>
      </c>
      <c r="E36" s="23" t="s">
        <v>44</v>
      </c>
      <c r="F36" s="23" t="s">
        <v>44</v>
      </c>
      <c r="G36" s="23" t="s">
        <v>44</v>
      </c>
      <c r="H36" s="23" t="s">
        <v>44</v>
      </c>
      <c r="I36" s="23" t="s">
        <v>45</v>
      </c>
      <c r="J36" s="23" t="s">
        <v>45</v>
      </c>
      <c r="K36" s="23" t="s">
        <v>45</v>
      </c>
      <c r="L36" s="23" t="s">
        <v>45</v>
      </c>
      <c r="M36" s="23" t="s">
        <v>44</v>
      </c>
      <c r="N36" s="23" t="s">
        <v>44</v>
      </c>
      <c r="O36" s="23" t="s">
        <v>44</v>
      </c>
      <c r="P36" s="23" t="s">
        <v>44</v>
      </c>
      <c r="Q36" s="23" t="s">
        <v>44</v>
      </c>
      <c r="R36" s="23" t="s">
        <v>44</v>
      </c>
      <c r="S36" s="23" t="s">
        <v>44</v>
      </c>
      <c r="T36" s="23" t="s">
        <v>44</v>
      </c>
      <c r="U36" s="23" t="s">
        <v>44</v>
      </c>
      <c r="V36" s="23" t="s">
        <v>44</v>
      </c>
      <c r="W36" s="23" t="s">
        <v>44</v>
      </c>
      <c r="X36" s="23" t="s">
        <v>44</v>
      </c>
      <c r="Y36" s="23" t="s">
        <v>44</v>
      </c>
      <c r="Z36" s="24" t="s">
        <v>44</v>
      </c>
    </row>
    <row r="37" spans="2:26" x14ac:dyDescent="0.35">
      <c r="B37" s="45" t="s">
        <v>50</v>
      </c>
      <c r="C37" s="23" t="s">
        <v>51</v>
      </c>
      <c r="D37" s="23" t="s">
        <v>51</v>
      </c>
      <c r="E37" s="23" t="s">
        <v>51</v>
      </c>
      <c r="F37" s="23" t="s">
        <v>51</v>
      </c>
      <c r="G37" s="23" t="s">
        <v>51</v>
      </c>
      <c r="H37" s="23" t="s">
        <v>51</v>
      </c>
      <c r="I37" s="23" t="s">
        <v>51</v>
      </c>
      <c r="J37" s="23" t="s">
        <v>51</v>
      </c>
      <c r="K37" s="23" t="s">
        <v>51</v>
      </c>
      <c r="L37" s="23" t="s">
        <v>51</v>
      </c>
      <c r="M37" s="23" t="s">
        <v>51</v>
      </c>
      <c r="N37" s="23" t="s">
        <v>51</v>
      </c>
      <c r="O37" s="23" t="s">
        <v>51</v>
      </c>
      <c r="P37" s="23" t="s">
        <v>51</v>
      </c>
      <c r="Q37" s="23" t="s">
        <v>51</v>
      </c>
      <c r="R37" s="23" t="s">
        <v>51</v>
      </c>
      <c r="S37" s="23" t="s">
        <v>51</v>
      </c>
      <c r="T37" s="23" t="s">
        <v>52</v>
      </c>
      <c r="U37" s="23" t="s">
        <v>52</v>
      </c>
      <c r="V37" s="23" t="s">
        <v>52</v>
      </c>
      <c r="W37" s="23" t="s">
        <v>52</v>
      </c>
      <c r="X37" s="23" t="s">
        <v>51</v>
      </c>
      <c r="Y37" s="23" t="s">
        <v>51</v>
      </c>
      <c r="Z37" s="24" t="s">
        <v>51</v>
      </c>
    </row>
    <row r="38" spans="2:26" x14ac:dyDescent="0.35">
      <c r="B38" s="45" t="s">
        <v>53</v>
      </c>
      <c r="C38" s="23" t="s">
        <v>51</v>
      </c>
      <c r="D38" s="23" t="s">
        <v>51</v>
      </c>
      <c r="E38" s="23" t="s">
        <v>51</v>
      </c>
      <c r="F38" s="23" t="s">
        <v>51</v>
      </c>
      <c r="G38" s="23" t="s">
        <v>51</v>
      </c>
      <c r="H38" s="23" t="s">
        <v>51</v>
      </c>
      <c r="I38" s="23" t="s">
        <v>51</v>
      </c>
      <c r="J38" s="23" t="s">
        <v>51</v>
      </c>
      <c r="K38" s="23" t="s">
        <v>51</v>
      </c>
      <c r="L38" s="23" t="s">
        <v>51</v>
      </c>
      <c r="M38" s="23" t="s">
        <v>51</v>
      </c>
      <c r="N38" s="23" t="s">
        <v>51</v>
      </c>
      <c r="O38" s="23" t="s">
        <v>51</v>
      </c>
      <c r="P38" s="23" t="s">
        <v>51</v>
      </c>
      <c r="Q38" s="23" t="s">
        <v>51</v>
      </c>
      <c r="R38" s="23" t="s">
        <v>51</v>
      </c>
      <c r="S38" s="23" t="s">
        <v>51</v>
      </c>
      <c r="T38" s="23" t="s">
        <v>52</v>
      </c>
      <c r="U38" s="23" t="s">
        <v>52</v>
      </c>
      <c r="V38" s="23" t="s">
        <v>52</v>
      </c>
      <c r="W38" s="23" t="s">
        <v>52</v>
      </c>
      <c r="X38" s="23" t="s">
        <v>51</v>
      </c>
      <c r="Y38" s="23" t="s">
        <v>51</v>
      </c>
      <c r="Z38" s="24" t="s">
        <v>51</v>
      </c>
    </row>
    <row r="39" spans="2:26" x14ac:dyDescent="0.35">
      <c r="B39" s="45" t="s">
        <v>54</v>
      </c>
      <c r="C39" s="23" t="s">
        <v>51</v>
      </c>
      <c r="D39" s="23" t="s">
        <v>51</v>
      </c>
      <c r="E39" s="23" t="s">
        <v>51</v>
      </c>
      <c r="F39" s="23" t="s">
        <v>51</v>
      </c>
      <c r="G39" s="23" t="s">
        <v>51</v>
      </c>
      <c r="H39" s="23" t="s">
        <v>51</v>
      </c>
      <c r="I39" s="23" t="s">
        <v>51</v>
      </c>
      <c r="J39" s="23" t="s">
        <v>51</v>
      </c>
      <c r="K39" s="23" t="s">
        <v>51</v>
      </c>
      <c r="L39" s="23" t="s">
        <v>51</v>
      </c>
      <c r="M39" s="23" t="s">
        <v>51</v>
      </c>
      <c r="N39" s="23" t="s">
        <v>51</v>
      </c>
      <c r="O39" s="23" t="s">
        <v>51</v>
      </c>
      <c r="P39" s="23" t="s">
        <v>51</v>
      </c>
      <c r="Q39" s="23" t="s">
        <v>51</v>
      </c>
      <c r="R39" s="23" t="s">
        <v>51</v>
      </c>
      <c r="S39" s="23" t="s">
        <v>51</v>
      </c>
      <c r="T39" s="23" t="s">
        <v>52</v>
      </c>
      <c r="U39" s="23" t="s">
        <v>52</v>
      </c>
      <c r="V39" s="23" t="s">
        <v>52</v>
      </c>
      <c r="W39" s="23" t="s">
        <v>52</v>
      </c>
      <c r="X39" s="23" t="s">
        <v>51</v>
      </c>
      <c r="Y39" s="23" t="s">
        <v>51</v>
      </c>
      <c r="Z39" s="24" t="s">
        <v>51</v>
      </c>
    </row>
    <row r="40" spans="2:26" x14ac:dyDescent="0.35">
      <c r="B40" s="45" t="s">
        <v>55</v>
      </c>
      <c r="C40" s="23" t="s">
        <v>51</v>
      </c>
      <c r="D40" s="23" t="s">
        <v>51</v>
      </c>
      <c r="E40" s="23" t="s">
        <v>51</v>
      </c>
      <c r="F40" s="23" t="s">
        <v>51</v>
      </c>
      <c r="G40" s="23" t="s">
        <v>51</v>
      </c>
      <c r="H40" s="23" t="s">
        <v>51</v>
      </c>
      <c r="I40" s="23" t="s">
        <v>51</v>
      </c>
      <c r="J40" s="23" t="s">
        <v>51</v>
      </c>
      <c r="K40" s="23" t="s">
        <v>51</v>
      </c>
      <c r="L40" s="23" t="s">
        <v>51</v>
      </c>
      <c r="M40" s="23" t="s">
        <v>51</v>
      </c>
      <c r="N40" s="23" t="s">
        <v>51</v>
      </c>
      <c r="O40" s="23" t="s">
        <v>51</v>
      </c>
      <c r="P40" s="23" t="s">
        <v>51</v>
      </c>
      <c r="Q40" s="23" t="s">
        <v>51</v>
      </c>
      <c r="R40" s="23" t="s">
        <v>51</v>
      </c>
      <c r="S40" s="23" t="s">
        <v>51</v>
      </c>
      <c r="T40" s="23" t="s">
        <v>52</v>
      </c>
      <c r="U40" s="23" t="s">
        <v>52</v>
      </c>
      <c r="V40" s="23" t="s">
        <v>52</v>
      </c>
      <c r="W40" s="23" t="s">
        <v>52</v>
      </c>
      <c r="X40" s="23" t="s">
        <v>51</v>
      </c>
      <c r="Y40" s="23" t="s">
        <v>51</v>
      </c>
      <c r="Z40" s="24" t="s">
        <v>51</v>
      </c>
    </row>
    <row r="41" spans="2:26" x14ac:dyDescent="0.35">
      <c r="B41" s="45" t="s">
        <v>56</v>
      </c>
      <c r="C41" s="23" t="s">
        <v>44</v>
      </c>
      <c r="D41" s="23" t="s">
        <v>44</v>
      </c>
      <c r="E41" s="23" t="s">
        <v>44</v>
      </c>
      <c r="F41" s="23" t="s">
        <v>44</v>
      </c>
      <c r="G41" s="23" t="s">
        <v>44</v>
      </c>
      <c r="H41" s="23" t="s">
        <v>44</v>
      </c>
      <c r="I41" s="23" t="s">
        <v>45</v>
      </c>
      <c r="J41" s="23" t="s">
        <v>45</v>
      </c>
      <c r="K41" s="23" t="s">
        <v>45</v>
      </c>
      <c r="L41" s="23" t="s">
        <v>45</v>
      </c>
      <c r="M41" s="23" t="s">
        <v>44</v>
      </c>
      <c r="N41" s="23" t="s">
        <v>44</v>
      </c>
      <c r="O41" s="23" t="s">
        <v>44</v>
      </c>
      <c r="P41" s="23" t="s">
        <v>44</v>
      </c>
      <c r="Q41" s="23" t="s">
        <v>44</v>
      </c>
      <c r="R41" s="23" t="s">
        <v>44</v>
      </c>
      <c r="S41" s="23" t="s">
        <v>44</v>
      </c>
      <c r="T41" s="23" t="s">
        <v>44</v>
      </c>
      <c r="U41" s="23" t="s">
        <v>44</v>
      </c>
      <c r="V41" s="23" t="s">
        <v>44</v>
      </c>
      <c r="W41" s="23" t="s">
        <v>44</v>
      </c>
      <c r="X41" s="23" t="s">
        <v>44</v>
      </c>
      <c r="Y41" s="23" t="s">
        <v>44</v>
      </c>
      <c r="Z41" s="24" t="s">
        <v>44</v>
      </c>
    </row>
    <row r="42" spans="2:26" x14ac:dyDescent="0.35">
      <c r="B42" s="45" t="s">
        <v>57</v>
      </c>
      <c r="C42" s="23" t="s">
        <v>44</v>
      </c>
      <c r="D42" s="23" t="s">
        <v>44</v>
      </c>
      <c r="E42" s="23" t="s">
        <v>44</v>
      </c>
      <c r="F42" s="23" t="s">
        <v>44</v>
      </c>
      <c r="G42" s="23" t="s">
        <v>44</v>
      </c>
      <c r="H42" s="23" t="s">
        <v>44</v>
      </c>
      <c r="I42" s="23" t="s">
        <v>45</v>
      </c>
      <c r="J42" s="23" t="s">
        <v>45</v>
      </c>
      <c r="K42" s="23" t="s">
        <v>45</v>
      </c>
      <c r="L42" s="23" t="s">
        <v>45</v>
      </c>
      <c r="M42" s="23" t="s">
        <v>44</v>
      </c>
      <c r="N42" s="23" t="s">
        <v>44</v>
      </c>
      <c r="O42" s="23" t="s">
        <v>44</v>
      </c>
      <c r="P42" s="23" t="s">
        <v>44</v>
      </c>
      <c r="Q42" s="23" t="s">
        <v>44</v>
      </c>
      <c r="R42" s="23" t="s">
        <v>44</v>
      </c>
      <c r="S42" s="23" t="s">
        <v>44</v>
      </c>
      <c r="T42" s="23" t="s">
        <v>44</v>
      </c>
      <c r="U42" s="23" t="s">
        <v>44</v>
      </c>
      <c r="V42" s="23" t="s">
        <v>44</v>
      </c>
      <c r="W42" s="23" t="s">
        <v>44</v>
      </c>
      <c r="X42" s="23" t="s">
        <v>44</v>
      </c>
      <c r="Y42" s="23" t="s">
        <v>44</v>
      </c>
      <c r="Z42" s="24" t="s">
        <v>44</v>
      </c>
    </row>
    <row r="43" spans="2:26" x14ac:dyDescent="0.35">
      <c r="B43" s="45" t="s">
        <v>58</v>
      </c>
      <c r="C43" s="25" t="s">
        <v>44</v>
      </c>
      <c r="D43" s="25" t="s">
        <v>44</v>
      </c>
      <c r="E43" s="25" t="s">
        <v>44</v>
      </c>
      <c r="F43" s="25" t="s">
        <v>44</v>
      </c>
      <c r="G43" s="25" t="s">
        <v>44</v>
      </c>
      <c r="H43" s="25" t="s">
        <v>44</v>
      </c>
      <c r="I43" s="25" t="s">
        <v>45</v>
      </c>
      <c r="J43" s="25" t="s">
        <v>45</v>
      </c>
      <c r="K43" s="25" t="s">
        <v>45</v>
      </c>
      <c r="L43" s="25" t="s">
        <v>45</v>
      </c>
      <c r="M43" s="25" t="s">
        <v>44</v>
      </c>
      <c r="N43" s="25" t="s">
        <v>44</v>
      </c>
      <c r="O43" s="25" t="s">
        <v>44</v>
      </c>
      <c r="P43" s="25" t="s">
        <v>44</v>
      </c>
      <c r="Q43" s="25" t="s">
        <v>44</v>
      </c>
      <c r="R43" s="25" t="s">
        <v>44</v>
      </c>
      <c r="S43" s="25" t="s">
        <v>44</v>
      </c>
      <c r="T43" s="25" t="s">
        <v>44</v>
      </c>
      <c r="U43" s="25" t="s">
        <v>44</v>
      </c>
      <c r="V43" s="25" t="s">
        <v>44</v>
      </c>
      <c r="W43" s="25" t="s">
        <v>44</v>
      </c>
      <c r="X43" s="25" t="s">
        <v>44</v>
      </c>
      <c r="Y43" s="25" t="s">
        <v>44</v>
      </c>
      <c r="Z43" s="26" t="s">
        <v>44</v>
      </c>
    </row>
    <row r="45" spans="2:26" x14ac:dyDescent="0.35">
      <c r="B45" s="48" t="s">
        <v>59</v>
      </c>
      <c r="C45" s="49"/>
    </row>
    <row r="46" spans="2:26" x14ac:dyDescent="0.35">
      <c r="B46" s="39" t="s">
        <v>60</v>
      </c>
      <c r="C46" s="40" t="s">
        <v>52</v>
      </c>
    </row>
    <row r="47" spans="2:26" x14ac:dyDescent="0.35">
      <c r="B47" s="39" t="s">
        <v>61</v>
      </c>
      <c r="C47" s="41" t="s">
        <v>51</v>
      </c>
    </row>
    <row r="48" spans="2:26" x14ac:dyDescent="0.35">
      <c r="B48" s="39" t="s">
        <v>62</v>
      </c>
      <c r="C48" s="42" t="s">
        <v>45</v>
      </c>
    </row>
    <row r="49" spans="2:3" x14ac:dyDescent="0.35">
      <c r="B49" s="43" t="s">
        <v>63</v>
      </c>
      <c r="C49" s="44" t="s">
        <v>44</v>
      </c>
    </row>
  </sheetData>
  <protectedRanges>
    <protectedRange sqref="D4 D8" name="G1"/>
    <protectedRange sqref="D16" name="G1_1"/>
    <protectedRange sqref="D3" name="G1_2"/>
  </protectedRanges>
  <mergeCells count="3">
    <mergeCell ref="B21:B23"/>
    <mergeCell ref="C19:D19"/>
    <mergeCell ref="A3:A4"/>
  </mergeCells>
  <phoneticPr fontId="5" type="noConversion"/>
  <conditionalFormatting sqref="C32:Z43">
    <cfRule type="expression" dxfId="6" priority="9">
      <formula>$C$49=C32</formula>
    </cfRule>
    <cfRule type="expression" dxfId="5" priority="10">
      <formula>$C$48=C32</formula>
    </cfRule>
    <cfRule type="expression" dxfId="4" priority="11">
      <formula>$C$47=C32</formula>
    </cfRule>
    <cfRule type="expression" dxfId="3" priority="12" stopIfTrue="1">
      <formula>$C$46=C32</formula>
    </cfRule>
  </conditionalFormatting>
  <dataValidations disablePrompts="1" count="3">
    <dataValidation type="custom" allowBlank="1" showInputMessage="1" showErrorMessage="1" errorTitle="Invalid Entry" error="Program Year 1 must be greater than or equal to Base Year" sqref="D6" xr:uid="{1C78DFFB-AFE2-4072-908E-238556E306BA}">
      <formula1>D6&gt;=D5</formula1>
    </dataValidation>
    <dataValidation type="list" allowBlank="1" showInputMessage="1" showErrorMessage="1" sqref="C32:Z43" xr:uid="{DC7C1748-C01F-4861-BD89-B6C6DA35CAE7}">
      <formula1>$C$26:$C$29</formula1>
    </dataValidation>
    <dataValidation type="list" allowBlank="1" showInputMessage="1" showErrorMessage="1" sqref="C10:C11" xr:uid="{B178FB77-92F4-41BC-9112-8E1B60495B1B}">
      <formula1>"Real %,Nominal %"</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12" r:id="rId3" name="Button 16">
              <controlPr defaultSize="0" print="0" autoFill="0" autoPict="0" macro="[0]!sourceDefTable">
                <anchor moveWithCells="1" sizeWithCells="1">
                  <from>
                    <xdr:col>0</xdr:col>
                    <xdr:colOff>342900</xdr:colOff>
                    <xdr:row>4</xdr:row>
                    <xdr:rowOff>12700</xdr:rowOff>
                  </from>
                  <to>
                    <xdr:col>0</xdr:col>
                    <xdr:colOff>622300</xdr:colOff>
                    <xdr:row>5</xdr:row>
                    <xdr:rowOff>12700</xdr:rowOff>
                  </to>
                </anchor>
              </controlPr>
            </control>
          </mc:Choice>
        </mc:AlternateContent>
        <mc:AlternateContent xmlns:mc="http://schemas.openxmlformats.org/markup-compatibility/2006">
          <mc:Choice Requires="x14">
            <control shapeId="4113" r:id="rId4" name="Button 17">
              <controlPr defaultSize="0" print="0" autoFill="0" autoPict="0" macro="[0]!sourceDefTable">
                <anchor moveWithCells="1" sizeWithCells="1">
                  <from>
                    <xdr:col>0</xdr:col>
                    <xdr:colOff>342900</xdr:colOff>
                    <xdr:row>8</xdr:row>
                    <xdr:rowOff>12700</xdr:rowOff>
                  </from>
                  <to>
                    <xdr:col>0</xdr:col>
                    <xdr:colOff>622300</xdr:colOff>
                    <xdr:row>9</xdr:row>
                    <xdr:rowOff>0</xdr:rowOff>
                  </to>
                </anchor>
              </controlPr>
            </control>
          </mc:Choice>
        </mc:AlternateContent>
        <mc:AlternateContent xmlns:mc="http://schemas.openxmlformats.org/markup-compatibility/2006">
          <mc:Choice Requires="x14">
            <control shapeId="4117" r:id="rId5" name="Button 21">
              <controlPr defaultSize="0" print="0" autoFill="0" autoPict="0" macro="[0]!CreateSystemSheets.CreateAndPopulateSheets">
                <anchor moveWithCells="1" sizeWithCells="1">
                  <from>
                    <xdr:col>5</xdr:col>
                    <xdr:colOff>114300</xdr:colOff>
                    <xdr:row>2</xdr:row>
                    <xdr:rowOff>88900</xdr:rowOff>
                  </from>
                  <to>
                    <xdr:col>6</xdr:col>
                    <xdr:colOff>1104900</xdr:colOff>
                    <xdr:row>4</xdr:row>
                    <xdr:rowOff>50800</xdr:rowOff>
                  </to>
                </anchor>
              </controlPr>
            </control>
          </mc:Choice>
        </mc:AlternateContent>
        <mc:AlternateContent xmlns:mc="http://schemas.openxmlformats.org/markup-compatibility/2006">
          <mc:Choice Requires="x14">
            <control shapeId="4118" r:id="rId6" name="Button 22">
              <controlPr defaultSize="0" print="0" autoFill="0" autoPict="0" macro="[0]!CreateLoadshapeMappingTablesWithFormulas">
                <anchor moveWithCells="1" sizeWithCells="1">
                  <from>
                    <xdr:col>5</xdr:col>
                    <xdr:colOff>127000</xdr:colOff>
                    <xdr:row>4</xdr:row>
                    <xdr:rowOff>152400</xdr:rowOff>
                  </from>
                  <to>
                    <xdr:col>6</xdr:col>
                    <xdr:colOff>1130300</xdr:colOff>
                    <xdr:row>6</xdr:row>
                    <xdr:rowOff>165100</xdr:rowOff>
                  </to>
                </anchor>
              </controlPr>
            </control>
          </mc:Choice>
        </mc:AlternateContent>
        <mc:AlternateContent xmlns:mc="http://schemas.openxmlformats.org/markup-compatibility/2006">
          <mc:Choice Requires="x14">
            <control shapeId="4119" r:id="rId7" name="Button 23">
              <controlPr defaultSize="0" print="0" autoFill="0" autoPict="0" macro="[0]!sourceDefTable">
                <anchor moveWithCells="1" sizeWithCells="1">
                  <from>
                    <xdr:col>0</xdr:col>
                    <xdr:colOff>342900</xdr:colOff>
                    <xdr:row>12</xdr:row>
                    <xdr:rowOff>12700</xdr:rowOff>
                  </from>
                  <to>
                    <xdr:col>0</xdr:col>
                    <xdr:colOff>622300</xdr:colOff>
                    <xdr:row>13</xdr:row>
                    <xdr:rowOff>12700</xdr:rowOff>
                  </to>
                </anchor>
              </controlPr>
            </control>
          </mc:Choice>
        </mc:AlternateContent>
        <mc:AlternateContent xmlns:mc="http://schemas.openxmlformats.org/markup-compatibility/2006">
          <mc:Choice Requires="x14">
            <control shapeId="4120" r:id="rId8" name="Button 24">
              <controlPr defaultSize="0" print="0" autoFill="0" autoPict="0" macro="[0]!sourceDefTable">
                <anchor moveWithCells="1" sizeWithCells="1">
                  <from>
                    <xdr:col>0</xdr:col>
                    <xdr:colOff>342900</xdr:colOff>
                    <xdr:row>15</xdr:row>
                    <xdr:rowOff>12700</xdr:rowOff>
                  </from>
                  <to>
                    <xdr:col>0</xdr:col>
                    <xdr:colOff>622300</xdr:colOff>
                    <xdr:row>16</xdr:row>
                    <xdr:rowOff>12700</xdr:rowOff>
                  </to>
                </anchor>
              </controlPr>
            </control>
          </mc:Choice>
        </mc:AlternateContent>
        <mc:AlternateContent xmlns:mc="http://schemas.openxmlformats.org/markup-compatibility/2006">
          <mc:Choice Requires="x14">
            <control shapeId="4121" r:id="rId9" name="Button 25">
              <controlPr defaultSize="0" print="0" autoFill="0" autoPict="0" macro="[0]!sourceDefTable">
                <anchor moveWithCells="1" sizeWithCells="1">
                  <from>
                    <xdr:col>0</xdr:col>
                    <xdr:colOff>342900</xdr:colOff>
                    <xdr:row>18</xdr:row>
                    <xdr:rowOff>12700</xdr:rowOff>
                  </from>
                  <to>
                    <xdr:col>0</xdr:col>
                    <xdr:colOff>622300</xdr:colOff>
                    <xdr:row>19</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08C26-3C93-4F0C-A605-00C602C8A9E9}">
  <sheetPr codeName="Sheet7"/>
  <dimension ref="B2:X47"/>
  <sheetViews>
    <sheetView zoomScale="85" zoomScaleNormal="85" workbookViewId="0">
      <selection activeCell="E8" sqref="E8"/>
    </sheetView>
  </sheetViews>
  <sheetFormatPr defaultColWidth="8.81640625" defaultRowHeight="14.5" x14ac:dyDescent="0.35"/>
  <cols>
    <col min="2" max="2" width="22.81640625" customWidth="1"/>
    <col min="4" max="4" width="35.1796875" bestFit="1" customWidth="1"/>
  </cols>
  <sheetData>
    <row r="2" spans="2:23" ht="58.5" thickBot="1" x14ac:dyDescent="0.4">
      <c r="D2" s="75" t="s">
        <v>128</v>
      </c>
      <c r="E2" s="79" t="s">
        <v>83</v>
      </c>
      <c r="F2" s="80" t="s">
        <v>131</v>
      </c>
      <c r="G2" s="80" t="s">
        <v>188</v>
      </c>
      <c r="H2" s="80" t="s">
        <v>133</v>
      </c>
      <c r="I2" s="80" t="s">
        <v>78</v>
      </c>
      <c r="J2" s="80" t="s">
        <v>8</v>
      </c>
      <c r="K2" s="80" t="s">
        <v>189</v>
      </c>
      <c r="L2" s="80" t="s">
        <v>190</v>
      </c>
      <c r="M2" s="80" t="s">
        <v>129</v>
      </c>
      <c r="N2" s="81" t="s">
        <v>130</v>
      </c>
      <c r="O2" s="114" t="s">
        <v>134</v>
      </c>
      <c r="P2" s="72"/>
      <c r="Q2" s="72"/>
      <c r="R2" s="72"/>
      <c r="S2" s="72"/>
      <c r="T2" s="72"/>
      <c r="U2" s="72"/>
      <c r="V2" s="72"/>
    </row>
    <row r="3" spans="2:23" ht="15.5" thickTop="1" thickBot="1" x14ac:dyDescent="0.4">
      <c r="B3" s="74" t="s">
        <v>83</v>
      </c>
      <c r="D3" s="76" t="s">
        <v>76</v>
      </c>
      <c r="E3" s="82" t="b">
        <v>1</v>
      </c>
      <c r="F3" s="83" t="b">
        <v>1</v>
      </c>
      <c r="G3" s="83" t="b">
        <v>1</v>
      </c>
      <c r="H3" s="83" t="b">
        <v>1</v>
      </c>
      <c r="I3" s="83" t="b">
        <v>1</v>
      </c>
      <c r="J3" s="83" t="b">
        <v>1</v>
      </c>
      <c r="K3" s="83" t="b">
        <v>0</v>
      </c>
      <c r="L3" s="83" t="b">
        <v>0</v>
      </c>
      <c r="M3" s="83" t="b">
        <v>0</v>
      </c>
      <c r="N3" s="84" t="b">
        <v>0</v>
      </c>
      <c r="O3" s="73" t="str" cm="1">
        <f t="array" ref="O3:T3">_xlfn._xlws.FILTER($E$2:$N$2, $E3:$N3=TRUE)</f>
        <v>Time Series - Annual</v>
      </c>
      <c r="P3" s="73" t="str">
        <v>Time Series - Monthly</v>
      </c>
      <c r="Q3" s="73" t="str">
        <v>Time Series - Day</v>
      </c>
      <c r="R3" s="73" t="str">
        <v>Time Series - Hourly</v>
      </c>
      <c r="S3" s="73" t="str">
        <v>Custom Period</v>
      </c>
      <c r="T3" s="73" t="str">
        <v>User Input</v>
      </c>
      <c r="U3" s="73"/>
      <c r="V3" s="73"/>
    </row>
    <row r="4" spans="2:23" ht="15.5" thickTop="1" thickBot="1" x14ac:dyDescent="0.4">
      <c r="B4" s="74" t="s">
        <v>131</v>
      </c>
      <c r="D4" s="77" t="s">
        <v>82</v>
      </c>
      <c r="E4" s="85" t="b">
        <v>1</v>
      </c>
      <c r="F4" s="86" t="b">
        <v>1</v>
      </c>
      <c r="G4" s="86" t="b">
        <v>1</v>
      </c>
      <c r="H4" s="86" t="b">
        <v>1</v>
      </c>
      <c r="I4" s="86" t="b">
        <v>1</v>
      </c>
      <c r="J4" s="86" t="b">
        <v>1</v>
      </c>
      <c r="K4" s="86" t="b">
        <v>0</v>
      </c>
      <c r="L4" s="86" t="b">
        <v>0</v>
      </c>
      <c r="M4" s="86" t="b">
        <v>0</v>
      </c>
      <c r="N4" s="87" t="b">
        <v>0</v>
      </c>
      <c r="O4" s="73" t="str" cm="1">
        <f t="array" ref="O4:T4">_xlfn._xlws.FILTER($E$2:$N$2, $E4:$N4=TRUE)</f>
        <v>Time Series - Annual</v>
      </c>
      <c r="P4" s="73" t="str">
        <v>Time Series - Monthly</v>
      </c>
      <c r="Q4" s="73" t="str">
        <v>Time Series - Day</v>
      </c>
      <c r="R4" s="73" t="str">
        <v>Time Series - Hourly</v>
      </c>
      <c r="S4" s="73" t="str">
        <v>Custom Period</v>
      </c>
      <c r="T4" s="73" t="str">
        <v>User Input</v>
      </c>
      <c r="U4" s="73"/>
      <c r="V4" s="73"/>
    </row>
    <row r="5" spans="2:23" ht="15.5" thickTop="1" thickBot="1" x14ac:dyDescent="0.4">
      <c r="B5" s="74"/>
      <c r="D5" s="77" t="s">
        <v>84</v>
      </c>
      <c r="E5" s="85" t="b">
        <v>1</v>
      </c>
      <c r="F5" s="86" t="b">
        <v>1</v>
      </c>
      <c r="G5" s="86" t="b">
        <v>1</v>
      </c>
      <c r="H5" s="86" t="b">
        <v>1</v>
      </c>
      <c r="I5" s="86" t="b">
        <v>1</v>
      </c>
      <c r="J5" s="86" t="b">
        <v>1</v>
      </c>
      <c r="K5" s="86" t="b">
        <v>0</v>
      </c>
      <c r="L5" s="86" t="b">
        <v>0</v>
      </c>
      <c r="M5" s="86" t="b">
        <v>0</v>
      </c>
      <c r="N5" s="87" t="b">
        <v>0</v>
      </c>
      <c r="O5" s="73" t="str" cm="1">
        <f t="array" ref="O5:T5">_xlfn._xlws.FILTER($E$2:$N$2, $E5:$N5=TRUE)</f>
        <v>Time Series - Annual</v>
      </c>
      <c r="P5" s="73" t="str">
        <v>Time Series - Monthly</v>
      </c>
      <c r="Q5" s="73" t="str">
        <v>Time Series - Day</v>
      </c>
      <c r="R5" s="73" t="str">
        <v>Time Series - Hourly</v>
      </c>
      <c r="S5" s="73" t="str">
        <v>Custom Period</v>
      </c>
      <c r="T5" s="73" t="str">
        <v>User Input</v>
      </c>
      <c r="U5" s="73"/>
      <c r="V5" s="73"/>
    </row>
    <row r="6" spans="2:23" ht="15.5" thickTop="1" thickBot="1" x14ac:dyDescent="0.4">
      <c r="B6" s="74"/>
      <c r="D6" s="77" t="s">
        <v>85</v>
      </c>
      <c r="E6" s="85" t="b">
        <v>1</v>
      </c>
      <c r="F6" s="86" t="b">
        <v>1</v>
      </c>
      <c r="G6" s="86" t="b">
        <v>1</v>
      </c>
      <c r="H6" s="86" t="b">
        <v>1</v>
      </c>
      <c r="I6" s="86" t="b">
        <v>1</v>
      </c>
      <c r="J6" s="86" t="b">
        <v>1</v>
      </c>
      <c r="K6" s="86" t="b">
        <v>0</v>
      </c>
      <c r="L6" s="86" t="b">
        <v>0</v>
      </c>
      <c r="M6" s="86" t="b">
        <v>0</v>
      </c>
      <c r="N6" s="87" t="b">
        <v>0</v>
      </c>
      <c r="O6" s="73" t="str" cm="1">
        <f t="array" ref="O6:T6">_xlfn._xlws.FILTER($E$2:$N$2, $E6:$N6=TRUE)</f>
        <v>Time Series - Annual</v>
      </c>
      <c r="P6" s="73" t="str">
        <v>Time Series - Monthly</v>
      </c>
      <c r="Q6" s="73" t="str">
        <v>Time Series - Day</v>
      </c>
      <c r="R6" s="73" t="str">
        <v>Time Series - Hourly</v>
      </c>
      <c r="S6" s="73" t="str">
        <v>Custom Period</v>
      </c>
      <c r="T6" s="73" t="str">
        <v>User Input</v>
      </c>
      <c r="U6" s="73"/>
      <c r="V6" s="73"/>
    </row>
    <row r="7" spans="2:23" ht="15.5" thickTop="1" thickBot="1" x14ac:dyDescent="0.4">
      <c r="B7" s="74"/>
      <c r="D7" s="77" t="s">
        <v>87</v>
      </c>
      <c r="E7" s="85" t="b">
        <v>1</v>
      </c>
      <c r="F7" s="86" t="b">
        <v>1</v>
      </c>
      <c r="G7" s="86" t="b">
        <v>1</v>
      </c>
      <c r="H7" s="86" t="b">
        <v>1</v>
      </c>
      <c r="I7" s="86" t="b">
        <v>1</v>
      </c>
      <c r="J7" s="86" t="b">
        <v>1</v>
      </c>
      <c r="K7" s="86" t="b">
        <v>0</v>
      </c>
      <c r="L7" s="86" t="b">
        <v>1</v>
      </c>
      <c r="M7" s="86" t="b">
        <v>1</v>
      </c>
      <c r="N7" s="87" t="b">
        <v>0</v>
      </c>
      <c r="O7" s="73" t="str" cm="1">
        <f t="array" ref="O7:V7">_xlfn._xlws.FILTER($E$2:$N$2, $E7:$N7=TRUE)</f>
        <v>Time Series - Annual</v>
      </c>
      <c r="P7" s="73" t="str">
        <v>Time Series - Monthly</v>
      </c>
      <c r="Q7" s="73" t="str">
        <v>Time Series - Day</v>
      </c>
      <c r="R7" s="73" t="str">
        <v>Time Series - Hourly</v>
      </c>
      <c r="S7" s="73" t="str">
        <v>Custom Period</v>
      </c>
      <c r="T7" s="73" t="str">
        <v>User Input</v>
      </c>
      <c r="U7" s="73" t="str">
        <v>Adder (%)</v>
      </c>
      <c r="V7" s="73" t="str">
        <v>Adder ($/kWh)</v>
      </c>
    </row>
    <row r="8" spans="2:23" ht="15.5" thickTop="1" thickBot="1" x14ac:dyDescent="0.4">
      <c r="B8" s="74"/>
      <c r="D8" s="77" t="s">
        <v>88</v>
      </c>
      <c r="E8" s="85" t="b">
        <v>1</v>
      </c>
      <c r="F8" s="86" t="b">
        <v>1</v>
      </c>
      <c r="G8" s="86" t="b">
        <v>1</v>
      </c>
      <c r="H8" s="86" t="b">
        <v>1</v>
      </c>
      <c r="I8" s="86" t="b">
        <v>1</v>
      </c>
      <c r="J8" s="86" t="b">
        <v>1</v>
      </c>
      <c r="K8" s="86" t="b">
        <v>0</v>
      </c>
      <c r="L8" s="86" t="b">
        <v>1</v>
      </c>
      <c r="M8" s="86" t="b">
        <v>1</v>
      </c>
      <c r="N8" s="87" t="b">
        <v>0</v>
      </c>
      <c r="O8" s="73" t="str" cm="1">
        <f t="array" ref="O8:V8">_xlfn._xlws.FILTER($E$2:$N$2, $E8:$N8=TRUE)</f>
        <v>Time Series - Annual</v>
      </c>
      <c r="P8" s="73" t="str">
        <v>Time Series - Monthly</v>
      </c>
      <c r="Q8" s="73" t="str">
        <v>Time Series - Day</v>
      </c>
      <c r="R8" s="73" t="str">
        <v>Time Series - Hourly</v>
      </c>
      <c r="S8" s="73" t="str">
        <v>Custom Period</v>
      </c>
      <c r="T8" s="73" t="str">
        <v>User Input</v>
      </c>
      <c r="U8" s="73" t="str">
        <v>Adder (%)</v>
      </c>
      <c r="V8" s="73" t="str">
        <v>Adder ($/kWh)</v>
      </c>
    </row>
    <row r="9" spans="2:23" ht="15.5" thickTop="1" thickBot="1" x14ac:dyDescent="0.4">
      <c r="B9" s="74"/>
      <c r="D9" s="77" t="s">
        <v>89</v>
      </c>
      <c r="E9" s="85" t="b">
        <v>1</v>
      </c>
      <c r="F9" s="86" t="b">
        <v>1</v>
      </c>
      <c r="G9" s="86" t="b">
        <v>0</v>
      </c>
      <c r="H9" s="86" t="b">
        <v>0</v>
      </c>
      <c r="I9" s="86" t="b">
        <v>0</v>
      </c>
      <c r="J9" s="86" t="b">
        <v>1</v>
      </c>
      <c r="K9" s="86" t="b">
        <v>0</v>
      </c>
      <c r="L9" s="86" t="b">
        <v>0</v>
      </c>
      <c r="M9" s="86" t="b">
        <v>0</v>
      </c>
      <c r="N9" s="87" t="b">
        <v>0</v>
      </c>
      <c r="O9" s="73" t="str" cm="1">
        <f t="array" ref="O9:Q9">_xlfn._xlws.FILTER($E$2:$N$2, $E9:$N9=TRUE)</f>
        <v>Time Series - Annual</v>
      </c>
      <c r="P9" s="73" t="str">
        <v>Time Series - Monthly</v>
      </c>
      <c r="Q9" s="73" t="str">
        <v>User Input</v>
      </c>
      <c r="R9" s="73"/>
      <c r="S9" s="73"/>
      <c r="T9" s="73"/>
      <c r="U9" s="73"/>
      <c r="V9" s="73"/>
    </row>
    <row r="10" spans="2:23" ht="15.5" thickTop="1" thickBot="1" x14ac:dyDescent="0.4">
      <c r="B10" s="74"/>
      <c r="D10" s="77" t="s">
        <v>90</v>
      </c>
      <c r="E10" s="85" t="b">
        <v>1</v>
      </c>
      <c r="F10" s="86" t="b">
        <v>1</v>
      </c>
      <c r="G10" s="86" t="b">
        <v>0</v>
      </c>
      <c r="H10" s="86" t="b">
        <v>0</v>
      </c>
      <c r="I10" s="86" t="b">
        <v>0</v>
      </c>
      <c r="J10" s="86" t="b">
        <v>1</v>
      </c>
      <c r="K10" s="86" t="b">
        <v>0</v>
      </c>
      <c r="L10" s="86" t="b">
        <v>0</v>
      </c>
      <c r="M10" s="86" t="b">
        <v>0</v>
      </c>
      <c r="N10" s="87" t="b">
        <v>0</v>
      </c>
      <c r="O10" s="73" t="str" cm="1">
        <f t="array" ref="O10:Q10">_xlfn._xlws.FILTER($E$2:$N$2, $E10:$N10=TRUE)</f>
        <v>Time Series - Annual</v>
      </c>
      <c r="P10" s="73" t="str">
        <v>Time Series - Monthly</v>
      </c>
      <c r="Q10" s="73" t="str">
        <v>User Input</v>
      </c>
      <c r="R10" s="73"/>
      <c r="S10" s="73"/>
      <c r="T10" s="73"/>
      <c r="U10" s="73"/>
      <c r="V10" s="73"/>
    </row>
    <row r="11" spans="2:23" ht="15.5" thickTop="1" thickBot="1" x14ac:dyDescent="0.4">
      <c r="B11" s="74"/>
      <c r="D11" s="77" t="s">
        <v>91</v>
      </c>
      <c r="E11" s="85" t="b">
        <v>1</v>
      </c>
      <c r="F11" s="86" t="b">
        <v>1</v>
      </c>
      <c r="G11" s="86" t="b">
        <v>1</v>
      </c>
      <c r="H11" s="86" t="b">
        <v>1</v>
      </c>
      <c r="I11" s="86" t="b">
        <v>0</v>
      </c>
      <c r="J11" s="86" t="b">
        <v>1</v>
      </c>
      <c r="K11" s="86" t="b">
        <v>0</v>
      </c>
      <c r="L11" s="86" t="b">
        <v>1</v>
      </c>
      <c r="M11" s="86" t="b">
        <v>1</v>
      </c>
      <c r="N11" s="87" t="b">
        <v>0</v>
      </c>
      <c r="O11" s="73" t="str" cm="1">
        <f t="array" ref="O11:U11">_xlfn._xlws.FILTER($E$2:$N$2, $E11:$N11=TRUE)</f>
        <v>Time Series - Annual</v>
      </c>
      <c r="P11" s="73" t="str">
        <v>Time Series - Monthly</v>
      </c>
      <c r="Q11" s="73" t="str">
        <v>Time Series - Day</v>
      </c>
      <c r="R11" s="73" t="str">
        <v>Time Series - Hourly</v>
      </c>
      <c r="S11" s="73" t="str">
        <v>User Input</v>
      </c>
      <c r="T11" s="73" t="str">
        <v>Adder (%)</v>
      </c>
      <c r="U11" s="73" t="str">
        <v>Adder ($/kWh)</v>
      </c>
      <c r="V11" s="73"/>
    </row>
    <row r="12" spans="2:23" ht="15.5" thickTop="1" thickBot="1" x14ac:dyDescent="0.4">
      <c r="B12" s="74" t="s">
        <v>132</v>
      </c>
      <c r="D12" s="77" t="s">
        <v>92</v>
      </c>
      <c r="E12" s="85" t="b">
        <v>0</v>
      </c>
      <c r="F12" s="86" t="b">
        <v>0</v>
      </c>
      <c r="G12" s="86" t="b">
        <v>0</v>
      </c>
      <c r="H12" s="86" t="b">
        <v>0</v>
      </c>
      <c r="I12" s="86" t="b">
        <v>0</v>
      </c>
      <c r="J12" s="86" t="b">
        <v>0</v>
      </c>
      <c r="K12" s="86" t="b">
        <v>1</v>
      </c>
      <c r="L12" s="86" t="b">
        <v>0</v>
      </c>
      <c r="M12" s="86" t="b">
        <v>0</v>
      </c>
      <c r="N12" s="87" t="b">
        <v>0</v>
      </c>
      <c r="O12" s="73" t="str" cm="1">
        <f t="array" ref="O12">_xlfn._xlws.FILTER($E$2:$N$2, $E12:$N12=TRUE)</f>
        <v>User Input - Program Specific</v>
      </c>
      <c r="P12" s="73"/>
      <c r="Q12" s="73"/>
      <c r="R12" s="73"/>
      <c r="S12" s="73"/>
      <c r="T12" s="73"/>
      <c r="U12" s="73"/>
      <c r="V12" s="73"/>
    </row>
    <row r="13" spans="2:23" ht="15.5" thickTop="1" thickBot="1" x14ac:dyDescent="0.4">
      <c r="B13" s="74"/>
      <c r="D13" s="77" t="s">
        <v>93</v>
      </c>
      <c r="E13" s="85" t="b">
        <v>0</v>
      </c>
      <c r="F13" s="86" t="b">
        <v>0</v>
      </c>
      <c r="G13" s="86" t="b">
        <v>0</v>
      </c>
      <c r="H13" s="86" t="b">
        <v>0</v>
      </c>
      <c r="I13" s="86" t="b">
        <v>0</v>
      </c>
      <c r="J13" s="86" t="b">
        <v>0</v>
      </c>
      <c r="K13" s="86" t="b">
        <v>1</v>
      </c>
      <c r="L13" s="86" t="b">
        <v>0</v>
      </c>
      <c r="M13" s="86" t="b">
        <v>0</v>
      </c>
      <c r="N13" s="87" t="b">
        <v>0</v>
      </c>
      <c r="O13" s="73" t="str" cm="1">
        <f t="array" ref="O13">_xlfn._xlws.FILTER($E$2:$N$2, $E13:$N13=TRUE)</f>
        <v>User Input - Program Specific</v>
      </c>
      <c r="P13" s="73"/>
      <c r="Q13" s="73"/>
      <c r="R13" s="73"/>
      <c r="S13" s="73"/>
      <c r="T13" s="73"/>
      <c r="U13" s="73"/>
      <c r="V13" s="73"/>
    </row>
    <row r="14" spans="2:23" ht="15.5" thickTop="1" thickBot="1" x14ac:dyDescent="0.4">
      <c r="B14" s="74"/>
      <c r="D14" s="77" t="s">
        <v>94</v>
      </c>
      <c r="E14" s="85" t="b">
        <v>1</v>
      </c>
      <c r="F14" s="86" t="b">
        <v>0</v>
      </c>
      <c r="G14" s="86" t="b">
        <v>0</v>
      </c>
      <c r="H14" s="86" t="b">
        <v>0</v>
      </c>
      <c r="I14" s="86" t="b">
        <v>0</v>
      </c>
      <c r="J14" s="86" t="b">
        <v>0</v>
      </c>
      <c r="K14" s="86" t="b">
        <v>1</v>
      </c>
      <c r="L14" s="86" t="b">
        <v>0</v>
      </c>
      <c r="M14" s="86" t="b">
        <v>0</v>
      </c>
      <c r="N14" s="87" t="b">
        <v>0</v>
      </c>
      <c r="O14" s="73" t="str" cm="1">
        <f t="array" ref="O14:P14">_xlfn._xlws.FILTER($E$2:$N$2, $E14:$N14=TRUE)</f>
        <v>Time Series - Annual</v>
      </c>
      <c r="P14" s="73" t="str">
        <v>User Input - Program Specific</v>
      </c>
      <c r="Q14" s="73"/>
      <c r="R14" s="73"/>
      <c r="S14" s="73"/>
      <c r="T14" s="73"/>
      <c r="U14" s="73"/>
      <c r="V14" s="73"/>
    </row>
    <row r="15" spans="2:23" ht="15.5" thickTop="1" thickBot="1" x14ac:dyDescent="0.4">
      <c r="B15" s="74"/>
      <c r="D15" s="77" t="s">
        <v>95</v>
      </c>
      <c r="E15" s="85" t="b">
        <v>1</v>
      </c>
      <c r="F15" s="86" t="b">
        <v>1</v>
      </c>
      <c r="G15" s="86" t="b">
        <v>1</v>
      </c>
      <c r="H15" s="86" t="b">
        <v>1</v>
      </c>
      <c r="I15" s="86" t="b">
        <v>1</v>
      </c>
      <c r="J15" s="86" t="b">
        <v>1</v>
      </c>
      <c r="K15" s="86" t="b">
        <v>0</v>
      </c>
      <c r="L15" s="86" t="b">
        <v>1</v>
      </c>
      <c r="M15" s="86" t="b">
        <v>1</v>
      </c>
      <c r="N15" s="87" t="b">
        <v>1</v>
      </c>
      <c r="O15" s="73" t="str" cm="1">
        <f t="array" ref="O15:W15">_xlfn._xlws.FILTER($E$2:$N$2, $E15:$N15=TRUE)</f>
        <v>Time Series - Annual</v>
      </c>
      <c r="P15" s="73" t="str">
        <v>Time Series - Monthly</v>
      </c>
      <c r="Q15" s="73" t="str">
        <v>Time Series - Day</v>
      </c>
      <c r="R15" s="73" t="str">
        <v>Time Series - Hourly</v>
      </c>
      <c r="S15" s="73" t="str">
        <v>Custom Period</v>
      </c>
      <c r="T15" s="73" t="str">
        <v>User Input</v>
      </c>
      <c r="U15" s="73" t="str">
        <v>Adder (%)</v>
      </c>
      <c r="V15" s="73" t="str">
        <v>Adder ($/kWh)</v>
      </c>
      <c r="W15" t="str">
        <v>Adder ($/therm)</v>
      </c>
    </row>
    <row r="16" spans="2:23" ht="15.5" thickTop="1" thickBot="1" x14ac:dyDescent="0.4">
      <c r="B16" s="74"/>
      <c r="D16" s="77" t="s">
        <v>96</v>
      </c>
      <c r="E16" s="85" t="b">
        <v>1</v>
      </c>
      <c r="F16" s="86" t="b">
        <v>1</v>
      </c>
      <c r="G16" s="86" t="b">
        <v>1</v>
      </c>
      <c r="H16" s="86" t="b">
        <v>1</v>
      </c>
      <c r="I16" s="86" t="b">
        <v>0</v>
      </c>
      <c r="J16" s="86" t="b">
        <v>1</v>
      </c>
      <c r="K16" s="86" t="b">
        <v>0</v>
      </c>
      <c r="L16" s="86" t="b">
        <v>1</v>
      </c>
      <c r="M16" s="86" t="b">
        <v>1</v>
      </c>
      <c r="N16" s="87" t="b">
        <v>0</v>
      </c>
      <c r="O16" s="73" t="str" cm="1">
        <f t="array" ref="O16:U16">_xlfn._xlws.FILTER($E$2:$N$2, $E16:$N16=TRUE)</f>
        <v>Time Series - Annual</v>
      </c>
      <c r="P16" s="73" t="str">
        <v>Time Series - Monthly</v>
      </c>
      <c r="Q16" s="73" t="str">
        <v>Time Series - Day</v>
      </c>
      <c r="R16" s="73" t="str">
        <v>Time Series - Hourly</v>
      </c>
      <c r="S16" s="73" t="str">
        <v>User Input</v>
      </c>
      <c r="T16" s="73" t="str">
        <v>Adder (%)</v>
      </c>
      <c r="U16" s="73" t="str">
        <v>Adder ($/kWh)</v>
      </c>
      <c r="V16" s="73"/>
    </row>
    <row r="17" spans="2:22" ht="15.5" thickTop="1" thickBot="1" x14ac:dyDescent="0.4">
      <c r="B17" s="74"/>
      <c r="D17" s="77" t="s">
        <v>97</v>
      </c>
      <c r="E17" s="85" t="b">
        <v>1</v>
      </c>
      <c r="F17" s="86" t="b">
        <v>1</v>
      </c>
      <c r="G17" s="86" t="b">
        <v>1</v>
      </c>
      <c r="H17" s="86" t="b">
        <v>0</v>
      </c>
      <c r="I17" s="86" t="b">
        <v>0</v>
      </c>
      <c r="J17" s="86" t="b">
        <v>1</v>
      </c>
      <c r="K17" s="86" t="b">
        <v>0</v>
      </c>
      <c r="L17" s="86" t="b">
        <v>1</v>
      </c>
      <c r="M17" s="86" t="b">
        <v>1</v>
      </c>
      <c r="N17" s="87" t="b">
        <v>0</v>
      </c>
      <c r="O17" s="73" t="str" cm="1">
        <f t="array" ref="O17:T17">_xlfn._xlws.FILTER($E$2:$N$2, $E17:$N17=TRUE)</f>
        <v>Time Series - Annual</v>
      </c>
      <c r="P17" s="73" t="str">
        <v>Time Series - Monthly</v>
      </c>
      <c r="Q17" s="73" t="str">
        <v>Time Series - Day</v>
      </c>
      <c r="R17" s="73" t="str">
        <v>User Input</v>
      </c>
      <c r="S17" s="73" t="str">
        <v>Adder (%)</v>
      </c>
      <c r="T17" s="73" t="str">
        <v>Adder ($/kWh)</v>
      </c>
      <c r="U17" s="73"/>
      <c r="V17" s="73"/>
    </row>
    <row r="18" spans="2:22" ht="15.5" thickTop="1" thickBot="1" x14ac:dyDescent="0.4">
      <c r="B18" s="74"/>
      <c r="D18" s="77" t="s">
        <v>98</v>
      </c>
      <c r="E18" s="85" t="b">
        <v>1</v>
      </c>
      <c r="F18" s="86" t="b">
        <v>1</v>
      </c>
      <c r="G18" s="86" t="b">
        <v>1</v>
      </c>
      <c r="H18" s="86" t="b">
        <v>0</v>
      </c>
      <c r="I18" s="86" t="b">
        <v>0</v>
      </c>
      <c r="J18" s="86" t="b">
        <v>1</v>
      </c>
      <c r="K18" s="86" t="b">
        <v>0</v>
      </c>
      <c r="L18" s="86" t="b">
        <v>1</v>
      </c>
      <c r="M18" s="86" t="b">
        <v>1</v>
      </c>
      <c r="N18" s="87" t="b">
        <v>0</v>
      </c>
      <c r="O18" s="73" t="str" cm="1">
        <f t="array" ref="O18:T18">_xlfn._xlws.FILTER($E$2:$N$2, $E18:$N18=TRUE)</f>
        <v>Time Series - Annual</v>
      </c>
      <c r="P18" s="73" t="str">
        <v>Time Series - Monthly</v>
      </c>
      <c r="Q18" s="73" t="str">
        <v>Time Series - Day</v>
      </c>
      <c r="R18" s="73" t="str">
        <v>User Input</v>
      </c>
      <c r="S18" s="73" t="str">
        <v>Adder (%)</v>
      </c>
      <c r="T18" s="73" t="str">
        <v>Adder ($/kWh)</v>
      </c>
      <c r="U18" s="73"/>
      <c r="V18" s="73"/>
    </row>
    <row r="19" spans="2:22" ht="15.5" thickTop="1" thickBot="1" x14ac:dyDescent="0.4">
      <c r="B19" s="74"/>
      <c r="D19" s="77" t="s">
        <v>99</v>
      </c>
      <c r="E19" s="85" t="b">
        <v>1</v>
      </c>
      <c r="F19" s="86" t="b">
        <v>1</v>
      </c>
      <c r="G19" s="86" t="b">
        <v>1</v>
      </c>
      <c r="H19" s="86" t="b">
        <v>1</v>
      </c>
      <c r="I19" s="86" t="b">
        <v>1</v>
      </c>
      <c r="J19" s="86" t="b">
        <v>1</v>
      </c>
      <c r="K19" s="86" t="b">
        <v>0</v>
      </c>
      <c r="L19" s="86" t="b">
        <v>0</v>
      </c>
      <c r="M19" s="86" t="b">
        <v>0</v>
      </c>
      <c r="N19" s="87" t="b">
        <v>0</v>
      </c>
      <c r="O19" s="73" t="str" cm="1">
        <f t="array" ref="O19:T19">_xlfn._xlws.FILTER($E$2:$N$2, $E19:$N19=TRUE)</f>
        <v>Time Series - Annual</v>
      </c>
      <c r="P19" s="73" t="str">
        <v>Time Series - Monthly</v>
      </c>
      <c r="Q19" s="73" t="str">
        <v>Time Series - Day</v>
      </c>
      <c r="R19" s="73" t="str">
        <v>Time Series - Hourly</v>
      </c>
      <c r="S19" s="73" t="str">
        <v>Custom Period</v>
      </c>
      <c r="T19" s="73" t="str">
        <v>User Input</v>
      </c>
      <c r="U19" s="73"/>
      <c r="V19" s="73"/>
    </row>
    <row r="20" spans="2:22" ht="15.5" thickTop="1" thickBot="1" x14ac:dyDescent="0.4">
      <c r="B20" s="74"/>
      <c r="D20" s="77" t="s">
        <v>100</v>
      </c>
      <c r="E20" s="85" t="b">
        <v>1</v>
      </c>
      <c r="F20" s="86" t="b">
        <v>1</v>
      </c>
      <c r="G20" s="86" t="b">
        <v>1</v>
      </c>
      <c r="H20" s="86" t="b">
        <v>0</v>
      </c>
      <c r="I20" s="86" t="b">
        <v>0</v>
      </c>
      <c r="J20" s="86" t="b">
        <v>1</v>
      </c>
      <c r="K20" s="86" t="b">
        <v>0</v>
      </c>
      <c r="L20" s="86" t="b">
        <v>0</v>
      </c>
      <c r="M20" s="86" t="b">
        <v>0</v>
      </c>
      <c r="N20" s="87" t="b">
        <v>0</v>
      </c>
      <c r="O20" s="73" t="str" cm="1">
        <f t="array" ref="O20:R20">_xlfn._xlws.FILTER($E$2:$N$2, $E20:$N20=TRUE)</f>
        <v>Time Series - Annual</v>
      </c>
      <c r="P20" s="73" t="str">
        <v>Time Series - Monthly</v>
      </c>
      <c r="Q20" s="73" t="str">
        <v>Time Series - Day</v>
      </c>
      <c r="R20" s="73" t="str">
        <v>User Input</v>
      </c>
      <c r="S20" s="73"/>
      <c r="T20" s="73"/>
      <c r="U20" s="73"/>
      <c r="V20" s="73"/>
    </row>
    <row r="21" spans="2:22" ht="15.5" thickTop="1" thickBot="1" x14ac:dyDescent="0.4">
      <c r="B21" s="74"/>
      <c r="D21" s="77" t="s">
        <v>101</v>
      </c>
      <c r="E21" s="85" t="b">
        <v>1</v>
      </c>
      <c r="F21" s="86" t="b">
        <v>1</v>
      </c>
      <c r="G21" s="86" t="b">
        <v>1</v>
      </c>
      <c r="H21" s="86" t="b">
        <v>1</v>
      </c>
      <c r="I21" s="86" t="b">
        <v>0</v>
      </c>
      <c r="J21" s="86" t="b">
        <v>1</v>
      </c>
      <c r="K21" s="86" t="b">
        <v>0</v>
      </c>
      <c r="L21" s="86" t="b">
        <v>0</v>
      </c>
      <c r="M21" s="86" t="b">
        <v>0</v>
      </c>
      <c r="N21" s="87" t="b">
        <v>0</v>
      </c>
      <c r="O21" s="73" t="str" cm="1">
        <f t="array" ref="O21:S21">_xlfn._xlws.FILTER($E$2:$N$2, $E21:$N21=TRUE)</f>
        <v>Time Series - Annual</v>
      </c>
      <c r="P21" s="73" t="str">
        <v>Time Series - Monthly</v>
      </c>
      <c r="Q21" s="73" t="str">
        <v>Time Series - Day</v>
      </c>
      <c r="R21" s="73" t="str">
        <v>Time Series - Hourly</v>
      </c>
      <c r="S21" s="73" t="str">
        <v>User Input</v>
      </c>
      <c r="T21" s="73"/>
      <c r="U21" s="73"/>
      <c r="V21" s="73"/>
    </row>
    <row r="22" spans="2:22" ht="15.5" thickTop="1" thickBot="1" x14ac:dyDescent="0.4">
      <c r="B22" s="74"/>
      <c r="D22" s="77" t="s">
        <v>102</v>
      </c>
      <c r="E22" s="85" t="b">
        <v>1</v>
      </c>
      <c r="F22" s="86" t="b">
        <v>1</v>
      </c>
      <c r="G22" s="86" t="b">
        <v>1</v>
      </c>
      <c r="H22" s="86" t="b">
        <v>0</v>
      </c>
      <c r="I22" s="86" t="b">
        <v>0</v>
      </c>
      <c r="J22" s="86" t="b">
        <v>1</v>
      </c>
      <c r="K22" s="86" t="b">
        <v>0</v>
      </c>
      <c r="L22" s="86" t="b">
        <v>0</v>
      </c>
      <c r="M22" s="86" t="b">
        <v>0</v>
      </c>
      <c r="N22" s="87" t="b">
        <v>0</v>
      </c>
      <c r="O22" s="73" t="str" cm="1">
        <f t="array" ref="O22:R22">_xlfn._xlws.FILTER($E$2:$N$2, $E22:$N22=TRUE)</f>
        <v>Time Series - Annual</v>
      </c>
      <c r="P22" s="73" t="str">
        <v>Time Series - Monthly</v>
      </c>
      <c r="Q22" s="73" t="str">
        <v>Time Series - Day</v>
      </c>
      <c r="R22" s="73" t="str">
        <v>User Input</v>
      </c>
      <c r="S22" s="73"/>
      <c r="T22" s="73"/>
      <c r="U22" s="73"/>
      <c r="V22" s="73"/>
    </row>
    <row r="23" spans="2:22" ht="15.5" thickTop="1" thickBot="1" x14ac:dyDescent="0.4">
      <c r="B23" s="74"/>
      <c r="D23" s="77" t="s">
        <v>103</v>
      </c>
      <c r="E23" s="85" t="b">
        <v>1</v>
      </c>
      <c r="F23" s="86" t="b">
        <v>1</v>
      </c>
      <c r="G23" s="86" t="b">
        <v>1</v>
      </c>
      <c r="H23" s="86" t="b">
        <v>1</v>
      </c>
      <c r="I23" s="86" t="b">
        <v>0</v>
      </c>
      <c r="J23" s="86" t="b">
        <v>1</v>
      </c>
      <c r="K23" s="86" t="b">
        <v>0</v>
      </c>
      <c r="L23" s="86" t="b">
        <v>0</v>
      </c>
      <c r="M23" s="86" t="b">
        <v>0</v>
      </c>
      <c r="N23" s="87" t="b">
        <v>1</v>
      </c>
      <c r="O23" s="73" t="str" cm="1">
        <f t="array" ref="O23:T23">_xlfn._xlws.FILTER($E$2:$N$2, $E23:$N23=TRUE)</f>
        <v>Time Series - Annual</v>
      </c>
      <c r="P23" s="73" t="str">
        <v>Time Series - Monthly</v>
      </c>
      <c r="Q23" s="73" t="str">
        <v>Time Series - Day</v>
      </c>
      <c r="R23" s="73" t="str">
        <v>Time Series - Hourly</v>
      </c>
      <c r="S23" s="73" t="str">
        <v>User Input</v>
      </c>
      <c r="T23" s="73" t="str">
        <v>Adder ($/therm)</v>
      </c>
      <c r="U23" s="73"/>
      <c r="V23" s="73"/>
    </row>
    <row r="24" spans="2:22" ht="15.5" thickTop="1" thickBot="1" x14ac:dyDescent="0.4">
      <c r="B24" s="74"/>
      <c r="D24" s="77" t="s">
        <v>104</v>
      </c>
      <c r="E24" s="85" t="b">
        <v>1</v>
      </c>
      <c r="F24" s="86" t="b">
        <v>1</v>
      </c>
      <c r="G24" s="86" t="b">
        <v>1</v>
      </c>
      <c r="H24" s="86" t="b">
        <v>0</v>
      </c>
      <c r="I24" s="86" t="b">
        <v>0</v>
      </c>
      <c r="J24" s="86" t="b">
        <v>1</v>
      </c>
      <c r="K24" s="86" t="b">
        <v>0</v>
      </c>
      <c r="L24" s="86" t="b">
        <v>0</v>
      </c>
      <c r="M24" s="86" t="b">
        <v>0</v>
      </c>
      <c r="N24" s="87" t="b">
        <v>0</v>
      </c>
      <c r="O24" s="73" t="str" cm="1">
        <f t="array" ref="O24:R24">_xlfn._xlws.FILTER($E$2:$N$2, $E24:$N24=TRUE)</f>
        <v>Time Series - Annual</v>
      </c>
      <c r="P24" s="73" t="str">
        <v>Time Series - Monthly</v>
      </c>
      <c r="Q24" s="73" t="str">
        <v>Time Series - Day</v>
      </c>
      <c r="R24" s="73" t="str">
        <v>User Input</v>
      </c>
      <c r="S24" s="73"/>
      <c r="T24" s="73"/>
      <c r="U24" s="73"/>
      <c r="V24" s="73"/>
    </row>
    <row r="25" spans="2:22" ht="15.5" thickTop="1" thickBot="1" x14ac:dyDescent="0.4">
      <c r="B25" s="74"/>
      <c r="D25" s="77" t="s">
        <v>105</v>
      </c>
      <c r="E25" s="85" t="b">
        <v>1</v>
      </c>
      <c r="F25" s="86" t="b">
        <v>1</v>
      </c>
      <c r="G25" s="86" t="b">
        <v>1</v>
      </c>
      <c r="H25" s="86" t="b">
        <v>0</v>
      </c>
      <c r="I25" s="86" t="b">
        <v>0</v>
      </c>
      <c r="J25" s="86" t="b">
        <v>1</v>
      </c>
      <c r="K25" s="86" t="b">
        <v>0</v>
      </c>
      <c r="L25" s="86" t="b">
        <v>0</v>
      </c>
      <c r="M25" s="86" t="b">
        <v>0</v>
      </c>
      <c r="N25" s="87" t="b">
        <v>0</v>
      </c>
      <c r="O25" s="73" t="str" cm="1">
        <f t="array" ref="O25:R25">_xlfn._xlws.FILTER($E$2:$N$2, $E25:$N25=TRUE)</f>
        <v>Time Series - Annual</v>
      </c>
      <c r="P25" s="73" t="str">
        <v>Time Series - Monthly</v>
      </c>
      <c r="Q25" s="73" t="str">
        <v>Time Series - Day</v>
      </c>
      <c r="R25" s="73" t="str">
        <v>User Input</v>
      </c>
      <c r="S25" s="73"/>
      <c r="T25" s="73"/>
      <c r="U25" s="73"/>
      <c r="V25" s="73"/>
    </row>
    <row r="26" spans="2:22" ht="15.5" thickTop="1" thickBot="1" x14ac:dyDescent="0.4">
      <c r="B26" s="74"/>
      <c r="D26" s="77" t="s">
        <v>106</v>
      </c>
      <c r="E26" s="85" t="b">
        <v>1</v>
      </c>
      <c r="F26" s="86" t="b">
        <v>1</v>
      </c>
      <c r="G26" s="86" t="b">
        <v>1</v>
      </c>
      <c r="H26" s="86" t="b">
        <v>0</v>
      </c>
      <c r="I26" s="86" t="b">
        <v>0</v>
      </c>
      <c r="J26" s="86" t="b">
        <v>1</v>
      </c>
      <c r="K26" s="86" t="b">
        <v>0</v>
      </c>
      <c r="L26" s="86" t="b">
        <v>0</v>
      </c>
      <c r="M26" s="86" t="b">
        <v>0</v>
      </c>
      <c r="N26" s="87" t="b">
        <v>0</v>
      </c>
      <c r="O26" s="73" t="str" cm="1">
        <f t="array" ref="O26:R26">_xlfn._xlws.FILTER($E$2:$N$2, $E26:$N26=TRUE)</f>
        <v>Time Series - Annual</v>
      </c>
      <c r="P26" s="73" t="str">
        <v>Time Series - Monthly</v>
      </c>
      <c r="Q26" s="73" t="str">
        <v>Time Series - Day</v>
      </c>
      <c r="R26" s="73" t="str">
        <v>User Input</v>
      </c>
      <c r="S26" s="73"/>
      <c r="T26" s="73"/>
      <c r="U26" s="73"/>
      <c r="V26" s="73"/>
    </row>
    <row r="27" spans="2:22" ht="15.5" thickTop="1" thickBot="1" x14ac:dyDescent="0.4">
      <c r="B27" s="74"/>
      <c r="D27" s="77" t="s">
        <v>107</v>
      </c>
      <c r="E27" s="85" t="b">
        <v>1</v>
      </c>
      <c r="F27" s="86" t="b">
        <v>1</v>
      </c>
      <c r="G27" s="86" t="b">
        <v>1</v>
      </c>
      <c r="H27" s="86" t="b">
        <v>1</v>
      </c>
      <c r="I27" s="86" t="b">
        <v>1</v>
      </c>
      <c r="J27" s="86" t="b">
        <v>1</v>
      </c>
      <c r="K27" s="86" t="b">
        <v>0</v>
      </c>
      <c r="L27" s="86" t="b">
        <v>1</v>
      </c>
      <c r="M27" s="86" t="b">
        <v>0</v>
      </c>
      <c r="N27" s="87" t="b">
        <v>0</v>
      </c>
      <c r="O27" s="73" t="str" cm="1">
        <f t="array" ref="O27:U27">_xlfn._xlws.FILTER($E$2:$N$2, $E27:$N27=TRUE)</f>
        <v>Time Series - Annual</v>
      </c>
      <c r="P27" s="73" t="str">
        <v>Time Series - Monthly</v>
      </c>
      <c r="Q27" s="73" t="str">
        <v>Time Series - Day</v>
      </c>
      <c r="R27" s="73" t="str">
        <v>Time Series - Hourly</v>
      </c>
      <c r="S27" s="73" t="str">
        <v>Custom Period</v>
      </c>
      <c r="T27" s="73" t="str">
        <v>User Input</v>
      </c>
      <c r="U27" s="73" t="str">
        <v>Adder (%)</v>
      </c>
      <c r="V27" s="73"/>
    </row>
    <row r="28" spans="2:22" ht="15.5" thickTop="1" thickBot="1" x14ac:dyDescent="0.4">
      <c r="B28" s="74"/>
      <c r="D28" s="77" t="s">
        <v>108</v>
      </c>
      <c r="E28" s="85" t="b">
        <v>1</v>
      </c>
      <c r="F28" s="86" t="b">
        <v>1</v>
      </c>
      <c r="G28" s="86" t="b">
        <v>1</v>
      </c>
      <c r="H28" s="86" t="b">
        <v>0</v>
      </c>
      <c r="I28" s="86" t="b">
        <v>0</v>
      </c>
      <c r="J28" s="86" t="b">
        <v>1</v>
      </c>
      <c r="K28" s="86" t="b">
        <v>0</v>
      </c>
      <c r="L28" s="86" t="b">
        <v>0</v>
      </c>
      <c r="M28" s="86" t="b">
        <v>0</v>
      </c>
      <c r="N28" s="87" t="b">
        <v>0</v>
      </c>
      <c r="O28" s="73" t="str" cm="1">
        <f t="array" ref="O28:R28">_xlfn._xlws.FILTER($E$2:$N$2, $E28:$N28=TRUE)</f>
        <v>Time Series - Annual</v>
      </c>
      <c r="P28" s="73" t="str">
        <v>Time Series - Monthly</v>
      </c>
      <c r="Q28" s="73" t="str">
        <v>Time Series - Day</v>
      </c>
      <c r="R28" s="73" t="str">
        <v>User Input</v>
      </c>
      <c r="S28" s="73"/>
      <c r="T28" s="73"/>
      <c r="U28" s="73"/>
      <c r="V28" s="73"/>
    </row>
    <row r="29" spans="2:22" ht="15.5" thickTop="1" thickBot="1" x14ac:dyDescent="0.4">
      <c r="B29" s="74"/>
      <c r="D29" s="77" t="s">
        <v>109</v>
      </c>
      <c r="E29" s="85" t="b">
        <v>1</v>
      </c>
      <c r="F29" s="86" t="b">
        <v>1</v>
      </c>
      <c r="G29" s="86" t="b">
        <v>1</v>
      </c>
      <c r="H29" s="86" t="b">
        <v>0</v>
      </c>
      <c r="I29" s="86" t="b">
        <v>0</v>
      </c>
      <c r="J29" s="86" t="b">
        <v>1</v>
      </c>
      <c r="K29" s="86" t="b">
        <v>0</v>
      </c>
      <c r="L29" s="86" t="b">
        <v>0</v>
      </c>
      <c r="M29" s="86" t="b">
        <v>0</v>
      </c>
      <c r="N29" s="87" t="b">
        <v>0</v>
      </c>
      <c r="O29" s="73" t="str" cm="1">
        <f t="array" ref="O29:R29">_xlfn._xlws.FILTER($E$2:$N$2, $E29:$N29=TRUE)</f>
        <v>Time Series - Annual</v>
      </c>
      <c r="P29" s="73" t="str">
        <v>Time Series - Monthly</v>
      </c>
      <c r="Q29" s="73" t="str">
        <v>Time Series - Day</v>
      </c>
      <c r="R29" s="73" t="str">
        <v>User Input</v>
      </c>
      <c r="S29" s="73"/>
      <c r="T29" s="73"/>
      <c r="U29" s="73"/>
      <c r="V29" s="73"/>
    </row>
    <row r="30" spans="2:22" ht="15.5" thickTop="1" thickBot="1" x14ac:dyDescent="0.4">
      <c r="B30" s="74"/>
      <c r="D30" s="77" t="s">
        <v>110</v>
      </c>
      <c r="E30" s="85" t="b">
        <v>1</v>
      </c>
      <c r="F30" s="86" t="b">
        <v>0</v>
      </c>
      <c r="G30" s="86" t="b">
        <v>0</v>
      </c>
      <c r="H30" s="86" t="b">
        <v>0</v>
      </c>
      <c r="I30" s="86" t="b">
        <v>0</v>
      </c>
      <c r="J30" s="86" t="b">
        <v>1</v>
      </c>
      <c r="K30" s="86" t="b">
        <v>0</v>
      </c>
      <c r="L30" s="86" t="b">
        <v>0</v>
      </c>
      <c r="M30" s="86" t="b">
        <v>0</v>
      </c>
      <c r="N30" s="87" t="b">
        <v>0</v>
      </c>
      <c r="O30" s="73" t="str" cm="1">
        <f t="array" ref="O30:P30">_xlfn._xlws.FILTER($E$2:$N$2, $E30:$N30=TRUE)</f>
        <v>Time Series - Annual</v>
      </c>
      <c r="P30" s="73" t="str">
        <v>User Input</v>
      </c>
      <c r="Q30" s="73"/>
      <c r="R30" s="73"/>
      <c r="S30" s="73"/>
      <c r="T30" s="73"/>
      <c r="U30" s="73"/>
      <c r="V30" s="73"/>
    </row>
    <row r="31" spans="2:22" ht="15.5" thickTop="1" thickBot="1" x14ac:dyDescent="0.4">
      <c r="B31" s="74"/>
      <c r="D31" s="77" t="s">
        <v>111</v>
      </c>
      <c r="E31" s="85" t="b">
        <v>1</v>
      </c>
      <c r="F31" s="86" t="b">
        <v>0</v>
      </c>
      <c r="G31" s="86" t="b">
        <v>0</v>
      </c>
      <c r="H31" s="86" t="b">
        <v>0</v>
      </c>
      <c r="I31" s="86" t="b">
        <v>0</v>
      </c>
      <c r="J31" s="86" t="b">
        <v>1</v>
      </c>
      <c r="K31" s="86" t="b">
        <v>0</v>
      </c>
      <c r="L31" s="86" t="b">
        <v>0</v>
      </c>
      <c r="M31" s="86" t="b">
        <v>0</v>
      </c>
      <c r="N31" s="87" t="b">
        <v>0</v>
      </c>
      <c r="O31" s="73" t="str" cm="1">
        <f t="array" ref="O31:P31">_xlfn._xlws.FILTER($E$2:$N$2, $E31:$N31=TRUE)</f>
        <v>Time Series - Annual</v>
      </c>
      <c r="P31" s="73" t="str">
        <v>User Input</v>
      </c>
      <c r="Q31" s="73"/>
      <c r="R31" s="73"/>
      <c r="S31" s="73"/>
      <c r="T31" s="73"/>
      <c r="U31" s="73"/>
      <c r="V31" s="73"/>
    </row>
    <row r="32" spans="2:22" ht="15.5" thickTop="1" thickBot="1" x14ac:dyDescent="0.4">
      <c r="B32" s="74"/>
      <c r="D32" s="77" t="s">
        <v>112</v>
      </c>
      <c r="E32" s="85" t="b">
        <v>1</v>
      </c>
      <c r="F32" s="86" t="b">
        <v>0</v>
      </c>
      <c r="G32" s="86" t="b">
        <v>0</v>
      </c>
      <c r="H32" s="86" t="b">
        <v>0</v>
      </c>
      <c r="I32" s="86" t="b">
        <v>0</v>
      </c>
      <c r="J32" s="86" t="b">
        <v>1</v>
      </c>
      <c r="K32" s="86" t="b">
        <v>1</v>
      </c>
      <c r="L32" s="86" t="b">
        <v>0</v>
      </c>
      <c r="M32" s="86" t="b">
        <v>0</v>
      </c>
      <c r="N32" s="87" t="b">
        <v>0</v>
      </c>
      <c r="O32" s="73" t="str" cm="1">
        <f t="array" ref="O32:Q32">_xlfn._xlws.FILTER($E$2:$N$2, $E32:$N32=TRUE)</f>
        <v>Time Series - Annual</v>
      </c>
      <c r="P32" s="73" t="str">
        <v>User Input</v>
      </c>
      <c r="Q32" s="73" t="str">
        <v>User Input - Program Specific</v>
      </c>
      <c r="R32" s="73"/>
      <c r="S32" s="73"/>
      <c r="T32" s="73"/>
      <c r="U32" s="73"/>
      <c r="V32" s="73"/>
    </row>
    <row r="33" spans="2:24" ht="15.5" thickTop="1" thickBot="1" x14ac:dyDescent="0.4">
      <c r="B33" s="74"/>
      <c r="D33" s="77" t="s">
        <v>114</v>
      </c>
      <c r="E33" s="85" t="b">
        <v>1</v>
      </c>
      <c r="F33" s="86" t="b">
        <v>0</v>
      </c>
      <c r="G33" s="86" t="b">
        <v>0</v>
      </c>
      <c r="H33" s="86" t="b">
        <v>0</v>
      </c>
      <c r="I33" s="86" t="b">
        <v>0</v>
      </c>
      <c r="J33" s="86" t="b">
        <v>1</v>
      </c>
      <c r="K33" s="86" t="b">
        <v>1</v>
      </c>
      <c r="L33" s="86" t="b">
        <v>0</v>
      </c>
      <c r="M33" s="86" t="b">
        <v>0</v>
      </c>
      <c r="N33" s="87" t="b">
        <v>0</v>
      </c>
      <c r="O33" s="73" t="str" cm="1">
        <f t="array" ref="O33:Q33">_xlfn._xlws.FILTER($E$2:$N$2, $E33:$N33=TRUE)</f>
        <v>Time Series - Annual</v>
      </c>
      <c r="P33" s="73" t="str">
        <v>User Input</v>
      </c>
      <c r="Q33" s="73" t="str">
        <v>User Input - Program Specific</v>
      </c>
      <c r="R33" s="73"/>
      <c r="S33" s="73"/>
      <c r="T33" s="73"/>
      <c r="U33" s="73"/>
      <c r="V33" s="73"/>
    </row>
    <row r="34" spans="2:24" ht="15.5" thickTop="1" thickBot="1" x14ac:dyDescent="0.4">
      <c r="B34" s="74"/>
      <c r="D34" s="77" t="s">
        <v>115</v>
      </c>
      <c r="E34" s="85" t="b">
        <v>1</v>
      </c>
      <c r="F34" s="86" t="b">
        <v>0</v>
      </c>
      <c r="G34" s="86" t="b">
        <v>0</v>
      </c>
      <c r="H34" s="86" t="b">
        <v>0</v>
      </c>
      <c r="I34" s="86" t="b">
        <v>0</v>
      </c>
      <c r="J34" s="86" t="b">
        <v>1</v>
      </c>
      <c r="K34" s="86" t="b">
        <v>1</v>
      </c>
      <c r="L34" s="86" t="b">
        <v>0</v>
      </c>
      <c r="M34" s="86" t="b">
        <v>0</v>
      </c>
      <c r="N34" s="87" t="b">
        <v>0</v>
      </c>
      <c r="O34" s="73" t="str" cm="1">
        <f t="array" ref="O34:Q34">_xlfn._xlws.FILTER($E$2:$N$2, $E34:$N34=TRUE)</f>
        <v>Time Series - Annual</v>
      </c>
      <c r="P34" s="73" t="str">
        <v>User Input</v>
      </c>
      <c r="Q34" s="73" t="str">
        <v>User Input - Program Specific</v>
      </c>
      <c r="R34" s="73"/>
      <c r="S34" s="73"/>
      <c r="T34" s="73"/>
      <c r="U34" s="73"/>
      <c r="V34" s="73"/>
    </row>
    <row r="35" spans="2:24" ht="15.5" thickTop="1" thickBot="1" x14ac:dyDescent="0.4">
      <c r="B35" s="74"/>
      <c r="D35" s="77" t="s">
        <v>116</v>
      </c>
      <c r="E35" s="85" t="b">
        <v>1</v>
      </c>
      <c r="F35" s="86" t="b">
        <v>0</v>
      </c>
      <c r="G35" s="86" t="b">
        <v>0</v>
      </c>
      <c r="H35" s="86" t="b">
        <v>0</v>
      </c>
      <c r="I35" s="86" t="b">
        <v>0</v>
      </c>
      <c r="J35" s="86" t="b">
        <v>1</v>
      </c>
      <c r="K35" s="86" t="b">
        <v>1</v>
      </c>
      <c r="L35" s="86" t="b">
        <v>0</v>
      </c>
      <c r="M35" s="86" t="b">
        <v>0</v>
      </c>
      <c r="N35" s="87" t="b">
        <v>0</v>
      </c>
      <c r="O35" s="73" t="str" cm="1">
        <f t="array" ref="O35:Q35">_xlfn._xlws.FILTER($E$2:$N$2, $E35:$N35=TRUE)</f>
        <v>Time Series - Annual</v>
      </c>
      <c r="P35" s="73" t="str">
        <v>User Input</v>
      </c>
      <c r="Q35" s="73" t="str">
        <v>User Input - Program Specific</v>
      </c>
      <c r="R35" s="73"/>
      <c r="S35" s="73"/>
      <c r="T35" s="73"/>
      <c r="U35" s="73"/>
      <c r="V35" s="73"/>
    </row>
    <row r="36" spans="2:24" ht="15.5" thickTop="1" thickBot="1" x14ac:dyDescent="0.4">
      <c r="B36" s="74"/>
      <c r="D36" s="77" t="s">
        <v>117</v>
      </c>
      <c r="E36" s="85" t="b">
        <v>1</v>
      </c>
      <c r="F36" s="86" t="b">
        <v>0</v>
      </c>
      <c r="G36" s="86" t="b">
        <v>0</v>
      </c>
      <c r="H36" s="86" t="b">
        <v>0</v>
      </c>
      <c r="I36" s="86" t="b">
        <v>0</v>
      </c>
      <c r="J36" s="86" t="b">
        <v>1</v>
      </c>
      <c r="K36" s="86" t="b">
        <v>1</v>
      </c>
      <c r="L36" s="86" t="b">
        <v>0</v>
      </c>
      <c r="M36" s="86" t="b">
        <v>0</v>
      </c>
      <c r="N36" s="87" t="b">
        <v>0</v>
      </c>
      <c r="O36" s="73" t="str" cm="1">
        <f t="array" ref="O36:Q36">_xlfn._xlws.FILTER($E$2:$N$2, $E36:$N36=TRUE)</f>
        <v>Time Series - Annual</v>
      </c>
      <c r="P36" s="73" t="str">
        <v>User Input</v>
      </c>
      <c r="Q36" s="73" t="str">
        <v>User Input - Program Specific</v>
      </c>
      <c r="R36" s="73"/>
      <c r="S36" s="73"/>
      <c r="T36" s="73"/>
      <c r="U36" s="73"/>
      <c r="V36" s="73"/>
    </row>
    <row r="37" spans="2:24" ht="15.5" thickTop="1" thickBot="1" x14ac:dyDescent="0.4">
      <c r="B37" s="74"/>
      <c r="D37" s="77" t="s">
        <v>118</v>
      </c>
      <c r="E37" s="85" t="b">
        <v>1</v>
      </c>
      <c r="F37" s="86" t="b">
        <v>0</v>
      </c>
      <c r="G37" s="86" t="b">
        <v>0</v>
      </c>
      <c r="H37" s="86" t="b">
        <v>0</v>
      </c>
      <c r="I37" s="86" t="b">
        <v>0</v>
      </c>
      <c r="J37" s="86" t="b">
        <v>1</v>
      </c>
      <c r="K37" s="86" t="b">
        <v>1</v>
      </c>
      <c r="L37" s="86" t="b">
        <v>0</v>
      </c>
      <c r="M37" s="86" t="b">
        <v>0</v>
      </c>
      <c r="N37" s="87" t="b">
        <v>0</v>
      </c>
      <c r="O37" s="73" t="str" cm="1">
        <f t="array" ref="O37:Q37">_xlfn._xlws.FILTER($E$2:$N$2, $E37:$N37=TRUE)</f>
        <v>Time Series - Annual</v>
      </c>
      <c r="P37" s="73" t="str">
        <v>User Input</v>
      </c>
      <c r="Q37" s="73" t="str">
        <v>User Input - Program Specific</v>
      </c>
      <c r="R37" s="73"/>
      <c r="S37" s="73"/>
      <c r="T37" s="73"/>
      <c r="U37" s="73"/>
      <c r="V37" s="73"/>
    </row>
    <row r="38" spans="2:24" ht="15.5" thickTop="1" thickBot="1" x14ac:dyDescent="0.4">
      <c r="B38" s="74"/>
      <c r="D38" s="77" t="s">
        <v>119</v>
      </c>
      <c r="E38" s="85" t="b">
        <v>1</v>
      </c>
      <c r="F38" s="86" t="b">
        <v>0</v>
      </c>
      <c r="G38" s="86" t="b">
        <v>0</v>
      </c>
      <c r="H38" s="86" t="b">
        <v>0</v>
      </c>
      <c r="I38" s="86" t="b">
        <v>0</v>
      </c>
      <c r="J38" s="86" t="b">
        <v>1</v>
      </c>
      <c r="K38" s="86" t="b">
        <v>1</v>
      </c>
      <c r="L38" s="86" t="b">
        <v>0</v>
      </c>
      <c r="M38" s="86" t="b">
        <v>0</v>
      </c>
      <c r="N38" s="87" t="b">
        <v>0</v>
      </c>
      <c r="O38" s="73" t="str" cm="1">
        <f t="array" ref="O38:Q38">_xlfn._xlws.FILTER($E$2:$N$2, $E38:$N38=TRUE)</f>
        <v>Time Series - Annual</v>
      </c>
      <c r="P38" s="73" t="str">
        <v>User Input</v>
      </c>
      <c r="Q38" s="73" t="str">
        <v>User Input - Program Specific</v>
      </c>
      <c r="R38" s="73"/>
      <c r="S38" s="73"/>
      <c r="T38" s="73"/>
      <c r="U38" s="73"/>
      <c r="V38" s="73"/>
    </row>
    <row r="39" spans="2:24" ht="15.5" thickTop="1" thickBot="1" x14ac:dyDescent="0.4">
      <c r="B39" s="74"/>
      <c r="D39" s="77" t="s">
        <v>120</v>
      </c>
      <c r="E39" s="85" t="b">
        <v>1</v>
      </c>
      <c r="F39" s="86" t="b">
        <v>0</v>
      </c>
      <c r="G39" s="86" t="b">
        <v>0</v>
      </c>
      <c r="H39" s="86" t="b">
        <v>0</v>
      </c>
      <c r="I39" s="86" t="b">
        <v>0</v>
      </c>
      <c r="J39" s="86" t="b">
        <v>1</v>
      </c>
      <c r="K39" s="86" t="b">
        <v>1</v>
      </c>
      <c r="L39" s="86" t="b">
        <v>0</v>
      </c>
      <c r="M39" s="86" t="b">
        <v>0</v>
      </c>
      <c r="N39" s="87" t="b">
        <v>0</v>
      </c>
      <c r="O39" s="73" t="str" cm="1">
        <f t="array" ref="O39:Q39">_xlfn._xlws.FILTER($E$2:$N$2, $E39:$N39=TRUE)</f>
        <v>Time Series - Annual</v>
      </c>
      <c r="P39" s="73" t="str">
        <v>User Input</v>
      </c>
      <c r="Q39" s="73" t="str">
        <v>User Input - Program Specific</v>
      </c>
      <c r="R39" s="73"/>
      <c r="S39" s="73"/>
      <c r="T39" s="73"/>
      <c r="U39" s="73"/>
      <c r="V39" s="73"/>
    </row>
    <row r="40" spans="2:24" ht="15.5" thickTop="1" thickBot="1" x14ac:dyDescent="0.4">
      <c r="B40" s="74"/>
      <c r="D40" s="77" t="s">
        <v>121</v>
      </c>
      <c r="E40" s="85" t="b">
        <v>1</v>
      </c>
      <c r="F40" s="86" t="b">
        <v>1</v>
      </c>
      <c r="G40" s="86" t="b">
        <v>1</v>
      </c>
      <c r="H40" s="86" t="b">
        <v>1</v>
      </c>
      <c r="I40" s="86" t="b">
        <v>0</v>
      </c>
      <c r="J40" s="86" t="b">
        <v>1</v>
      </c>
      <c r="K40" s="86" t="b">
        <v>0</v>
      </c>
      <c r="L40" s="86" t="b">
        <v>0</v>
      </c>
      <c r="M40" s="86" t="b">
        <v>1</v>
      </c>
      <c r="N40" s="87" t="b">
        <v>0</v>
      </c>
      <c r="O40" s="73" t="str" cm="1">
        <f t="array" ref="O40:T40">_xlfn._xlws.FILTER($E$2:$N$2, $E40:$N40=TRUE)</f>
        <v>Time Series - Annual</v>
      </c>
      <c r="P40" s="73" t="str">
        <v>Time Series - Monthly</v>
      </c>
      <c r="Q40" s="73" t="str">
        <v>Time Series - Day</v>
      </c>
      <c r="R40" s="73" t="str">
        <v>Time Series - Hourly</v>
      </c>
      <c r="S40" s="73" t="str">
        <v>User Input</v>
      </c>
      <c r="T40" s="73" t="str">
        <v>Adder ($/kWh)</v>
      </c>
      <c r="U40" s="73"/>
      <c r="V40" s="73"/>
    </row>
    <row r="41" spans="2:24" ht="15.5" thickTop="1" thickBot="1" x14ac:dyDescent="0.4">
      <c r="B41" s="74"/>
      <c r="D41" s="77" t="s">
        <v>122</v>
      </c>
      <c r="E41" s="85" t="b">
        <v>1</v>
      </c>
      <c r="F41" s="86" t="b">
        <v>1</v>
      </c>
      <c r="G41" s="86" t="b">
        <v>1</v>
      </c>
      <c r="H41" s="86" t="b">
        <v>1</v>
      </c>
      <c r="I41" s="86" t="b">
        <v>0</v>
      </c>
      <c r="J41" s="86" t="b">
        <v>1</v>
      </c>
      <c r="K41" s="86" t="b">
        <v>0</v>
      </c>
      <c r="L41" s="86" t="b">
        <v>0</v>
      </c>
      <c r="M41" s="86" t="b">
        <v>0</v>
      </c>
      <c r="N41" s="87" t="b">
        <v>0</v>
      </c>
      <c r="O41" s="73" t="str" cm="1">
        <f t="array" ref="O41:S41">_xlfn._xlws.FILTER($E$2:$N$2, $E41:$N41=TRUE)</f>
        <v>Time Series - Annual</v>
      </c>
      <c r="P41" s="73" t="str">
        <v>Time Series - Monthly</v>
      </c>
      <c r="Q41" s="73" t="str">
        <v>Time Series - Day</v>
      </c>
      <c r="R41" s="73" t="str">
        <v>Time Series - Hourly</v>
      </c>
      <c r="S41" s="73" t="str">
        <v>User Input</v>
      </c>
      <c r="T41" s="73"/>
      <c r="U41" s="73"/>
      <c r="V41" s="73"/>
    </row>
    <row r="42" spans="2:24" ht="15.5" thickTop="1" thickBot="1" x14ac:dyDescent="0.4">
      <c r="B42" s="74"/>
      <c r="D42" s="77" t="s">
        <v>123</v>
      </c>
      <c r="E42" s="85" t="b">
        <v>1</v>
      </c>
      <c r="F42" s="86" t="b">
        <v>1</v>
      </c>
      <c r="G42" s="86" t="b">
        <v>1</v>
      </c>
      <c r="H42" s="86" t="b">
        <v>1</v>
      </c>
      <c r="I42" s="86" t="b">
        <v>1</v>
      </c>
      <c r="J42" s="86" t="b">
        <v>1</v>
      </c>
      <c r="K42" s="86" t="b">
        <v>1</v>
      </c>
      <c r="L42" s="86" t="b">
        <v>1</v>
      </c>
      <c r="M42" s="86" t="b">
        <v>1</v>
      </c>
      <c r="N42" s="87" t="b">
        <v>1</v>
      </c>
      <c r="O42" s="73" t="str" cm="1">
        <f t="array" ref="O42:X42">_xlfn._xlws.FILTER($E$2:$N$2, $E42:$N42=TRUE)</f>
        <v>Time Series - Annual</v>
      </c>
      <c r="P42" s="73" t="str">
        <v>Time Series - Monthly</v>
      </c>
      <c r="Q42" s="73" t="str">
        <v>Time Series - Day</v>
      </c>
      <c r="R42" s="73" t="str">
        <v>Time Series - Hourly</v>
      </c>
      <c r="S42" s="73" t="str">
        <v>Custom Period</v>
      </c>
      <c r="T42" s="73" t="str">
        <v>User Input</v>
      </c>
      <c r="U42" s="73" t="str">
        <v>User Input - Program Specific</v>
      </c>
      <c r="V42" s="73" t="str">
        <v>Adder (%)</v>
      </c>
      <c r="W42" t="str">
        <v>Adder ($/kWh)</v>
      </c>
      <c r="X42" t="str">
        <v>Adder ($/therm)</v>
      </c>
    </row>
    <row r="43" spans="2:24" ht="15.5" thickTop="1" thickBot="1" x14ac:dyDescent="0.4">
      <c r="B43" s="74"/>
      <c r="D43" s="77" t="s">
        <v>124</v>
      </c>
      <c r="E43" s="85" t="b">
        <v>1</v>
      </c>
      <c r="F43" s="86" t="b">
        <v>1</v>
      </c>
      <c r="G43" s="86" t="b">
        <v>1</v>
      </c>
      <c r="H43" s="86" t="b">
        <v>1</v>
      </c>
      <c r="I43" s="86" t="b">
        <v>1</v>
      </c>
      <c r="J43" s="86" t="b">
        <v>1</v>
      </c>
      <c r="K43" s="86" t="b">
        <v>1</v>
      </c>
      <c r="L43" s="86" t="b">
        <v>1</v>
      </c>
      <c r="M43" s="86" t="b">
        <v>1</v>
      </c>
      <c r="N43" s="87" t="b">
        <v>1</v>
      </c>
      <c r="O43" s="73" t="str" cm="1">
        <f t="array" ref="O43:X43">_xlfn._xlws.FILTER($E$2:$N$2, $E43:$N43=TRUE)</f>
        <v>Time Series - Annual</v>
      </c>
      <c r="P43" s="73" t="str">
        <v>Time Series - Monthly</v>
      </c>
      <c r="Q43" s="73" t="str">
        <v>Time Series - Day</v>
      </c>
      <c r="R43" s="73" t="str">
        <v>Time Series - Hourly</v>
      </c>
      <c r="S43" s="73" t="str">
        <v>Custom Period</v>
      </c>
      <c r="T43" s="73" t="str">
        <v>User Input</v>
      </c>
      <c r="U43" s="73" t="str">
        <v>User Input - Program Specific</v>
      </c>
      <c r="V43" s="73" t="str">
        <v>Adder (%)</v>
      </c>
      <c r="W43" t="str">
        <v>Adder ($/kWh)</v>
      </c>
      <c r="X43" t="str">
        <v>Adder ($/therm)</v>
      </c>
    </row>
    <row r="44" spans="2:24" ht="15.5" thickTop="1" thickBot="1" x14ac:dyDescent="0.4">
      <c r="B44" s="74"/>
      <c r="D44" s="77" t="s">
        <v>125</v>
      </c>
      <c r="E44" s="85" t="b">
        <v>1</v>
      </c>
      <c r="F44" s="86" t="b">
        <v>1</v>
      </c>
      <c r="G44" s="86" t="b">
        <v>1</v>
      </c>
      <c r="H44" s="86" t="b">
        <v>1</v>
      </c>
      <c r="I44" s="86" t="b">
        <v>1</v>
      </c>
      <c r="J44" s="86" t="b">
        <v>1</v>
      </c>
      <c r="K44" s="86" t="b">
        <v>1</v>
      </c>
      <c r="L44" s="86" t="b">
        <v>1</v>
      </c>
      <c r="M44" s="86" t="b">
        <v>1</v>
      </c>
      <c r="N44" s="87" t="b">
        <v>1</v>
      </c>
      <c r="O44" s="73" t="str" cm="1">
        <f t="array" ref="O44:X44">_xlfn._xlws.FILTER($E$2:$N$2, $E44:$N44=TRUE)</f>
        <v>Time Series - Annual</v>
      </c>
      <c r="P44" s="73" t="str">
        <v>Time Series - Monthly</v>
      </c>
      <c r="Q44" s="73" t="str">
        <v>Time Series - Day</v>
      </c>
      <c r="R44" s="73" t="str">
        <v>Time Series - Hourly</v>
      </c>
      <c r="S44" s="73" t="str">
        <v>Custom Period</v>
      </c>
      <c r="T44" s="73" t="str">
        <v>User Input</v>
      </c>
      <c r="U44" s="73" t="str">
        <v>User Input - Program Specific</v>
      </c>
      <c r="V44" s="73" t="str">
        <v>Adder (%)</v>
      </c>
      <c r="W44" t="str">
        <v>Adder ($/kWh)</v>
      </c>
      <c r="X44" t="str">
        <v>Adder ($/therm)</v>
      </c>
    </row>
    <row r="45" spans="2:24" ht="15.5" thickTop="1" thickBot="1" x14ac:dyDescent="0.4">
      <c r="B45" s="74"/>
      <c r="D45" s="77" t="s">
        <v>126</v>
      </c>
      <c r="E45" s="85" t="b">
        <v>1</v>
      </c>
      <c r="F45" s="86" t="b">
        <v>1</v>
      </c>
      <c r="G45" s="86" t="b">
        <v>1</v>
      </c>
      <c r="H45" s="86" t="b">
        <v>1</v>
      </c>
      <c r="I45" s="86" t="b">
        <v>1</v>
      </c>
      <c r="J45" s="86" t="b">
        <v>1</v>
      </c>
      <c r="K45" s="86" t="b">
        <v>1</v>
      </c>
      <c r="L45" s="86" t="b">
        <v>1</v>
      </c>
      <c r="M45" s="86" t="b">
        <v>1</v>
      </c>
      <c r="N45" s="87" t="b">
        <v>1</v>
      </c>
      <c r="O45" s="73" t="str" cm="1">
        <f t="array" ref="O45:X45">_xlfn._xlws.FILTER($E$2:$N$2, $E45:$N45=TRUE)</f>
        <v>Time Series - Annual</v>
      </c>
      <c r="P45" s="73" t="str">
        <v>Time Series - Monthly</v>
      </c>
      <c r="Q45" s="73" t="str">
        <v>Time Series - Day</v>
      </c>
      <c r="R45" s="73" t="str">
        <v>Time Series - Hourly</v>
      </c>
      <c r="S45" s="73" t="str">
        <v>Custom Period</v>
      </c>
      <c r="T45" s="73" t="str">
        <v>User Input</v>
      </c>
      <c r="U45" s="73" t="str">
        <v>User Input - Program Specific</v>
      </c>
      <c r="V45" s="73" t="str">
        <v>Adder (%)</v>
      </c>
      <c r="W45" t="str">
        <v>Adder ($/kWh)</v>
      </c>
      <c r="X45" t="str">
        <v>Adder ($/therm)</v>
      </c>
    </row>
    <row r="46" spans="2:24" ht="15.5" thickTop="1" thickBot="1" x14ac:dyDescent="0.4">
      <c r="B46" s="74"/>
      <c r="D46" s="78" t="s">
        <v>127</v>
      </c>
      <c r="E46" s="88" t="b">
        <v>1</v>
      </c>
      <c r="F46" s="89" t="b">
        <v>1</v>
      </c>
      <c r="G46" s="89" t="b">
        <v>1</v>
      </c>
      <c r="H46" s="89" t="b">
        <v>1</v>
      </c>
      <c r="I46" s="89" t="b">
        <v>1</v>
      </c>
      <c r="J46" s="89" t="b">
        <v>1</v>
      </c>
      <c r="K46" s="89" t="b">
        <v>1</v>
      </c>
      <c r="L46" s="89" t="b">
        <v>1</v>
      </c>
      <c r="M46" s="89" t="b">
        <v>1</v>
      </c>
      <c r="N46" s="90" t="b">
        <v>1</v>
      </c>
      <c r="O46" s="73" t="str" cm="1">
        <f t="array" ref="O46:X46">_xlfn._xlws.FILTER($E$2:$N$2, $E46:$N46=TRUE)</f>
        <v>Time Series - Annual</v>
      </c>
      <c r="P46" s="73" t="str">
        <v>Time Series - Monthly</v>
      </c>
      <c r="Q46" s="73" t="str">
        <v>Time Series - Day</v>
      </c>
      <c r="R46" s="73" t="str">
        <v>Time Series - Hourly</v>
      </c>
      <c r="S46" s="73" t="str">
        <v>Custom Period</v>
      </c>
      <c r="T46" s="73" t="str">
        <v>User Input</v>
      </c>
      <c r="U46" s="73" t="str">
        <v>User Input - Program Specific</v>
      </c>
      <c r="V46" s="73" t="str">
        <v>Adder (%)</v>
      </c>
      <c r="W46" t="str">
        <v>Adder ($/kWh)</v>
      </c>
      <c r="X46" t="str">
        <v>Adder ($/therm)</v>
      </c>
    </row>
    <row r="47" spans="2:24" ht="15" thickTop="1" x14ac:dyDescent="0.35"/>
  </sheetData>
  <conditionalFormatting sqref="E3:N46">
    <cfRule type="expression" dxfId="2" priority="1">
      <formula>E3=FALSE</formula>
    </cfRule>
  </conditionalFormatting>
  <dataValidations count="1">
    <dataValidation type="list" allowBlank="1" showInputMessage="1" showErrorMessage="1" sqref="B3:B46" xr:uid="{A0F66234-2151-4170-A7B9-2AF49789D575}">
      <formula1>_xlfn.ANCHORARRAY(INDEX($O:$O, MATCH($D3, $D:$D, 0)))</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C812A-A092-49F7-91D5-8DA1907A163D}">
  <sheetPr codeName="Sheet10"/>
  <dimension ref="A1:O55"/>
  <sheetViews>
    <sheetView topLeftCell="A30" workbookViewId="0">
      <selection activeCell="J43" sqref="J43"/>
    </sheetView>
  </sheetViews>
  <sheetFormatPr defaultColWidth="8.81640625" defaultRowHeight="14.5" x14ac:dyDescent="0.35"/>
  <cols>
    <col min="1" max="1" width="3" customWidth="1"/>
    <col min="2" max="2" width="37" customWidth="1"/>
    <col min="3" max="3" width="44.81640625" customWidth="1"/>
  </cols>
  <sheetData>
    <row r="1" spans="1:15" x14ac:dyDescent="0.35">
      <c r="A1" s="179"/>
      <c r="B1" s="179"/>
      <c r="C1" s="137"/>
      <c r="D1" s="137"/>
      <c r="E1" s="137"/>
      <c r="F1" s="137"/>
      <c r="G1" s="137"/>
      <c r="H1" s="137"/>
      <c r="I1" s="137"/>
      <c r="J1" s="137"/>
      <c r="K1" s="137"/>
      <c r="L1" s="137"/>
      <c r="M1" s="137"/>
      <c r="N1" s="137"/>
      <c r="O1" s="137"/>
    </row>
    <row r="2" spans="1:15" ht="18.5" x14ac:dyDescent="0.45">
      <c r="A2" s="137"/>
      <c r="B2" s="138" t="s">
        <v>182</v>
      </c>
      <c r="C2" s="137"/>
      <c r="D2" s="137"/>
      <c r="E2" s="137"/>
      <c r="F2" s="137"/>
      <c r="G2" s="137"/>
      <c r="H2" s="137"/>
      <c r="I2" s="137"/>
      <c r="J2" s="137"/>
      <c r="K2" s="137"/>
      <c r="L2" s="137"/>
      <c r="M2" s="137"/>
      <c r="N2" s="137"/>
      <c r="O2" s="137"/>
    </row>
    <row r="3" spans="1:15" x14ac:dyDescent="0.35">
      <c r="A3" s="179"/>
      <c r="B3" s="179"/>
      <c r="C3" s="137"/>
      <c r="D3" s="137"/>
      <c r="E3" s="137"/>
      <c r="F3" s="137"/>
      <c r="G3" s="137"/>
      <c r="H3" s="137"/>
      <c r="I3" s="137"/>
      <c r="J3" s="137"/>
      <c r="K3" s="137"/>
      <c r="L3" s="137"/>
      <c r="M3" s="137"/>
      <c r="N3" s="137"/>
      <c r="O3" s="137"/>
    </row>
    <row r="4" spans="1:15" x14ac:dyDescent="0.35">
      <c r="A4" s="137"/>
      <c r="B4" s="139" t="s">
        <v>181</v>
      </c>
      <c r="C4" s="137"/>
      <c r="D4" s="137"/>
      <c r="E4" s="137"/>
      <c r="F4" s="137"/>
      <c r="G4" s="137"/>
      <c r="H4" s="137"/>
      <c r="I4" s="137"/>
      <c r="J4" s="137"/>
      <c r="K4" s="137"/>
      <c r="L4" s="137"/>
      <c r="M4" s="137"/>
      <c r="N4" s="137"/>
      <c r="O4" s="137"/>
    </row>
    <row r="5" spans="1:15" x14ac:dyDescent="0.35">
      <c r="A5" s="140" t="s">
        <v>135</v>
      </c>
      <c r="B5" s="140" t="s">
        <v>136</v>
      </c>
      <c r="C5" s="140" t="s">
        <v>137</v>
      </c>
      <c r="D5" s="137"/>
      <c r="E5" s="137"/>
      <c r="F5" s="137"/>
      <c r="G5" s="137"/>
      <c r="H5" s="137"/>
      <c r="I5" s="137"/>
      <c r="J5" s="137"/>
      <c r="K5" s="137"/>
      <c r="L5" s="137"/>
      <c r="M5" s="137"/>
      <c r="N5" s="137"/>
      <c r="O5" s="137"/>
    </row>
    <row r="6" spans="1:15" x14ac:dyDescent="0.35">
      <c r="A6" s="137">
        <v>1</v>
      </c>
      <c r="B6" s="137" t="s">
        <v>76</v>
      </c>
      <c r="C6" s="137" t="s">
        <v>138</v>
      </c>
      <c r="D6" s="137"/>
      <c r="E6" s="137"/>
      <c r="F6" s="137"/>
      <c r="G6" s="137"/>
      <c r="H6" s="137"/>
      <c r="I6" s="137"/>
      <c r="J6" s="137"/>
      <c r="K6" s="137"/>
      <c r="L6" s="137"/>
      <c r="M6" s="137"/>
      <c r="N6" s="137"/>
      <c r="O6" s="137"/>
    </row>
    <row r="7" spans="1:15" x14ac:dyDescent="0.35">
      <c r="A7" s="137">
        <v>2</v>
      </c>
      <c r="B7" s="137" t="s">
        <v>82</v>
      </c>
      <c r="C7" s="137" t="s">
        <v>139</v>
      </c>
      <c r="D7" s="137"/>
      <c r="E7" s="137"/>
      <c r="F7" s="137"/>
      <c r="G7" s="137"/>
      <c r="H7" s="137"/>
      <c r="I7" s="137"/>
      <c r="J7" s="137"/>
      <c r="K7" s="137"/>
      <c r="L7" s="137"/>
      <c r="M7" s="137"/>
      <c r="N7" s="137"/>
      <c r="O7" s="137"/>
    </row>
    <row r="8" spans="1:15" x14ac:dyDescent="0.35">
      <c r="A8" s="137">
        <v>3</v>
      </c>
      <c r="B8" s="137" t="s">
        <v>84</v>
      </c>
      <c r="C8" s="137" t="s">
        <v>140</v>
      </c>
      <c r="D8" s="137"/>
      <c r="E8" s="137"/>
      <c r="F8" s="137"/>
      <c r="G8" s="137"/>
      <c r="H8" s="137"/>
      <c r="I8" s="137"/>
      <c r="J8" s="137"/>
      <c r="K8" s="137"/>
      <c r="L8" s="137"/>
      <c r="M8" s="137"/>
      <c r="N8" s="137"/>
      <c r="O8" s="137"/>
    </row>
    <row r="9" spans="1:15" x14ac:dyDescent="0.35">
      <c r="A9" s="137">
        <v>4</v>
      </c>
      <c r="B9" s="137" t="s">
        <v>85</v>
      </c>
      <c r="C9" s="137" t="s">
        <v>141</v>
      </c>
      <c r="D9" s="137"/>
      <c r="E9" s="137"/>
      <c r="F9" s="137"/>
      <c r="G9" s="137"/>
      <c r="H9" s="137"/>
      <c r="I9" s="137"/>
      <c r="J9" s="137"/>
      <c r="K9" s="137"/>
      <c r="L9" s="137"/>
      <c r="M9" s="137"/>
      <c r="N9" s="137"/>
      <c r="O9" s="137"/>
    </row>
    <row r="10" spans="1:15" x14ac:dyDescent="0.35">
      <c r="A10" s="137">
        <v>5</v>
      </c>
      <c r="B10" s="137" t="s">
        <v>87</v>
      </c>
      <c r="C10" s="137" t="s">
        <v>142</v>
      </c>
      <c r="D10" s="137"/>
      <c r="E10" s="137"/>
      <c r="F10" s="137"/>
      <c r="G10" s="137"/>
      <c r="H10" s="137"/>
      <c r="I10" s="137"/>
      <c r="J10" s="137"/>
      <c r="K10" s="137"/>
      <c r="L10" s="137"/>
      <c r="M10" s="137"/>
      <c r="N10" s="137"/>
      <c r="O10" s="137"/>
    </row>
    <row r="11" spans="1:15" x14ac:dyDescent="0.35">
      <c r="A11" s="137">
        <v>6</v>
      </c>
      <c r="B11" s="137" t="s">
        <v>88</v>
      </c>
      <c r="C11" s="137" t="s">
        <v>143</v>
      </c>
      <c r="D11" s="137"/>
      <c r="E11" s="137"/>
      <c r="F11" s="137"/>
      <c r="G11" s="137"/>
      <c r="H11" s="137"/>
      <c r="I11" s="137"/>
      <c r="J11" s="137"/>
      <c r="K11" s="137"/>
      <c r="L11" s="137"/>
      <c r="M11" s="137"/>
      <c r="N11" s="137"/>
      <c r="O11" s="137"/>
    </row>
    <row r="12" spans="1:15" x14ac:dyDescent="0.35">
      <c r="A12" s="137">
        <v>7</v>
      </c>
      <c r="B12" s="137" t="s">
        <v>89</v>
      </c>
      <c r="C12" s="137" t="s">
        <v>144</v>
      </c>
      <c r="D12" s="137"/>
      <c r="E12" s="137"/>
      <c r="F12" s="137"/>
      <c r="G12" s="137"/>
      <c r="H12" s="137"/>
      <c r="I12" s="137"/>
      <c r="J12" s="137"/>
      <c r="K12" s="137"/>
      <c r="L12" s="137"/>
      <c r="M12" s="137"/>
      <c r="N12" s="137"/>
      <c r="O12" s="137"/>
    </row>
    <row r="13" spans="1:15" x14ac:dyDescent="0.35">
      <c r="A13" s="137">
        <v>8</v>
      </c>
      <c r="B13" s="137" t="s">
        <v>90</v>
      </c>
      <c r="C13" s="137" t="s">
        <v>144</v>
      </c>
      <c r="D13" s="137"/>
      <c r="E13" s="137"/>
      <c r="F13" s="137"/>
      <c r="G13" s="137"/>
      <c r="H13" s="137"/>
      <c r="I13" s="137"/>
      <c r="J13" s="137"/>
      <c r="K13" s="137"/>
      <c r="L13" s="137"/>
      <c r="M13" s="137"/>
      <c r="N13" s="137"/>
      <c r="O13" s="137"/>
    </row>
    <row r="14" spans="1:15" x14ac:dyDescent="0.35">
      <c r="A14" s="137">
        <v>9</v>
      </c>
      <c r="B14" s="137" t="s">
        <v>91</v>
      </c>
      <c r="C14" s="137" t="s">
        <v>145</v>
      </c>
      <c r="D14" s="137"/>
      <c r="E14" s="137"/>
      <c r="F14" s="137"/>
      <c r="G14" s="137"/>
      <c r="H14" s="137"/>
      <c r="I14" s="137"/>
      <c r="J14" s="137"/>
      <c r="K14" s="137"/>
      <c r="L14" s="137"/>
      <c r="M14" s="137"/>
      <c r="N14" s="137"/>
      <c r="O14" s="137"/>
    </row>
    <row r="15" spans="1:15" x14ac:dyDescent="0.35">
      <c r="A15" s="137">
        <v>10</v>
      </c>
      <c r="B15" s="137" t="s">
        <v>92</v>
      </c>
      <c r="C15" s="137" t="s">
        <v>146</v>
      </c>
      <c r="D15" s="137"/>
      <c r="E15" s="137"/>
      <c r="F15" s="137"/>
      <c r="G15" s="137"/>
      <c r="H15" s="137"/>
      <c r="I15" s="137"/>
      <c r="J15" s="137"/>
      <c r="K15" s="137"/>
      <c r="L15" s="137"/>
      <c r="M15" s="137"/>
      <c r="N15" s="137"/>
      <c r="O15" s="137"/>
    </row>
    <row r="16" spans="1:15" x14ac:dyDescent="0.35">
      <c r="A16" s="137">
        <v>11</v>
      </c>
      <c r="B16" s="137" t="s">
        <v>147</v>
      </c>
      <c r="C16" s="137" t="s">
        <v>148</v>
      </c>
      <c r="D16" s="137"/>
      <c r="E16" s="137"/>
      <c r="F16" s="137"/>
      <c r="G16" s="137"/>
      <c r="H16" s="137"/>
      <c r="I16" s="137"/>
      <c r="J16" s="137"/>
      <c r="K16" s="137"/>
      <c r="L16" s="137"/>
      <c r="M16" s="137"/>
      <c r="N16" s="137"/>
      <c r="O16" s="137"/>
    </row>
    <row r="17" spans="1:15" x14ac:dyDescent="0.35">
      <c r="A17" s="137">
        <v>12</v>
      </c>
      <c r="B17" s="137" t="s">
        <v>149</v>
      </c>
      <c r="C17" s="137" t="s">
        <v>150</v>
      </c>
      <c r="D17" s="137"/>
      <c r="E17" s="137"/>
      <c r="F17" s="137"/>
      <c r="G17" s="137"/>
      <c r="H17" s="137"/>
      <c r="I17" s="137"/>
      <c r="J17" s="137"/>
      <c r="K17" s="137"/>
      <c r="L17" s="137"/>
      <c r="M17" s="137"/>
      <c r="N17" s="137"/>
      <c r="O17" s="137"/>
    </row>
    <row r="18" spans="1:15" x14ac:dyDescent="0.35">
      <c r="A18" s="137">
        <v>13</v>
      </c>
      <c r="B18" s="137" t="s">
        <v>151</v>
      </c>
      <c r="C18" s="137" t="s">
        <v>152</v>
      </c>
      <c r="D18" s="137"/>
      <c r="E18" s="137"/>
      <c r="F18" s="137"/>
      <c r="G18" s="137"/>
      <c r="H18" s="137"/>
      <c r="I18" s="137"/>
      <c r="J18" s="137"/>
      <c r="K18" s="137"/>
      <c r="L18" s="137"/>
      <c r="M18" s="137"/>
      <c r="N18" s="137"/>
      <c r="O18" s="137"/>
    </row>
    <row r="19" spans="1:15" x14ac:dyDescent="0.35">
      <c r="A19" s="137">
        <v>14</v>
      </c>
      <c r="B19" s="137" t="s">
        <v>96</v>
      </c>
      <c r="C19" s="137" t="s">
        <v>153</v>
      </c>
      <c r="D19" s="137"/>
      <c r="E19" s="137"/>
      <c r="F19" s="137"/>
      <c r="G19" s="137"/>
      <c r="H19" s="137"/>
      <c r="I19" s="137"/>
      <c r="J19" s="137"/>
      <c r="K19" s="137"/>
      <c r="L19" s="137"/>
      <c r="M19" s="137"/>
      <c r="N19" s="137"/>
      <c r="O19" s="137"/>
    </row>
    <row r="20" spans="1:15" x14ac:dyDescent="0.35">
      <c r="A20" s="137">
        <v>15</v>
      </c>
      <c r="B20" s="137" t="s">
        <v>154</v>
      </c>
      <c r="C20" s="137" t="s">
        <v>155</v>
      </c>
      <c r="D20" s="137"/>
      <c r="E20" s="137"/>
      <c r="F20" s="137"/>
      <c r="G20" s="137"/>
      <c r="H20" s="137"/>
      <c r="I20" s="137"/>
      <c r="J20" s="137"/>
      <c r="K20" s="137"/>
      <c r="L20" s="137"/>
      <c r="M20" s="137"/>
      <c r="N20" s="137"/>
      <c r="O20" s="137"/>
    </row>
    <row r="21" spans="1:15" x14ac:dyDescent="0.35">
      <c r="A21" s="137">
        <v>16</v>
      </c>
      <c r="B21" s="137" t="s">
        <v>98</v>
      </c>
      <c r="C21" s="137" t="s">
        <v>156</v>
      </c>
      <c r="D21" s="137"/>
      <c r="E21" s="137"/>
      <c r="F21" s="137"/>
      <c r="G21" s="137"/>
      <c r="H21" s="137"/>
      <c r="I21" s="137"/>
      <c r="J21" s="137"/>
      <c r="K21" s="137"/>
      <c r="L21" s="137"/>
      <c r="M21" s="137"/>
      <c r="N21" s="137"/>
      <c r="O21" s="137"/>
    </row>
    <row r="22" spans="1:15" x14ac:dyDescent="0.35">
      <c r="A22" s="137">
        <v>17</v>
      </c>
      <c r="B22" s="137" t="s">
        <v>99</v>
      </c>
      <c r="C22" s="137" t="s">
        <v>157</v>
      </c>
      <c r="D22" s="137"/>
      <c r="E22" s="137"/>
      <c r="F22" s="137"/>
      <c r="G22" s="137"/>
      <c r="H22" s="137"/>
      <c r="I22" s="137"/>
      <c r="J22" s="137"/>
      <c r="K22" s="137"/>
      <c r="L22" s="137"/>
      <c r="M22" s="137"/>
      <c r="N22" s="137"/>
      <c r="O22" s="137"/>
    </row>
    <row r="23" spans="1:15" x14ac:dyDescent="0.35">
      <c r="A23" s="137">
        <v>18</v>
      </c>
      <c r="B23" s="137" t="s">
        <v>100</v>
      </c>
      <c r="C23" s="137" t="s">
        <v>158</v>
      </c>
      <c r="D23" s="137"/>
      <c r="E23" s="137"/>
      <c r="F23" s="137"/>
      <c r="G23" s="137"/>
      <c r="H23" s="137"/>
      <c r="I23" s="137"/>
      <c r="J23" s="137"/>
      <c r="K23" s="137"/>
      <c r="L23" s="137"/>
      <c r="M23" s="137"/>
      <c r="N23" s="137"/>
      <c r="O23" s="137"/>
    </row>
    <row r="24" spans="1:15" x14ac:dyDescent="0.35">
      <c r="A24" s="137">
        <v>19</v>
      </c>
      <c r="B24" s="137" t="s">
        <v>101</v>
      </c>
      <c r="C24" s="137" t="s">
        <v>159</v>
      </c>
      <c r="D24" s="137"/>
      <c r="E24" s="137"/>
      <c r="F24" s="137"/>
      <c r="G24" s="137"/>
      <c r="H24" s="137"/>
      <c r="I24" s="137"/>
      <c r="J24" s="137"/>
      <c r="K24" s="137"/>
      <c r="L24" s="137"/>
      <c r="M24" s="137"/>
      <c r="N24" s="137"/>
      <c r="O24" s="137"/>
    </row>
    <row r="25" spans="1:15" x14ac:dyDescent="0.35">
      <c r="A25" s="137">
        <v>20</v>
      </c>
      <c r="B25" s="137" t="s">
        <v>160</v>
      </c>
      <c r="C25" s="137" t="s">
        <v>161</v>
      </c>
      <c r="D25" s="137"/>
      <c r="E25" s="137"/>
      <c r="F25" s="137"/>
      <c r="G25" s="137"/>
      <c r="H25" s="137"/>
      <c r="I25" s="137"/>
      <c r="J25" s="137"/>
      <c r="K25" s="137"/>
      <c r="L25" s="137"/>
      <c r="M25" s="137"/>
      <c r="N25" s="137"/>
      <c r="O25" s="137"/>
    </row>
    <row r="26" spans="1:15" x14ac:dyDescent="0.35">
      <c r="A26" s="137">
        <v>21</v>
      </c>
      <c r="B26" s="137" t="s">
        <v>103</v>
      </c>
      <c r="C26" s="137" t="s">
        <v>153</v>
      </c>
      <c r="D26" s="137"/>
      <c r="E26" s="137"/>
      <c r="F26" s="137"/>
      <c r="G26" s="137"/>
      <c r="H26" s="137"/>
      <c r="I26" s="137"/>
      <c r="J26" s="137"/>
      <c r="K26" s="137"/>
      <c r="L26" s="137"/>
      <c r="M26" s="137"/>
      <c r="N26" s="137"/>
      <c r="O26" s="137"/>
    </row>
    <row r="27" spans="1:15" x14ac:dyDescent="0.35">
      <c r="A27" s="137">
        <v>22</v>
      </c>
      <c r="B27" s="137" t="s">
        <v>162</v>
      </c>
      <c r="C27" s="137" t="s">
        <v>163</v>
      </c>
      <c r="D27" s="137"/>
      <c r="E27" s="137"/>
      <c r="F27" s="137"/>
      <c r="G27" s="137"/>
      <c r="H27" s="137"/>
      <c r="I27" s="137"/>
      <c r="J27" s="137"/>
      <c r="K27" s="137"/>
      <c r="L27" s="137"/>
      <c r="M27" s="137"/>
      <c r="N27" s="137"/>
      <c r="O27" s="137"/>
    </row>
    <row r="28" spans="1:15" x14ac:dyDescent="0.35">
      <c r="A28" s="137">
        <v>23</v>
      </c>
      <c r="B28" s="137" t="s">
        <v>105</v>
      </c>
      <c r="C28" s="137" t="s">
        <v>156</v>
      </c>
      <c r="D28" s="137"/>
      <c r="E28" s="137"/>
      <c r="F28" s="137"/>
      <c r="G28" s="137"/>
      <c r="H28" s="137"/>
      <c r="I28" s="137"/>
      <c r="J28" s="137"/>
      <c r="K28" s="137"/>
      <c r="L28" s="137"/>
      <c r="M28" s="137"/>
      <c r="N28" s="137"/>
      <c r="O28" s="137"/>
    </row>
    <row r="29" spans="1:15" x14ac:dyDescent="0.35">
      <c r="A29" s="137">
        <v>24</v>
      </c>
      <c r="B29" s="137" t="s">
        <v>106</v>
      </c>
      <c r="C29" s="137" t="s">
        <v>164</v>
      </c>
      <c r="D29" s="137"/>
      <c r="E29" s="137"/>
      <c r="F29" s="137"/>
      <c r="G29" s="137"/>
      <c r="H29" s="137"/>
      <c r="I29" s="137"/>
      <c r="J29" s="137"/>
      <c r="K29" s="137"/>
      <c r="L29" s="137"/>
      <c r="M29" s="137"/>
      <c r="N29" s="137"/>
      <c r="O29" s="137"/>
    </row>
    <row r="30" spans="1:15" x14ac:dyDescent="0.35">
      <c r="A30" s="137">
        <v>25</v>
      </c>
      <c r="B30" s="137" t="s">
        <v>107</v>
      </c>
      <c r="C30" s="137" t="s">
        <v>165</v>
      </c>
      <c r="D30" s="137"/>
      <c r="E30" s="137"/>
      <c r="F30" s="137"/>
      <c r="G30" s="137"/>
      <c r="H30" s="137"/>
      <c r="I30" s="137"/>
      <c r="J30" s="137"/>
      <c r="K30" s="137"/>
      <c r="L30" s="137"/>
      <c r="M30" s="137"/>
      <c r="N30" s="137"/>
      <c r="O30" s="137"/>
    </row>
    <row r="31" spans="1:15" x14ac:dyDescent="0.35">
      <c r="A31" s="137">
        <v>26</v>
      </c>
      <c r="B31" s="137" t="s">
        <v>108</v>
      </c>
      <c r="C31" s="137" t="s">
        <v>166</v>
      </c>
      <c r="D31" s="137"/>
      <c r="E31" s="137"/>
      <c r="F31" s="137"/>
      <c r="G31" s="137"/>
      <c r="H31" s="137"/>
      <c r="I31" s="137"/>
      <c r="J31" s="137"/>
      <c r="K31" s="137"/>
      <c r="L31" s="137"/>
      <c r="M31" s="137"/>
      <c r="N31" s="137"/>
      <c r="O31" s="137"/>
    </row>
    <row r="32" spans="1:15" x14ac:dyDescent="0.35">
      <c r="A32" s="137">
        <v>27</v>
      </c>
      <c r="B32" s="137" t="s">
        <v>109</v>
      </c>
      <c r="C32" s="137" t="s">
        <v>167</v>
      </c>
      <c r="D32" s="137"/>
      <c r="E32" s="137"/>
      <c r="F32" s="137"/>
      <c r="G32" s="137"/>
      <c r="H32" s="137"/>
      <c r="I32" s="137"/>
      <c r="J32" s="137"/>
      <c r="K32" s="137"/>
      <c r="L32" s="137"/>
      <c r="M32" s="137"/>
      <c r="N32" s="137"/>
      <c r="O32" s="137"/>
    </row>
    <row r="33" spans="1:15" x14ac:dyDescent="0.35">
      <c r="A33" s="137">
        <v>28</v>
      </c>
      <c r="B33" s="137" t="s">
        <v>110</v>
      </c>
      <c r="C33" s="137" t="s">
        <v>168</v>
      </c>
      <c r="D33" s="137"/>
      <c r="E33" s="137"/>
      <c r="F33" s="137"/>
      <c r="G33" s="137"/>
      <c r="H33" s="137"/>
      <c r="I33" s="137"/>
      <c r="J33" s="137"/>
      <c r="K33" s="137"/>
      <c r="L33" s="137"/>
      <c r="M33" s="137"/>
      <c r="N33" s="137"/>
      <c r="O33" s="137"/>
    </row>
    <row r="34" spans="1:15" x14ac:dyDescent="0.35">
      <c r="A34" s="137">
        <v>29</v>
      </c>
      <c r="B34" s="137" t="s">
        <v>111</v>
      </c>
      <c r="C34" s="137" t="s">
        <v>169</v>
      </c>
      <c r="D34" s="137"/>
      <c r="E34" s="137"/>
      <c r="F34" s="137"/>
      <c r="G34" s="137"/>
      <c r="H34" s="137"/>
      <c r="I34" s="137"/>
      <c r="J34" s="137"/>
      <c r="K34" s="137"/>
      <c r="L34" s="137"/>
      <c r="M34" s="137"/>
      <c r="N34" s="137"/>
      <c r="O34" s="137"/>
    </row>
    <row r="35" spans="1:15" x14ac:dyDescent="0.35">
      <c r="A35" s="137">
        <v>30</v>
      </c>
      <c r="B35" s="137" t="s">
        <v>112</v>
      </c>
      <c r="C35" s="137" t="s">
        <v>170</v>
      </c>
      <c r="D35" s="137"/>
      <c r="E35" s="137"/>
      <c r="F35" s="137"/>
      <c r="G35" s="137"/>
      <c r="H35" s="137"/>
      <c r="I35" s="137"/>
      <c r="J35" s="137"/>
      <c r="K35" s="137"/>
      <c r="L35" s="137"/>
      <c r="M35" s="137"/>
      <c r="N35" s="137"/>
      <c r="O35" s="137"/>
    </row>
    <row r="36" spans="1:15" x14ac:dyDescent="0.35">
      <c r="A36" s="137">
        <v>31</v>
      </c>
      <c r="B36" s="137" t="s">
        <v>114</v>
      </c>
      <c r="C36" s="137" t="s">
        <v>171</v>
      </c>
      <c r="D36" s="137"/>
      <c r="E36" s="137"/>
      <c r="F36" s="137"/>
      <c r="G36" s="137"/>
      <c r="H36" s="137"/>
      <c r="I36" s="137"/>
      <c r="J36" s="137"/>
      <c r="K36" s="137"/>
      <c r="L36" s="137"/>
      <c r="M36" s="137"/>
      <c r="N36" s="137"/>
      <c r="O36" s="137"/>
    </row>
    <row r="37" spans="1:15" x14ac:dyDescent="0.35">
      <c r="A37" s="137">
        <v>32</v>
      </c>
      <c r="B37" s="137" t="s">
        <v>115</v>
      </c>
      <c r="C37" s="137" t="s">
        <v>172</v>
      </c>
      <c r="D37" s="137"/>
      <c r="E37" s="137"/>
      <c r="F37" s="137"/>
      <c r="G37" s="137"/>
      <c r="H37" s="137"/>
      <c r="I37" s="137"/>
      <c r="J37" s="137"/>
      <c r="K37" s="137"/>
      <c r="L37" s="137"/>
      <c r="M37" s="137"/>
      <c r="N37" s="137"/>
      <c r="O37" s="137"/>
    </row>
    <row r="38" spans="1:15" x14ac:dyDescent="0.35">
      <c r="A38" s="137">
        <v>33</v>
      </c>
      <c r="B38" s="137" t="s">
        <v>116</v>
      </c>
      <c r="C38" s="137" t="s">
        <v>173</v>
      </c>
      <c r="D38" s="137"/>
      <c r="E38" s="137"/>
      <c r="F38" s="137"/>
      <c r="G38" s="137"/>
      <c r="H38" s="137"/>
      <c r="I38" s="137"/>
      <c r="J38" s="137"/>
      <c r="K38" s="137"/>
      <c r="L38" s="137"/>
      <c r="M38" s="137"/>
      <c r="N38" s="137"/>
      <c r="O38" s="137"/>
    </row>
    <row r="39" spans="1:15" x14ac:dyDescent="0.35">
      <c r="A39" s="137">
        <v>34</v>
      </c>
      <c r="B39" s="137" t="s">
        <v>117</v>
      </c>
      <c r="C39" s="137" t="s">
        <v>174</v>
      </c>
      <c r="D39" s="137"/>
      <c r="E39" s="137"/>
      <c r="F39" s="137"/>
      <c r="G39" s="137"/>
      <c r="H39" s="137"/>
      <c r="I39" s="137"/>
      <c r="J39" s="137"/>
      <c r="K39" s="137"/>
      <c r="L39" s="137"/>
      <c r="M39" s="137"/>
      <c r="N39" s="137"/>
      <c r="O39" s="137"/>
    </row>
    <row r="40" spans="1:15" x14ac:dyDescent="0.35">
      <c r="A40" s="137">
        <v>35</v>
      </c>
      <c r="B40" s="137" t="s">
        <v>118</v>
      </c>
      <c r="C40" s="137" t="s">
        <v>156</v>
      </c>
      <c r="D40" s="137"/>
      <c r="E40" s="137"/>
      <c r="F40" s="137"/>
      <c r="G40" s="137"/>
      <c r="H40" s="137"/>
      <c r="I40" s="137"/>
      <c r="J40" s="137"/>
      <c r="K40" s="137"/>
      <c r="L40" s="137"/>
      <c r="M40" s="137"/>
      <c r="N40" s="137"/>
      <c r="O40" s="137"/>
    </row>
    <row r="41" spans="1:15" x14ac:dyDescent="0.35">
      <c r="A41" s="137">
        <v>36</v>
      </c>
      <c r="B41" s="137" t="s">
        <v>175</v>
      </c>
      <c r="C41" s="137" t="s">
        <v>176</v>
      </c>
      <c r="D41" s="137"/>
      <c r="E41" s="137"/>
      <c r="F41" s="137"/>
      <c r="G41" s="137"/>
      <c r="H41" s="137"/>
      <c r="I41" s="137"/>
      <c r="J41" s="137"/>
      <c r="K41" s="137"/>
      <c r="L41" s="137"/>
      <c r="M41" s="137"/>
      <c r="N41" s="137"/>
      <c r="O41" s="137"/>
    </row>
    <row r="42" spans="1:15" x14ac:dyDescent="0.35">
      <c r="A42" s="137">
        <v>37</v>
      </c>
      <c r="B42" s="137" t="s">
        <v>120</v>
      </c>
      <c r="C42" s="137" t="s">
        <v>177</v>
      </c>
      <c r="D42" s="137"/>
      <c r="E42" s="137"/>
      <c r="F42" s="137"/>
      <c r="G42" s="137"/>
      <c r="H42" s="137"/>
      <c r="I42" s="137"/>
      <c r="J42" s="137"/>
      <c r="K42" s="137"/>
      <c r="L42" s="137"/>
      <c r="M42" s="137"/>
      <c r="N42" s="137"/>
      <c r="O42" s="137"/>
    </row>
    <row r="43" spans="1:15" x14ac:dyDescent="0.35">
      <c r="A43" s="137">
        <v>38</v>
      </c>
      <c r="B43" s="137" t="s">
        <v>178</v>
      </c>
      <c r="C43" s="137" t="s">
        <v>179</v>
      </c>
      <c r="D43" s="137"/>
      <c r="E43" s="137"/>
      <c r="F43" s="137"/>
      <c r="G43" s="137"/>
      <c r="H43" s="137"/>
      <c r="I43" s="137"/>
      <c r="J43" s="137"/>
      <c r="K43" s="137"/>
      <c r="L43" s="137"/>
      <c r="M43" s="137"/>
      <c r="N43" s="137"/>
      <c r="O43" s="137"/>
    </row>
    <row r="44" spans="1:15" x14ac:dyDescent="0.35">
      <c r="A44" s="137">
        <v>39</v>
      </c>
      <c r="B44" s="137" t="s">
        <v>122</v>
      </c>
      <c r="C44" s="137" t="s">
        <v>157</v>
      </c>
      <c r="D44" s="137"/>
      <c r="E44" s="137"/>
      <c r="F44" s="137"/>
      <c r="G44" s="137"/>
      <c r="H44" s="137"/>
      <c r="I44" s="137"/>
      <c r="J44" s="137"/>
      <c r="K44" s="137"/>
      <c r="L44" s="137"/>
      <c r="M44" s="137"/>
      <c r="N44" s="137"/>
      <c r="O44" s="137"/>
    </row>
    <row r="45" spans="1:15" x14ac:dyDescent="0.35">
      <c r="A45" s="141">
        <v>40</v>
      </c>
      <c r="B45" s="141" t="s">
        <v>183</v>
      </c>
      <c r="C45" s="141"/>
      <c r="D45" s="142"/>
      <c r="E45" s="142"/>
      <c r="F45" s="142"/>
      <c r="G45" s="142"/>
      <c r="H45" s="142"/>
      <c r="I45" s="142"/>
      <c r="J45" s="142"/>
      <c r="K45" s="142"/>
      <c r="L45" s="142"/>
      <c r="M45" s="142"/>
      <c r="N45" s="142"/>
      <c r="O45" s="142"/>
    </row>
    <row r="46" spans="1:15" x14ac:dyDescent="0.35">
      <c r="A46" s="137">
        <v>41</v>
      </c>
      <c r="B46" s="137" t="s">
        <v>20</v>
      </c>
      <c r="C46" s="137" t="s">
        <v>186</v>
      </c>
      <c r="D46" s="137"/>
      <c r="E46" s="137"/>
      <c r="F46" s="137"/>
      <c r="G46" s="137"/>
      <c r="H46" s="137"/>
      <c r="I46" s="137"/>
      <c r="J46" s="137"/>
      <c r="K46" s="137"/>
      <c r="L46" s="137"/>
      <c r="M46" s="137"/>
      <c r="N46" s="137"/>
      <c r="O46" s="137"/>
    </row>
    <row r="47" spans="1:15" x14ac:dyDescent="0.35">
      <c r="A47" s="137">
        <v>42</v>
      </c>
      <c r="B47" s="137" t="s">
        <v>184</v>
      </c>
      <c r="C47" s="137" t="s">
        <v>192</v>
      </c>
      <c r="D47" s="137"/>
      <c r="E47" s="137"/>
      <c r="F47" s="137"/>
      <c r="G47" s="137"/>
      <c r="H47" s="137"/>
      <c r="I47" s="137"/>
      <c r="J47" s="137"/>
      <c r="K47" s="137"/>
      <c r="L47" s="137"/>
      <c r="M47" s="137"/>
      <c r="N47" s="137"/>
      <c r="O47" s="137"/>
    </row>
    <row r="48" spans="1:15" x14ac:dyDescent="0.35">
      <c r="A48" s="137">
        <v>43</v>
      </c>
      <c r="B48" s="137" t="s">
        <v>193</v>
      </c>
      <c r="C48" s="137" t="s">
        <v>194</v>
      </c>
      <c r="D48" s="137"/>
      <c r="E48" s="137"/>
      <c r="F48" s="137"/>
      <c r="G48" s="137"/>
      <c r="H48" s="137"/>
      <c r="I48" s="137"/>
      <c r="J48" s="137"/>
      <c r="K48" s="137"/>
      <c r="L48" s="137"/>
      <c r="M48" s="137"/>
      <c r="N48" s="137"/>
      <c r="O48" s="137"/>
    </row>
    <row r="49" spans="1:15" x14ac:dyDescent="0.35">
      <c r="A49" s="137">
        <v>44</v>
      </c>
      <c r="B49" s="137" t="s">
        <v>34</v>
      </c>
      <c r="C49" s="137"/>
      <c r="D49" s="137"/>
      <c r="E49" s="137"/>
      <c r="F49" s="137"/>
      <c r="G49" s="137"/>
      <c r="H49" s="137"/>
      <c r="I49" s="137"/>
      <c r="J49" s="137"/>
      <c r="K49" s="137"/>
      <c r="L49" s="137"/>
      <c r="M49" s="137"/>
      <c r="N49" s="137"/>
      <c r="O49" s="137"/>
    </row>
    <row r="50" spans="1:15" x14ac:dyDescent="0.35">
      <c r="A50" s="142">
        <v>45</v>
      </c>
      <c r="B50" s="142" t="s">
        <v>195</v>
      </c>
      <c r="C50" s="156" t="s">
        <v>213</v>
      </c>
      <c r="D50" s="142"/>
      <c r="E50" s="142"/>
      <c r="F50" s="142"/>
      <c r="G50" s="142"/>
      <c r="H50" s="142"/>
      <c r="I50" s="142"/>
      <c r="J50" s="142"/>
      <c r="K50" s="142"/>
      <c r="L50" s="142"/>
      <c r="M50" s="142"/>
      <c r="N50" s="142"/>
      <c r="O50" s="142"/>
    </row>
    <row r="51" spans="1:15" x14ac:dyDescent="0.35">
      <c r="A51" s="137">
        <v>46</v>
      </c>
      <c r="B51" s="137" t="s">
        <v>196</v>
      </c>
      <c r="C51" s="137" t="s">
        <v>197</v>
      </c>
      <c r="D51" s="137"/>
      <c r="E51" s="137"/>
      <c r="F51" s="137"/>
      <c r="G51" s="137"/>
      <c r="H51" s="137"/>
      <c r="I51" s="137"/>
      <c r="J51" s="137"/>
      <c r="K51" s="137"/>
      <c r="L51" s="137"/>
      <c r="M51" s="137"/>
      <c r="N51" s="137"/>
      <c r="O51" s="137"/>
    </row>
    <row r="52" spans="1:15" x14ac:dyDescent="0.35">
      <c r="A52" s="137">
        <v>47</v>
      </c>
      <c r="B52" s="137" t="s">
        <v>198</v>
      </c>
      <c r="C52" s="137" t="s">
        <v>199</v>
      </c>
      <c r="D52" s="137"/>
      <c r="E52" s="137"/>
      <c r="F52" s="137"/>
      <c r="G52" s="137"/>
      <c r="H52" s="137"/>
      <c r="I52" s="137"/>
      <c r="J52" s="137"/>
      <c r="K52" s="137"/>
      <c r="L52" s="137"/>
      <c r="M52" s="137"/>
      <c r="N52" s="137"/>
      <c r="O52" s="137"/>
    </row>
    <row r="53" spans="1:15" x14ac:dyDescent="0.35">
      <c r="A53" s="137">
        <v>48</v>
      </c>
      <c r="B53" s="137" t="s">
        <v>200</v>
      </c>
      <c r="C53" s="155" t="s">
        <v>212</v>
      </c>
      <c r="D53" s="137"/>
      <c r="E53" s="137"/>
      <c r="F53" s="137"/>
      <c r="G53" s="137"/>
      <c r="H53" s="137"/>
      <c r="I53" s="137"/>
      <c r="J53" s="137"/>
      <c r="K53" s="137"/>
      <c r="L53" s="137"/>
      <c r="M53" s="137"/>
      <c r="N53" s="137"/>
      <c r="O53" s="137"/>
    </row>
    <row r="54" spans="1:15" x14ac:dyDescent="0.35">
      <c r="A54" s="137">
        <v>49</v>
      </c>
      <c r="B54" s="137" t="s">
        <v>201</v>
      </c>
      <c r="C54" s="137" t="s">
        <v>202</v>
      </c>
      <c r="D54" s="137"/>
      <c r="E54" s="137"/>
      <c r="F54" s="137"/>
      <c r="G54" s="137"/>
      <c r="H54" s="137"/>
      <c r="I54" s="137"/>
      <c r="J54" s="137"/>
      <c r="K54" s="137"/>
      <c r="L54" s="137"/>
      <c r="M54" s="137"/>
      <c r="N54" s="137"/>
      <c r="O54" s="137"/>
    </row>
    <row r="55" spans="1:15" x14ac:dyDescent="0.35">
      <c r="A55" s="137">
        <v>50</v>
      </c>
      <c r="B55" s="137" t="s">
        <v>70</v>
      </c>
      <c r="C55" s="137" t="s">
        <v>203</v>
      </c>
      <c r="D55" s="137"/>
      <c r="E55" s="137"/>
      <c r="F55" s="137"/>
      <c r="G55" s="137"/>
      <c r="H55" s="137"/>
      <c r="I55" s="137"/>
      <c r="J55" s="137"/>
      <c r="K55" s="137"/>
      <c r="L55" s="137"/>
      <c r="M55" s="137"/>
      <c r="N55" s="137"/>
      <c r="O55" s="137"/>
    </row>
  </sheetData>
  <mergeCells count="2">
    <mergeCell ref="A1:B1"/>
    <mergeCell ref="A3:B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BA330-30FB-437E-8B5D-023724D20257}">
  <sheetPr codeName="Sheet9">
    <tabColor theme="4"/>
  </sheetPr>
  <dimension ref="A1:BJ50"/>
  <sheetViews>
    <sheetView zoomScale="70" zoomScaleNormal="70" workbookViewId="0">
      <pane xSplit="2" ySplit="4" topLeftCell="C5" activePane="bottomRight" state="frozen"/>
      <selection pane="topRight" activeCell="C1" sqref="C1"/>
      <selection pane="bottomLeft" activeCell="A5" sqref="A5"/>
      <selection pane="bottomRight" activeCell="E5" sqref="E5"/>
    </sheetView>
  </sheetViews>
  <sheetFormatPr defaultColWidth="8.453125" defaultRowHeight="15" customHeight="1" x14ac:dyDescent="0.35"/>
  <cols>
    <col min="1" max="1" width="10.453125" style="9" customWidth="1"/>
    <col min="2" max="2" width="37" style="9" customWidth="1"/>
    <col min="3" max="3" width="22.81640625" style="9" customWidth="1"/>
    <col min="4" max="4" width="21.453125" style="9" customWidth="1"/>
    <col min="5" max="5" width="32" style="9" customWidth="1"/>
    <col min="6" max="6" width="26.36328125" style="9" customWidth="1"/>
    <col min="7" max="7" width="20.81640625" style="9" customWidth="1"/>
    <col min="8" max="8" width="8.453125" style="9"/>
    <col min="9" max="12" width="21.81640625" style="9" customWidth="1"/>
    <col min="13" max="13" width="8.453125" style="9"/>
    <col min="14" max="14" width="18.81640625" style="9" customWidth="1"/>
    <col min="15" max="16384" width="8.453125" style="9"/>
  </cols>
  <sheetData>
    <row r="1" spans="1:62" s="15" customFormat="1" ht="28.5" x14ac:dyDescent="0.35">
      <c r="B1" s="147" t="s">
        <v>207</v>
      </c>
    </row>
    <row r="2" spans="1:62" s="17" customFormat="1" ht="20.25" customHeight="1" x14ac:dyDescent="0.35">
      <c r="A2" s="183" t="s">
        <v>204</v>
      </c>
      <c r="C2" s="143">
        <v>46</v>
      </c>
      <c r="D2" s="143">
        <v>47</v>
      </c>
      <c r="E2" s="143">
        <v>48</v>
      </c>
      <c r="F2" s="143">
        <v>49</v>
      </c>
      <c r="G2" s="143">
        <v>50</v>
      </c>
      <c r="I2" s="110" t="s">
        <v>64</v>
      </c>
    </row>
    <row r="3" spans="1:62" ht="16" customHeight="1" x14ac:dyDescent="0.35">
      <c r="A3" s="183"/>
      <c r="B3" s="65" t="s">
        <v>65</v>
      </c>
      <c r="C3" s="66"/>
      <c r="D3" s="67"/>
      <c r="E3" s="66"/>
      <c r="F3" s="68"/>
      <c r="G3" s="71"/>
      <c r="I3" s="180" t="s">
        <v>66</v>
      </c>
      <c r="J3" s="181"/>
      <c r="K3" s="181"/>
      <c r="L3" s="182"/>
      <c r="N3" s="104" t="s">
        <v>67</v>
      </c>
    </row>
    <row r="4" spans="1:62" ht="14.5" x14ac:dyDescent="0.35">
      <c r="A4" s="183"/>
      <c r="B4" s="10" t="s">
        <v>68</v>
      </c>
      <c r="C4" s="10" t="s">
        <v>69</v>
      </c>
      <c r="D4" s="146" t="s">
        <v>198</v>
      </c>
      <c r="E4" s="144" t="s">
        <v>205</v>
      </c>
      <c r="F4" s="11" t="s">
        <v>191</v>
      </c>
      <c r="G4" s="8" t="s">
        <v>70</v>
      </c>
      <c r="I4" s="69" t="s">
        <v>71</v>
      </c>
      <c r="J4" s="69" t="s">
        <v>72</v>
      </c>
      <c r="K4" s="69" t="s">
        <v>73</v>
      </c>
      <c r="L4" s="70" t="s">
        <v>74</v>
      </c>
      <c r="N4" s="106" t="s">
        <v>75</v>
      </c>
    </row>
    <row r="5" spans="1:62" ht="20.25" customHeight="1" x14ac:dyDescent="0.35">
      <c r="A5" s="129">
        <v>1</v>
      </c>
      <c r="B5" s="130" t="str">
        <f>HYPERLINK("#'Energy Generation (Electric)'!A1", "Energy Generation (Electric)")</f>
        <v>Energy Generation (Electric)</v>
      </c>
      <c r="C5" s="107" t="str">
        <f t="shared" ref="C5:C43" si="0">INDEX($I5:$L5, MATCH($N$9, $I$4:$L$4, 0))</f>
        <v>Yes</v>
      </c>
      <c r="D5" s="46" t="s">
        <v>77</v>
      </c>
      <c r="E5" s="115" t="s">
        <v>188</v>
      </c>
      <c r="F5" s="5"/>
      <c r="G5" s="145" t="s">
        <v>79</v>
      </c>
      <c r="I5" s="106" t="s">
        <v>77</v>
      </c>
      <c r="J5" s="38" t="s">
        <v>77</v>
      </c>
      <c r="K5" s="38" t="s">
        <v>77</v>
      </c>
      <c r="L5" s="38" t="s">
        <v>80</v>
      </c>
      <c r="N5" s="105" t="s">
        <v>81</v>
      </c>
    </row>
    <row r="6" spans="1:62" ht="20.25" customHeight="1" x14ac:dyDescent="0.35">
      <c r="A6" s="129">
        <v>2</v>
      </c>
      <c r="B6" s="130" t="str">
        <f>HYPERLINK("#'Generation Capacity (Electric)'!A1", "Generation Capacity (Electric)")</f>
        <v>Generation Capacity (Electric)</v>
      </c>
      <c r="C6" s="108" t="s">
        <v>77</v>
      </c>
      <c r="D6" s="47" t="s">
        <v>80</v>
      </c>
      <c r="E6" s="116" t="s">
        <v>131</v>
      </c>
      <c r="F6" s="4"/>
      <c r="G6" s="4" t="s">
        <v>79</v>
      </c>
      <c r="I6" s="106" t="s">
        <v>77</v>
      </c>
      <c r="J6" s="38" t="s">
        <v>77</v>
      </c>
      <c r="K6" s="38" t="s">
        <v>77</v>
      </c>
      <c r="L6" s="38" t="s">
        <v>80</v>
      </c>
    </row>
    <row r="7" spans="1:62" ht="20.25" customHeight="1" x14ac:dyDescent="0.35">
      <c r="A7" s="129">
        <v>3</v>
      </c>
      <c r="B7" s="130" t="str">
        <f>HYPERLINK("#'Transmission Capacity (Electric'!A1", "Transmission Capacity (Electric)")</f>
        <v>Transmission Capacity (Electric)</v>
      </c>
      <c r="C7" s="108" t="str">
        <f t="shared" si="0"/>
        <v>Yes</v>
      </c>
      <c r="D7" s="47" t="s">
        <v>80</v>
      </c>
      <c r="E7" s="116" t="s">
        <v>188</v>
      </c>
      <c r="F7" s="4"/>
      <c r="G7" s="4" t="s">
        <v>79</v>
      </c>
      <c r="I7" s="106" t="s">
        <v>77</v>
      </c>
      <c r="J7" s="38" t="s">
        <v>77</v>
      </c>
      <c r="K7" s="38" t="s">
        <v>77</v>
      </c>
      <c r="L7" s="38" t="s">
        <v>80</v>
      </c>
    </row>
    <row r="8" spans="1:62" ht="20.25" customHeight="1" thickBot="1" x14ac:dyDescent="0.4">
      <c r="A8" s="129">
        <v>4</v>
      </c>
      <c r="B8" s="131" t="s">
        <v>85</v>
      </c>
      <c r="C8" s="108" t="str">
        <f t="shared" si="0"/>
        <v>Yes</v>
      </c>
      <c r="D8" s="47"/>
      <c r="E8" s="116"/>
      <c r="F8" s="4"/>
      <c r="G8" s="4" t="s">
        <v>79</v>
      </c>
      <c r="I8" s="106" t="s">
        <v>77</v>
      </c>
      <c r="J8" s="38" t="s">
        <v>77</v>
      </c>
      <c r="K8" s="38" t="s">
        <v>77</v>
      </c>
      <c r="L8" s="38" t="s">
        <v>80</v>
      </c>
      <c r="N8" s="9" t="s">
        <v>86</v>
      </c>
    </row>
    <row r="9" spans="1:62" ht="20.25" customHeight="1" x14ac:dyDescent="0.35">
      <c r="A9" s="129">
        <v>5</v>
      </c>
      <c r="B9" s="131" t="s">
        <v>87</v>
      </c>
      <c r="C9" s="108" t="str">
        <f t="shared" si="0"/>
        <v>Yes</v>
      </c>
      <c r="D9" s="47"/>
      <c r="E9" s="116"/>
      <c r="F9" s="4"/>
      <c r="G9" s="4" t="s">
        <v>79</v>
      </c>
      <c r="I9" s="106" t="s">
        <v>77</v>
      </c>
      <c r="J9" s="38" t="s">
        <v>77</v>
      </c>
      <c r="K9" s="38" t="s">
        <v>77</v>
      </c>
      <c r="L9" s="38" t="s">
        <v>80</v>
      </c>
      <c r="N9" s="109" t="s">
        <v>72</v>
      </c>
    </row>
    <row r="10" spans="1:62" ht="20.25" customHeight="1" thickTop="1" x14ac:dyDescent="0.35">
      <c r="A10" s="129">
        <v>6</v>
      </c>
      <c r="B10" s="131" t="s">
        <v>88</v>
      </c>
      <c r="C10" s="108" t="str">
        <f t="shared" si="0"/>
        <v>Yes</v>
      </c>
      <c r="D10" s="47"/>
      <c r="E10" s="116"/>
      <c r="F10" s="4"/>
      <c r="G10" s="4" t="s">
        <v>79</v>
      </c>
      <c r="I10" s="106" t="s">
        <v>77</v>
      </c>
      <c r="J10" s="38" t="s">
        <v>77</v>
      </c>
      <c r="K10" s="38" t="s">
        <v>77</v>
      </c>
      <c r="L10" s="38" t="s">
        <v>80</v>
      </c>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row>
    <row r="11" spans="1:62" ht="20.25" customHeight="1" x14ac:dyDescent="0.35">
      <c r="A11" s="129">
        <v>7</v>
      </c>
      <c r="B11" s="131" t="s">
        <v>89</v>
      </c>
      <c r="C11" s="108" t="str">
        <f t="shared" si="0"/>
        <v>Yes</v>
      </c>
      <c r="D11" s="47"/>
      <c r="E11" s="116"/>
      <c r="F11" s="4"/>
      <c r="G11" s="4" t="s">
        <v>79</v>
      </c>
      <c r="I11" s="106" t="s">
        <v>77</v>
      </c>
      <c r="J11" s="38" t="s">
        <v>77</v>
      </c>
      <c r="K11" s="38" t="s">
        <v>77</v>
      </c>
      <c r="L11" s="38" t="s">
        <v>80</v>
      </c>
    </row>
    <row r="12" spans="1:62" ht="20.25" customHeight="1" x14ac:dyDescent="0.35">
      <c r="A12" s="129">
        <v>8</v>
      </c>
      <c r="B12" s="126" t="s">
        <v>90</v>
      </c>
      <c r="C12" s="108" t="str">
        <f t="shared" si="0"/>
        <v>Yes</v>
      </c>
      <c r="D12" s="47"/>
      <c r="E12" s="116"/>
      <c r="F12" s="4"/>
      <c r="G12" s="4" t="s">
        <v>79</v>
      </c>
      <c r="I12" s="106" t="s">
        <v>77</v>
      </c>
      <c r="J12" s="38" t="s">
        <v>77</v>
      </c>
      <c r="K12" s="38" t="s">
        <v>77</v>
      </c>
      <c r="L12" s="38" t="s">
        <v>80</v>
      </c>
    </row>
    <row r="13" spans="1:62" ht="20.25" customHeight="1" x14ac:dyDescent="0.35">
      <c r="A13" s="129">
        <v>9</v>
      </c>
      <c r="B13" s="131" t="s">
        <v>91</v>
      </c>
      <c r="C13" s="108" t="str">
        <f t="shared" si="0"/>
        <v>Yes</v>
      </c>
      <c r="D13" s="47"/>
      <c r="E13" s="116"/>
      <c r="F13" s="4"/>
      <c r="G13" s="4" t="s">
        <v>79</v>
      </c>
      <c r="I13" s="106" t="s">
        <v>77</v>
      </c>
      <c r="J13" s="38" t="s">
        <v>77</v>
      </c>
      <c r="K13" s="38" t="s">
        <v>77</v>
      </c>
      <c r="L13" s="38" t="s">
        <v>80</v>
      </c>
    </row>
    <row r="14" spans="1:62" ht="20.25" customHeight="1" x14ac:dyDescent="0.35">
      <c r="A14" s="129">
        <v>10</v>
      </c>
      <c r="B14" s="131" t="s">
        <v>92</v>
      </c>
      <c r="C14" s="108" t="str">
        <f t="shared" si="0"/>
        <v>Yes</v>
      </c>
      <c r="D14" s="47"/>
      <c r="E14" s="116"/>
      <c r="F14" s="4"/>
      <c r="G14" s="4" t="s">
        <v>79</v>
      </c>
      <c r="I14" s="38" t="s">
        <v>77</v>
      </c>
      <c r="J14" s="38" t="s">
        <v>77</v>
      </c>
      <c r="K14" s="38" t="s">
        <v>80</v>
      </c>
      <c r="L14" s="38" t="s">
        <v>80</v>
      </c>
    </row>
    <row r="15" spans="1:62" ht="20.25" customHeight="1" x14ac:dyDescent="0.35">
      <c r="A15" s="129">
        <v>11</v>
      </c>
      <c r="B15" s="126" t="s">
        <v>93</v>
      </c>
      <c r="C15" s="108" t="str">
        <f t="shared" si="0"/>
        <v>Yes</v>
      </c>
      <c r="D15" s="47"/>
      <c r="E15" s="116"/>
      <c r="F15" s="4"/>
      <c r="G15" s="4" t="s">
        <v>79</v>
      </c>
      <c r="I15" s="38" t="s">
        <v>77</v>
      </c>
      <c r="J15" s="38" t="s">
        <v>77</v>
      </c>
      <c r="K15" s="38" t="s">
        <v>77</v>
      </c>
      <c r="L15" s="38" t="s">
        <v>80</v>
      </c>
    </row>
    <row r="16" spans="1:62" ht="20.25" customHeight="1" x14ac:dyDescent="0.35">
      <c r="A16" s="129">
        <v>12</v>
      </c>
      <c r="B16" s="131" t="s">
        <v>94</v>
      </c>
      <c r="C16" s="108" t="str">
        <f t="shared" si="0"/>
        <v>Yes</v>
      </c>
      <c r="D16" s="47"/>
      <c r="E16" s="116"/>
      <c r="F16" s="4"/>
      <c r="G16" s="4" t="s">
        <v>79</v>
      </c>
      <c r="I16" s="38" t="s">
        <v>77</v>
      </c>
      <c r="J16" s="38" t="s">
        <v>77</v>
      </c>
      <c r="K16" s="38" t="s">
        <v>77</v>
      </c>
      <c r="L16" s="38" t="s">
        <v>80</v>
      </c>
    </row>
    <row r="17" spans="1:12" ht="20.25" customHeight="1" x14ac:dyDescent="0.35">
      <c r="A17" s="129">
        <v>13</v>
      </c>
      <c r="B17" s="131" t="s">
        <v>95</v>
      </c>
      <c r="C17" s="108" t="str">
        <f t="shared" si="0"/>
        <v>Yes</v>
      </c>
      <c r="D17" s="47"/>
      <c r="E17" s="116"/>
      <c r="F17" s="4"/>
      <c r="G17" s="4" t="s">
        <v>79</v>
      </c>
      <c r="I17" s="38" t="s">
        <v>77</v>
      </c>
      <c r="J17" s="38" t="s">
        <v>77</v>
      </c>
      <c r="K17" s="38" t="s">
        <v>77</v>
      </c>
      <c r="L17" s="38" t="s">
        <v>80</v>
      </c>
    </row>
    <row r="18" spans="1:12" ht="20.25" customHeight="1" x14ac:dyDescent="0.35">
      <c r="A18" s="129">
        <v>14</v>
      </c>
      <c r="B18" s="131" t="s">
        <v>96</v>
      </c>
      <c r="C18" s="108" t="str">
        <f t="shared" si="0"/>
        <v>Yes</v>
      </c>
      <c r="D18" s="47"/>
      <c r="E18" s="116"/>
      <c r="F18" s="4"/>
      <c r="G18" s="4" t="s">
        <v>79</v>
      </c>
      <c r="I18" s="38" t="s">
        <v>77</v>
      </c>
      <c r="J18" s="38" t="s">
        <v>77</v>
      </c>
      <c r="K18" s="38" t="s">
        <v>77</v>
      </c>
      <c r="L18" s="38" t="s">
        <v>80</v>
      </c>
    </row>
    <row r="19" spans="1:12" ht="20.25" customHeight="1" x14ac:dyDescent="0.35">
      <c r="A19" s="129">
        <v>15</v>
      </c>
      <c r="B19" s="126" t="s">
        <v>97</v>
      </c>
      <c r="C19" s="108" t="str">
        <f t="shared" si="0"/>
        <v>Yes</v>
      </c>
      <c r="D19" s="47"/>
      <c r="E19" s="116"/>
      <c r="F19" s="4"/>
      <c r="G19" s="4" t="s">
        <v>79</v>
      </c>
      <c r="I19" s="38" t="s">
        <v>77</v>
      </c>
      <c r="J19" s="38" t="s">
        <v>77</v>
      </c>
      <c r="K19" s="38" t="s">
        <v>77</v>
      </c>
      <c r="L19" s="38" t="s">
        <v>80</v>
      </c>
    </row>
    <row r="20" spans="1:12" ht="20.25" customHeight="1" x14ac:dyDescent="0.35">
      <c r="A20" s="129">
        <v>16</v>
      </c>
      <c r="B20" s="126" t="s">
        <v>98</v>
      </c>
      <c r="C20" s="108" t="str">
        <f t="shared" si="0"/>
        <v>Yes</v>
      </c>
      <c r="D20" s="47"/>
      <c r="E20" s="116"/>
      <c r="F20" s="4"/>
      <c r="G20" s="4" t="s">
        <v>79</v>
      </c>
      <c r="I20" s="38" t="s">
        <v>77</v>
      </c>
      <c r="J20" s="38" t="s">
        <v>77</v>
      </c>
      <c r="K20" s="38" t="s">
        <v>77</v>
      </c>
      <c r="L20" s="38" t="s">
        <v>80</v>
      </c>
    </row>
    <row r="21" spans="1:12" ht="20.25" customHeight="1" x14ac:dyDescent="0.35">
      <c r="A21" s="129">
        <v>17</v>
      </c>
      <c r="B21" s="131" t="s">
        <v>99</v>
      </c>
      <c r="C21" s="108" t="str">
        <f t="shared" si="0"/>
        <v>Yes</v>
      </c>
      <c r="D21" s="47"/>
      <c r="E21" s="116"/>
      <c r="F21" s="4"/>
      <c r="G21" s="4" t="s">
        <v>79</v>
      </c>
      <c r="I21" s="105" t="s">
        <v>77</v>
      </c>
      <c r="J21" s="38" t="s">
        <v>77</v>
      </c>
      <c r="K21" s="38" t="s">
        <v>77</v>
      </c>
      <c r="L21" s="38" t="s">
        <v>80</v>
      </c>
    </row>
    <row r="22" spans="1:12" ht="20.25" customHeight="1" x14ac:dyDescent="0.35">
      <c r="A22" s="129">
        <v>18</v>
      </c>
      <c r="B22" s="126" t="s">
        <v>100</v>
      </c>
      <c r="C22" s="108" t="str">
        <f t="shared" si="0"/>
        <v>Yes</v>
      </c>
      <c r="D22" s="47"/>
      <c r="E22" s="116"/>
      <c r="F22" s="4"/>
      <c r="G22" s="4" t="s">
        <v>79</v>
      </c>
      <c r="I22" s="105" t="s">
        <v>77</v>
      </c>
      <c r="J22" s="38" t="s">
        <v>77</v>
      </c>
      <c r="K22" s="38" t="s">
        <v>77</v>
      </c>
      <c r="L22" s="38" t="s">
        <v>80</v>
      </c>
    </row>
    <row r="23" spans="1:12" ht="20.25" customHeight="1" x14ac:dyDescent="0.35">
      <c r="A23" s="129">
        <v>19</v>
      </c>
      <c r="B23" s="126" t="s">
        <v>101</v>
      </c>
      <c r="C23" s="108" t="str">
        <f t="shared" si="0"/>
        <v>Yes</v>
      </c>
      <c r="D23" s="47"/>
      <c r="E23" s="116"/>
      <c r="F23" s="4"/>
      <c r="G23" s="4" t="s">
        <v>79</v>
      </c>
      <c r="I23" s="105" t="s">
        <v>77</v>
      </c>
      <c r="J23" s="38" t="s">
        <v>77</v>
      </c>
      <c r="K23" s="38" t="s">
        <v>77</v>
      </c>
      <c r="L23" s="38" t="s">
        <v>80</v>
      </c>
    </row>
    <row r="24" spans="1:12" ht="20.25" customHeight="1" x14ac:dyDescent="0.35">
      <c r="A24" s="129">
        <v>20</v>
      </c>
      <c r="B24" s="126" t="s">
        <v>102</v>
      </c>
      <c r="C24" s="108" t="str">
        <f t="shared" si="0"/>
        <v>Yes</v>
      </c>
      <c r="D24" s="47"/>
      <c r="E24" s="116"/>
      <c r="F24" s="4"/>
      <c r="G24" s="4" t="s">
        <v>79</v>
      </c>
      <c r="I24" s="105" t="s">
        <v>77</v>
      </c>
      <c r="J24" s="38" t="s">
        <v>77</v>
      </c>
      <c r="K24" s="38" t="s">
        <v>77</v>
      </c>
      <c r="L24" s="38" t="s">
        <v>80</v>
      </c>
    </row>
    <row r="25" spans="1:12" ht="20.25" customHeight="1" x14ac:dyDescent="0.35">
      <c r="A25" s="129">
        <v>21</v>
      </c>
      <c r="B25" s="126" t="s">
        <v>103</v>
      </c>
      <c r="C25" s="108" t="str">
        <f t="shared" si="0"/>
        <v>Yes</v>
      </c>
      <c r="D25" s="47"/>
      <c r="E25" s="116"/>
      <c r="F25" s="4"/>
      <c r="G25" s="4" t="s">
        <v>79</v>
      </c>
      <c r="I25" s="105" t="s">
        <v>77</v>
      </c>
      <c r="J25" s="38" t="s">
        <v>77</v>
      </c>
      <c r="K25" s="38" t="s">
        <v>77</v>
      </c>
      <c r="L25" s="38" t="s">
        <v>80</v>
      </c>
    </row>
    <row r="26" spans="1:12" ht="20.25" customHeight="1" x14ac:dyDescent="0.35">
      <c r="A26" s="129">
        <v>22</v>
      </c>
      <c r="B26" s="126" t="s">
        <v>104</v>
      </c>
      <c r="C26" s="108" t="str">
        <f t="shared" si="0"/>
        <v>Yes</v>
      </c>
      <c r="D26" s="47"/>
      <c r="E26" s="116"/>
      <c r="F26" s="4"/>
      <c r="G26" s="4" t="s">
        <v>79</v>
      </c>
      <c r="I26" s="105" t="s">
        <v>77</v>
      </c>
      <c r="J26" s="38" t="s">
        <v>77</v>
      </c>
      <c r="K26" s="38" t="s">
        <v>77</v>
      </c>
      <c r="L26" s="38" t="s">
        <v>80</v>
      </c>
    </row>
    <row r="27" spans="1:12" ht="20.25" customHeight="1" x14ac:dyDescent="0.35">
      <c r="A27" s="129">
        <v>23</v>
      </c>
      <c r="B27" s="126" t="s">
        <v>105</v>
      </c>
      <c r="C27" s="108" t="str">
        <f t="shared" si="0"/>
        <v>Yes</v>
      </c>
      <c r="D27" s="47"/>
      <c r="E27" s="116"/>
      <c r="F27" s="4"/>
      <c r="G27" s="4" t="s">
        <v>79</v>
      </c>
      <c r="I27" s="105" t="s">
        <v>77</v>
      </c>
      <c r="J27" s="38" t="s">
        <v>77</v>
      </c>
      <c r="K27" s="38" t="s">
        <v>77</v>
      </c>
      <c r="L27" s="38" t="s">
        <v>80</v>
      </c>
    </row>
    <row r="28" spans="1:12" ht="20.25" customHeight="1" x14ac:dyDescent="0.35">
      <c r="A28" s="129">
        <v>24</v>
      </c>
      <c r="B28" s="126" t="s">
        <v>106</v>
      </c>
      <c r="C28" s="108" t="str">
        <f t="shared" si="0"/>
        <v>No</v>
      </c>
      <c r="D28" s="47"/>
      <c r="E28" s="116"/>
      <c r="F28" s="4"/>
      <c r="G28" s="4" t="s">
        <v>79</v>
      </c>
      <c r="I28" s="38" t="s">
        <v>80</v>
      </c>
      <c r="J28" s="38" t="s">
        <v>80</v>
      </c>
      <c r="K28" s="38" t="s">
        <v>77</v>
      </c>
      <c r="L28" s="38" t="s">
        <v>80</v>
      </c>
    </row>
    <row r="29" spans="1:12" ht="20.25" customHeight="1" x14ac:dyDescent="0.35">
      <c r="A29" s="129">
        <v>25</v>
      </c>
      <c r="B29" s="126" t="s">
        <v>107</v>
      </c>
      <c r="C29" s="108" t="str">
        <f t="shared" si="0"/>
        <v>Yes</v>
      </c>
      <c r="D29" s="47"/>
      <c r="E29" s="116"/>
      <c r="F29" s="4"/>
      <c r="G29" s="4" t="s">
        <v>79</v>
      </c>
      <c r="I29" s="38" t="s">
        <v>80</v>
      </c>
      <c r="J29" s="38" t="s">
        <v>77</v>
      </c>
      <c r="K29" s="38" t="s">
        <v>77</v>
      </c>
      <c r="L29" s="38" t="s">
        <v>80</v>
      </c>
    </row>
    <row r="30" spans="1:12" ht="20.25" customHeight="1" x14ac:dyDescent="0.35">
      <c r="A30" s="129">
        <v>26</v>
      </c>
      <c r="B30" s="126" t="s">
        <v>108</v>
      </c>
      <c r="C30" s="108" t="str">
        <f t="shared" si="0"/>
        <v>Yes</v>
      </c>
      <c r="D30" s="47"/>
      <c r="E30" s="116"/>
      <c r="F30" s="4"/>
      <c r="G30" s="4" t="s">
        <v>79</v>
      </c>
      <c r="I30" s="38" t="s">
        <v>80</v>
      </c>
      <c r="J30" s="38" t="s">
        <v>77</v>
      </c>
      <c r="K30" s="38" t="s">
        <v>77</v>
      </c>
      <c r="L30" s="38" t="s">
        <v>80</v>
      </c>
    </row>
    <row r="31" spans="1:12" ht="20.25" customHeight="1" x14ac:dyDescent="0.35">
      <c r="A31" s="129">
        <v>27</v>
      </c>
      <c r="B31" s="126" t="s">
        <v>109</v>
      </c>
      <c r="C31" s="108" t="str">
        <f t="shared" si="0"/>
        <v>No</v>
      </c>
      <c r="D31" s="47"/>
      <c r="E31" s="116"/>
      <c r="F31" s="4"/>
      <c r="G31" s="4" t="s">
        <v>79</v>
      </c>
      <c r="I31" s="38" t="s">
        <v>80</v>
      </c>
      <c r="J31" s="38" t="s">
        <v>80</v>
      </c>
      <c r="K31" s="38" t="s">
        <v>77</v>
      </c>
      <c r="L31" s="38" t="s">
        <v>80</v>
      </c>
    </row>
    <row r="32" spans="1:12" ht="20.25" customHeight="1" x14ac:dyDescent="0.35">
      <c r="A32" s="129">
        <v>28</v>
      </c>
      <c r="B32" s="126" t="s">
        <v>110</v>
      </c>
      <c r="C32" s="108" t="str">
        <f t="shared" si="0"/>
        <v>No</v>
      </c>
      <c r="D32" s="47"/>
      <c r="E32" s="116"/>
      <c r="F32" s="4"/>
      <c r="G32" s="4" t="s">
        <v>79</v>
      </c>
      <c r="I32" s="38" t="s">
        <v>80</v>
      </c>
      <c r="J32" s="38" t="s">
        <v>80</v>
      </c>
      <c r="K32" s="38" t="s">
        <v>77</v>
      </c>
      <c r="L32" s="38" t="s">
        <v>80</v>
      </c>
    </row>
    <row r="33" spans="1:12" ht="20.25" customHeight="1" x14ac:dyDescent="0.35">
      <c r="A33" s="129">
        <v>29</v>
      </c>
      <c r="B33" s="126" t="s">
        <v>111</v>
      </c>
      <c r="C33" s="108" t="str">
        <f t="shared" si="0"/>
        <v>No</v>
      </c>
      <c r="D33" s="47"/>
      <c r="E33" s="116"/>
      <c r="F33" s="4"/>
      <c r="G33" s="4" t="s">
        <v>79</v>
      </c>
      <c r="I33" s="38" t="s">
        <v>80</v>
      </c>
      <c r="J33" s="38" t="s">
        <v>80</v>
      </c>
      <c r="K33" s="38" t="s">
        <v>77</v>
      </c>
      <c r="L33" s="38" t="s">
        <v>80</v>
      </c>
    </row>
    <row r="34" spans="1:12" ht="20.25" customHeight="1" x14ac:dyDescent="0.35">
      <c r="A34" s="129">
        <v>30</v>
      </c>
      <c r="B34" s="131" t="s">
        <v>112</v>
      </c>
      <c r="C34" s="108" t="str">
        <f t="shared" si="0"/>
        <v>Yes</v>
      </c>
      <c r="D34" s="47"/>
      <c r="E34" s="116"/>
      <c r="F34" s="4"/>
      <c r="G34" s="4" t="s">
        <v>113</v>
      </c>
      <c r="I34" s="38" t="s">
        <v>80</v>
      </c>
      <c r="J34" s="38" t="s">
        <v>77</v>
      </c>
      <c r="K34" s="38" t="s">
        <v>77</v>
      </c>
      <c r="L34" s="38" t="s">
        <v>77</v>
      </c>
    </row>
    <row r="35" spans="1:12" ht="20.25" customHeight="1" x14ac:dyDescent="0.35">
      <c r="A35" s="129">
        <v>31</v>
      </c>
      <c r="B35" s="126" t="s">
        <v>114</v>
      </c>
      <c r="C35" s="108" t="str">
        <f t="shared" si="0"/>
        <v>Yes</v>
      </c>
      <c r="D35" s="47"/>
      <c r="E35" s="116"/>
      <c r="F35" s="4"/>
      <c r="G35" s="4" t="s">
        <v>113</v>
      </c>
      <c r="I35" s="38" t="s">
        <v>80</v>
      </c>
      <c r="J35" s="38" t="s">
        <v>77</v>
      </c>
      <c r="K35" s="38" t="s">
        <v>77</v>
      </c>
      <c r="L35" s="38" t="s">
        <v>77</v>
      </c>
    </row>
    <row r="36" spans="1:12" ht="20.25" customHeight="1" x14ac:dyDescent="0.35">
      <c r="A36" s="129">
        <v>32</v>
      </c>
      <c r="B36" s="126" t="s">
        <v>115</v>
      </c>
      <c r="C36" s="108" t="str">
        <f t="shared" si="0"/>
        <v>Yes</v>
      </c>
      <c r="D36" s="47"/>
      <c r="E36" s="116"/>
      <c r="F36" s="4"/>
      <c r="G36" s="4" t="s">
        <v>113</v>
      </c>
      <c r="I36" s="38" t="s">
        <v>80</v>
      </c>
      <c r="J36" s="38" t="s">
        <v>77</v>
      </c>
      <c r="K36" s="38" t="s">
        <v>77</v>
      </c>
      <c r="L36" s="38" t="s">
        <v>77</v>
      </c>
    </row>
    <row r="37" spans="1:12" ht="20.25" customHeight="1" x14ac:dyDescent="0.35">
      <c r="A37" s="129">
        <v>33</v>
      </c>
      <c r="B37" s="126" t="s">
        <v>116</v>
      </c>
      <c r="C37" s="108" t="str">
        <f t="shared" si="0"/>
        <v>Yes</v>
      </c>
      <c r="D37" s="47"/>
      <c r="E37" s="116"/>
      <c r="F37" s="4"/>
      <c r="G37" s="4" t="s">
        <v>113</v>
      </c>
      <c r="I37" s="38" t="s">
        <v>80</v>
      </c>
      <c r="J37" s="38" t="s">
        <v>77</v>
      </c>
      <c r="K37" s="38" t="s">
        <v>77</v>
      </c>
      <c r="L37" s="38" t="s">
        <v>77</v>
      </c>
    </row>
    <row r="38" spans="1:12" ht="20.25" customHeight="1" x14ac:dyDescent="0.35">
      <c r="A38" s="129">
        <v>34</v>
      </c>
      <c r="B38" s="126" t="s">
        <v>117</v>
      </c>
      <c r="C38" s="108" t="str">
        <f t="shared" si="0"/>
        <v>Yes</v>
      </c>
      <c r="D38" s="47"/>
      <c r="E38" s="116"/>
      <c r="F38" s="4"/>
      <c r="G38" s="4" t="s">
        <v>113</v>
      </c>
      <c r="I38" s="38" t="s">
        <v>80</v>
      </c>
      <c r="J38" s="38" t="s">
        <v>77</v>
      </c>
      <c r="K38" s="38" t="s">
        <v>77</v>
      </c>
      <c r="L38" s="38" t="s">
        <v>77</v>
      </c>
    </row>
    <row r="39" spans="1:12" ht="20.25" customHeight="1" x14ac:dyDescent="0.35">
      <c r="A39" s="129">
        <v>35</v>
      </c>
      <c r="B39" s="126" t="s">
        <v>118</v>
      </c>
      <c r="C39" s="108" t="str">
        <f t="shared" si="0"/>
        <v>Yes</v>
      </c>
      <c r="D39" s="47"/>
      <c r="E39" s="116"/>
      <c r="F39" s="4"/>
      <c r="G39" s="4" t="s">
        <v>113</v>
      </c>
      <c r="I39" s="38" t="s">
        <v>80</v>
      </c>
      <c r="J39" s="38" t="s">
        <v>77</v>
      </c>
      <c r="K39" s="38" t="s">
        <v>77</v>
      </c>
      <c r="L39" s="38" t="s">
        <v>77</v>
      </c>
    </row>
    <row r="40" spans="1:12" ht="20.25" customHeight="1" x14ac:dyDescent="0.35">
      <c r="A40" s="129">
        <v>36</v>
      </c>
      <c r="B40" s="126" t="s">
        <v>119</v>
      </c>
      <c r="C40" s="108" t="str">
        <f t="shared" si="0"/>
        <v>Yes</v>
      </c>
      <c r="D40" s="47"/>
      <c r="E40" s="116"/>
      <c r="F40" s="4"/>
      <c r="G40" s="4" t="s">
        <v>113</v>
      </c>
      <c r="I40" s="38" t="s">
        <v>80</v>
      </c>
      <c r="J40" s="38" t="s">
        <v>77</v>
      </c>
      <c r="K40" s="38" t="s">
        <v>77</v>
      </c>
      <c r="L40" s="38" t="s">
        <v>77</v>
      </c>
    </row>
    <row r="41" spans="1:12" ht="20.25" customHeight="1" x14ac:dyDescent="0.35">
      <c r="A41" s="129">
        <v>37</v>
      </c>
      <c r="B41" s="126" t="s">
        <v>120</v>
      </c>
      <c r="C41" s="108" t="str">
        <f t="shared" si="0"/>
        <v>Yes</v>
      </c>
      <c r="D41" s="47"/>
      <c r="E41" s="116"/>
      <c r="F41" s="4"/>
      <c r="G41" s="4" t="s">
        <v>113</v>
      </c>
      <c r="I41" s="38" t="s">
        <v>80</v>
      </c>
      <c r="J41" s="38" t="s">
        <v>77</v>
      </c>
      <c r="K41" s="38" t="s">
        <v>77</v>
      </c>
      <c r="L41" s="38" t="s">
        <v>77</v>
      </c>
    </row>
    <row r="42" spans="1:12" ht="20.25" customHeight="1" x14ac:dyDescent="0.35">
      <c r="A42" s="129">
        <v>38</v>
      </c>
      <c r="B42" s="126" t="s">
        <v>121</v>
      </c>
      <c r="C42" s="108" t="str">
        <f t="shared" si="0"/>
        <v>Yes</v>
      </c>
      <c r="D42" s="47"/>
      <c r="E42" s="116"/>
      <c r="F42" s="4"/>
      <c r="G42" s="4" t="s">
        <v>79</v>
      </c>
      <c r="I42" s="38" t="s">
        <v>80</v>
      </c>
      <c r="J42" s="38" t="s">
        <v>77</v>
      </c>
      <c r="K42" s="38" t="s">
        <v>77</v>
      </c>
      <c r="L42" s="38" t="s">
        <v>77</v>
      </c>
    </row>
    <row r="43" spans="1:12" ht="20.25" customHeight="1" x14ac:dyDescent="0.35">
      <c r="A43" s="129">
        <v>39</v>
      </c>
      <c r="B43" s="126" t="s">
        <v>122</v>
      </c>
      <c r="C43" s="108" t="str">
        <f t="shared" si="0"/>
        <v>Yes</v>
      </c>
      <c r="D43" s="47"/>
      <c r="E43" s="116"/>
      <c r="F43" s="4"/>
      <c r="G43" s="4" t="s">
        <v>79</v>
      </c>
      <c r="I43" s="38" t="s">
        <v>80</v>
      </c>
      <c r="J43" s="38" t="s">
        <v>77</v>
      </c>
      <c r="K43" s="38" t="s">
        <v>77</v>
      </c>
      <c r="L43" s="38" t="s">
        <v>77</v>
      </c>
    </row>
    <row r="44" spans="1:12" ht="20.25" customHeight="1" x14ac:dyDescent="0.35">
      <c r="B44" s="131" t="s">
        <v>123</v>
      </c>
      <c r="C44" s="108" t="s">
        <v>77</v>
      </c>
      <c r="D44" s="47"/>
      <c r="E44" s="116"/>
      <c r="F44" s="4"/>
      <c r="G44" s="4" t="s">
        <v>79</v>
      </c>
    </row>
    <row r="45" spans="1:12" ht="20.25" customHeight="1" x14ac:dyDescent="0.35">
      <c r="B45" s="126" t="s">
        <v>124</v>
      </c>
      <c r="C45" s="108" t="s">
        <v>77</v>
      </c>
      <c r="D45" s="47"/>
      <c r="E45" s="116"/>
      <c r="F45" s="4"/>
      <c r="G45" s="4" t="s">
        <v>79</v>
      </c>
    </row>
    <row r="46" spans="1:12" ht="20.25" customHeight="1" x14ac:dyDescent="0.35">
      <c r="B46" s="126" t="s">
        <v>125</v>
      </c>
      <c r="C46" s="108" t="s">
        <v>77</v>
      </c>
      <c r="D46" s="47"/>
      <c r="E46" s="116"/>
      <c r="F46" s="4"/>
      <c r="G46" s="4" t="s">
        <v>79</v>
      </c>
    </row>
    <row r="47" spans="1:12" ht="20.25" customHeight="1" x14ac:dyDescent="0.35">
      <c r="B47" s="126" t="s">
        <v>126</v>
      </c>
      <c r="C47" s="108" t="s">
        <v>77</v>
      </c>
      <c r="D47" s="47"/>
      <c r="E47" s="116"/>
      <c r="F47" s="4"/>
      <c r="G47" s="4" t="s">
        <v>79</v>
      </c>
    </row>
    <row r="48" spans="1:12" ht="20.25" customHeight="1" x14ac:dyDescent="0.35">
      <c r="B48" s="127" t="s">
        <v>127</v>
      </c>
      <c r="C48" s="157" t="s">
        <v>77</v>
      </c>
      <c r="D48" s="6"/>
      <c r="E48" s="103"/>
      <c r="F48" s="7"/>
      <c r="G48" s="7" t="s">
        <v>79</v>
      </c>
    </row>
    <row r="50" spans="2:2" ht="15" customHeight="1" x14ac:dyDescent="0.35">
      <c r="B50" s="135"/>
    </row>
  </sheetData>
  <mergeCells count="2">
    <mergeCell ref="I3:L3"/>
    <mergeCell ref="A2:A4"/>
  </mergeCells>
  <conditionalFormatting sqref="C5:D48">
    <cfRule type="cellIs" dxfId="1" priority="2" operator="equal">
      <formula>"No"</formula>
    </cfRule>
  </conditionalFormatting>
  <conditionalFormatting sqref="F5:F48">
    <cfRule type="expression" dxfId="0" priority="1">
      <formula>NOT(ISNUMBER(SEARCH("Adder (%)", $E5)))</formula>
    </cfRule>
  </conditionalFormatting>
  <dataValidations xWindow="226" yWindow="400" count="3">
    <dataValidation type="list" allowBlank="1" showInputMessage="1" showErrorMessage="1" sqref="N9" xr:uid="{6EB660E3-4E46-4960-8AF7-3968B5133D64}">
      <formula1>$I$4:$L$4</formula1>
    </dataValidation>
    <dataValidation type="list" allowBlank="1" showInputMessage="1" showErrorMessage="1" sqref="C44:C48 C5:D43" xr:uid="{76F08836-9697-48FA-B903-421F690DE9D5}">
      <formula1>"Yes,No"</formula1>
    </dataValidation>
    <dataValidation type="custom" allowBlank="1" showInputMessage="1" showErrorMessage="1" sqref="F5:F48" xr:uid="{2E424B6C-BA75-4F87-9481-A77AFD0EE1D4}">
      <formula1>IF(E5:E48="Adder (%)",TRUE,FALSE)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ourceDefTable">
                <anchor moveWithCells="1" sizeWithCells="1">
                  <from>
                    <xdr:col>0</xdr:col>
                    <xdr:colOff>228600</xdr:colOff>
                    <xdr:row>4</xdr:row>
                    <xdr:rowOff>12700</xdr:rowOff>
                  </from>
                  <to>
                    <xdr:col>0</xdr:col>
                    <xdr:colOff>571500</xdr:colOff>
                    <xdr:row>4</xdr:row>
                    <xdr:rowOff>241300</xdr:rowOff>
                  </to>
                </anchor>
              </controlPr>
            </control>
          </mc:Choice>
        </mc:AlternateContent>
        <mc:AlternateContent xmlns:mc="http://schemas.openxmlformats.org/markup-compatibility/2006">
          <mc:Choice Requires="x14">
            <control shapeId="10288" r:id="rId4" name="Button 48">
              <controlPr defaultSize="0" print="0" autoFill="0" autoPict="0" macro="[0]!sourceDefTable">
                <anchor moveWithCells="1" sizeWithCells="1">
                  <from>
                    <xdr:col>0</xdr:col>
                    <xdr:colOff>228600</xdr:colOff>
                    <xdr:row>5</xdr:row>
                    <xdr:rowOff>12700</xdr:rowOff>
                  </from>
                  <to>
                    <xdr:col>0</xdr:col>
                    <xdr:colOff>571500</xdr:colOff>
                    <xdr:row>5</xdr:row>
                    <xdr:rowOff>241300</xdr:rowOff>
                  </to>
                </anchor>
              </controlPr>
            </control>
          </mc:Choice>
        </mc:AlternateContent>
        <mc:AlternateContent xmlns:mc="http://schemas.openxmlformats.org/markup-compatibility/2006">
          <mc:Choice Requires="x14">
            <control shapeId="10289" r:id="rId5" name="Button 49">
              <controlPr defaultSize="0" print="0" autoFill="0" autoPict="0" macro="[0]!sourceDefTable">
                <anchor moveWithCells="1" sizeWithCells="1">
                  <from>
                    <xdr:col>0</xdr:col>
                    <xdr:colOff>228600</xdr:colOff>
                    <xdr:row>6</xdr:row>
                    <xdr:rowOff>12700</xdr:rowOff>
                  </from>
                  <to>
                    <xdr:col>0</xdr:col>
                    <xdr:colOff>571500</xdr:colOff>
                    <xdr:row>6</xdr:row>
                    <xdr:rowOff>241300</xdr:rowOff>
                  </to>
                </anchor>
              </controlPr>
            </control>
          </mc:Choice>
        </mc:AlternateContent>
        <mc:AlternateContent xmlns:mc="http://schemas.openxmlformats.org/markup-compatibility/2006">
          <mc:Choice Requires="x14">
            <control shapeId="10290" r:id="rId6" name="Button 50">
              <controlPr defaultSize="0" print="0" autoFill="0" autoPict="0" macro="[0]!sourceDefTable">
                <anchor moveWithCells="1" sizeWithCells="1">
                  <from>
                    <xdr:col>0</xdr:col>
                    <xdr:colOff>228600</xdr:colOff>
                    <xdr:row>7</xdr:row>
                    <xdr:rowOff>12700</xdr:rowOff>
                  </from>
                  <to>
                    <xdr:col>0</xdr:col>
                    <xdr:colOff>571500</xdr:colOff>
                    <xdr:row>7</xdr:row>
                    <xdr:rowOff>241300</xdr:rowOff>
                  </to>
                </anchor>
              </controlPr>
            </control>
          </mc:Choice>
        </mc:AlternateContent>
        <mc:AlternateContent xmlns:mc="http://schemas.openxmlformats.org/markup-compatibility/2006">
          <mc:Choice Requires="x14">
            <control shapeId="10291" r:id="rId7" name="Button 51">
              <controlPr defaultSize="0" print="0" autoFill="0" autoPict="0" macro="[0]!sourceDefTable">
                <anchor moveWithCells="1" sizeWithCells="1">
                  <from>
                    <xdr:col>0</xdr:col>
                    <xdr:colOff>228600</xdr:colOff>
                    <xdr:row>8</xdr:row>
                    <xdr:rowOff>12700</xdr:rowOff>
                  </from>
                  <to>
                    <xdr:col>0</xdr:col>
                    <xdr:colOff>571500</xdr:colOff>
                    <xdr:row>8</xdr:row>
                    <xdr:rowOff>241300</xdr:rowOff>
                  </to>
                </anchor>
              </controlPr>
            </control>
          </mc:Choice>
        </mc:AlternateContent>
        <mc:AlternateContent xmlns:mc="http://schemas.openxmlformats.org/markup-compatibility/2006">
          <mc:Choice Requires="x14">
            <control shapeId="10292" r:id="rId8" name="Button 52">
              <controlPr defaultSize="0" print="0" autoFill="0" autoPict="0" macro="[0]!sourceDefTable">
                <anchor moveWithCells="1" sizeWithCells="1">
                  <from>
                    <xdr:col>0</xdr:col>
                    <xdr:colOff>228600</xdr:colOff>
                    <xdr:row>9</xdr:row>
                    <xdr:rowOff>12700</xdr:rowOff>
                  </from>
                  <to>
                    <xdr:col>0</xdr:col>
                    <xdr:colOff>571500</xdr:colOff>
                    <xdr:row>9</xdr:row>
                    <xdr:rowOff>241300</xdr:rowOff>
                  </to>
                </anchor>
              </controlPr>
            </control>
          </mc:Choice>
        </mc:AlternateContent>
        <mc:AlternateContent xmlns:mc="http://schemas.openxmlformats.org/markup-compatibility/2006">
          <mc:Choice Requires="x14">
            <control shapeId="10293" r:id="rId9" name="Button 53">
              <controlPr defaultSize="0" print="0" autoFill="0" autoPict="0" macro="[0]!sourceDefTable">
                <anchor moveWithCells="1" sizeWithCells="1">
                  <from>
                    <xdr:col>0</xdr:col>
                    <xdr:colOff>228600</xdr:colOff>
                    <xdr:row>10</xdr:row>
                    <xdr:rowOff>12700</xdr:rowOff>
                  </from>
                  <to>
                    <xdr:col>0</xdr:col>
                    <xdr:colOff>571500</xdr:colOff>
                    <xdr:row>10</xdr:row>
                    <xdr:rowOff>241300</xdr:rowOff>
                  </to>
                </anchor>
              </controlPr>
            </control>
          </mc:Choice>
        </mc:AlternateContent>
        <mc:AlternateContent xmlns:mc="http://schemas.openxmlformats.org/markup-compatibility/2006">
          <mc:Choice Requires="x14">
            <control shapeId="10294" r:id="rId10" name="Button 54">
              <controlPr defaultSize="0" print="0" autoFill="0" autoPict="0" macro="[0]!sourceDefTable">
                <anchor moveWithCells="1" sizeWithCells="1">
                  <from>
                    <xdr:col>0</xdr:col>
                    <xdr:colOff>228600</xdr:colOff>
                    <xdr:row>11</xdr:row>
                    <xdr:rowOff>12700</xdr:rowOff>
                  </from>
                  <to>
                    <xdr:col>0</xdr:col>
                    <xdr:colOff>571500</xdr:colOff>
                    <xdr:row>11</xdr:row>
                    <xdr:rowOff>241300</xdr:rowOff>
                  </to>
                </anchor>
              </controlPr>
            </control>
          </mc:Choice>
        </mc:AlternateContent>
        <mc:AlternateContent xmlns:mc="http://schemas.openxmlformats.org/markup-compatibility/2006">
          <mc:Choice Requires="x14">
            <control shapeId="10295" r:id="rId11" name="Button 55">
              <controlPr defaultSize="0" print="0" autoFill="0" autoPict="0" macro="[0]!sourceDefTable">
                <anchor moveWithCells="1" sizeWithCells="1">
                  <from>
                    <xdr:col>0</xdr:col>
                    <xdr:colOff>228600</xdr:colOff>
                    <xdr:row>12</xdr:row>
                    <xdr:rowOff>12700</xdr:rowOff>
                  </from>
                  <to>
                    <xdr:col>0</xdr:col>
                    <xdr:colOff>571500</xdr:colOff>
                    <xdr:row>12</xdr:row>
                    <xdr:rowOff>241300</xdr:rowOff>
                  </to>
                </anchor>
              </controlPr>
            </control>
          </mc:Choice>
        </mc:AlternateContent>
        <mc:AlternateContent xmlns:mc="http://schemas.openxmlformats.org/markup-compatibility/2006">
          <mc:Choice Requires="x14">
            <control shapeId="10296" r:id="rId12" name="Button 56">
              <controlPr defaultSize="0" print="0" autoFill="0" autoPict="0" macro="[0]!sourceDefTable">
                <anchor moveWithCells="1" sizeWithCells="1">
                  <from>
                    <xdr:col>0</xdr:col>
                    <xdr:colOff>228600</xdr:colOff>
                    <xdr:row>14</xdr:row>
                    <xdr:rowOff>12700</xdr:rowOff>
                  </from>
                  <to>
                    <xdr:col>0</xdr:col>
                    <xdr:colOff>571500</xdr:colOff>
                    <xdr:row>14</xdr:row>
                    <xdr:rowOff>241300</xdr:rowOff>
                  </to>
                </anchor>
              </controlPr>
            </control>
          </mc:Choice>
        </mc:AlternateContent>
        <mc:AlternateContent xmlns:mc="http://schemas.openxmlformats.org/markup-compatibility/2006">
          <mc:Choice Requires="x14">
            <control shapeId="10297" r:id="rId13" name="Button 57">
              <controlPr defaultSize="0" print="0" autoFill="0" autoPict="0" macro="[0]!sourceDefTable">
                <anchor moveWithCells="1" sizeWithCells="1">
                  <from>
                    <xdr:col>0</xdr:col>
                    <xdr:colOff>228600</xdr:colOff>
                    <xdr:row>13</xdr:row>
                    <xdr:rowOff>12700</xdr:rowOff>
                  </from>
                  <to>
                    <xdr:col>0</xdr:col>
                    <xdr:colOff>571500</xdr:colOff>
                    <xdr:row>13</xdr:row>
                    <xdr:rowOff>241300</xdr:rowOff>
                  </to>
                </anchor>
              </controlPr>
            </control>
          </mc:Choice>
        </mc:AlternateContent>
        <mc:AlternateContent xmlns:mc="http://schemas.openxmlformats.org/markup-compatibility/2006">
          <mc:Choice Requires="x14">
            <control shapeId="10298" r:id="rId14" name="Button 58">
              <controlPr defaultSize="0" print="0" autoFill="0" autoPict="0" macro="[0]!sourceDefTable">
                <anchor moveWithCells="1" sizeWithCells="1">
                  <from>
                    <xdr:col>0</xdr:col>
                    <xdr:colOff>228600</xdr:colOff>
                    <xdr:row>15</xdr:row>
                    <xdr:rowOff>12700</xdr:rowOff>
                  </from>
                  <to>
                    <xdr:col>0</xdr:col>
                    <xdr:colOff>571500</xdr:colOff>
                    <xdr:row>15</xdr:row>
                    <xdr:rowOff>241300</xdr:rowOff>
                  </to>
                </anchor>
              </controlPr>
            </control>
          </mc:Choice>
        </mc:AlternateContent>
        <mc:AlternateContent xmlns:mc="http://schemas.openxmlformats.org/markup-compatibility/2006">
          <mc:Choice Requires="x14">
            <control shapeId="10299" r:id="rId15" name="Button 59">
              <controlPr defaultSize="0" print="0" autoFill="0" autoPict="0" macro="[0]!sourceDefTable">
                <anchor moveWithCells="1" sizeWithCells="1">
                  <from>
                    <xdr:col>0</xdr:col>
                    <xdr:colOff>228600</xdr:colOff>
                    <xdr:row>16</xdr:row>
                    <xdr:rowOff>12700</xdr:rowOff>
                  </from>
                  <to>
                    <xdr:col>0</xdr:col>
                    <xdr:colOff>571500</xdr:colOff>
                    <xdr:row>16</xdr:row>
                    <xdr:rowOff>241300</xdr:rowOff>
                  </to>
                </anchor>
              </controlPr>
            </control>
          </mc:Choice>
        </mc:AlternateContent>
        <mc:AlternateContent xmlns:mc="http://schemas.openxmlformats.org/markup-compatibility/2006">
          <mc:Choice Requires="x14">
            <control shapeId="10300" r:id="rId16" name="Button 60">
              <controlPr defaultSize="0" print="0" autoFill="0" autoPict="0" macro="[0]!sourceDefTable">
                <anchor moveWithCells="1" sizeWithCells="1">
                  <from>
                    <xdr:col>0</xdr:col>
                    <xdr:colOff>228600</xdr:colOff>
                    <xdr:row>17</xdr:row>
                    <xdr:rowOff>12700</xdr:rowOff>
                  </from>
                  <to>
                    <xdr:col>0</xdr:col>
                    <xdr:colOff>571500</xdr:colOff>
                    <xdr:row>17</xdr:row>
                    <xdr:rowOff>241300</xdr:rowOff>
                  </to>
                </anchor>
              </controlPr>
            </control>
          </mc:Choice>
        </mc:AlternateContent>
        <mc:AlternateContent xmlns:mc="http://schemas.openxmlformats.org/markup-compatibility/2006">
          <mc:Choice Requires="x14">
            <control shapeId="10301" r:id="rId17" name="Button 61">
              <controlPr defaultSize="0" print="0" autoFill="0" autoPict="0" macro="[0]!sourceDefTable">
                <anchor moveWithCells="1" sizeWithCells="1">
                  <from>
                    <xdr:col>0</xdr:col>
                    <xdr:colOff>228600</xdr:colOff>
                    <xdr:row>18</xdr:row>
                    <xdr:rowOff>12700</xdr:rowOff>
                  </from>
                  <to>
                    <xdr:col>0</xdr:col>
                    <xdr:colOff>571500</xdr:colOff>
                    <xdr:row>18</xdr:row>
                    <xdr:rowOff>241300</xdr:rowOff>
                  </to>
                </anchor>
              </controlPr>
            </control>
          </mc:Choice>
        </mc:AlternateContent>
        <mc:AlternateContent xmlns:mc="http://schemas.openxmlformats.org/markup-compatibility/2006">
          <mc:Choice Requires="x14">
            <control shapeId="10302" r:id="rId18" name="Button 62">
              <controlPr defaultSize="0" print="0" autoFill="0" autoPict="0" macro="[0]!sourceDefTable">
                <anchor moveWithCells="1" sizeWithCells="1">
                  <from>
                    <xdr:col>0</xdr:col>
                    <xdr:colOff>228600</xdr:colOff>
                    <xdr:row>19</xdr:row>
                    <xdr:rowOff>12700</xdr:rowOff>
                  </from>
                  <to>
                    <xdr:col>0</xdr:col>
                    <xdr:colOff>571500</xdr:colOff>
                    <xdr:row>19</xdr:row>
                    <xdr:rowOff>241300</xdr:rowOff>
                  </to>
                </anchor>
              </controlPr>
            </control>
          </mc:Choice>
        </mc:AlternateContent>
        <mc:AlternateContent xmlns:mc="http://schemas.openxmlformats.org/markup-compatibility/2006">
          <mc:Choice Requires="x14">
            <control shapeId="10303" r:id="rId19" name="Button 63">
              <controlPr defaultSize="0" print="0" autoFill="0" autoPict="0" macro="[0]!sourceDefTable">
                <anchor moveWithCells="1" sizeWithCells="1">
                  <from>
                    <xdr:col>0</xdr:col>
                    <xdr:colOff>228600</xdr:colOff>
                    <xdr:row>20</xdr:row>
                    <xdr:rowOff>12700</xdr:rowOff>
                  </from>
                  <to>
                    <xdr:col>0</xdr:col>
                    <xdr:colOff>571500</xdr:colOff>
                    <xdr:row>20</xdr:row>
                    <xdr:rowOff>241300</xdr:rowOff>
                  </to>
                </anchor>
              </controlPr>
            </control>
          </mc:Choice>
        </mc:AlternateContent>
        <mc:AlternateContent xmlns:mc="http://schemas.openxmlformats.org/markup-compatibility/2006">
          <mc:Choice Requires="x14">
            <control shapeId="10304" r:id="rId20" name="Button 64">
              <controlPr defaultSize="0" print="0" autoFill="0" autoPict="0" macro="[0]!sourceDefTable">
                <anchor moveWithCells="1" sizeWithCells="1">
                  <from>
                    <xdr:col>0</xdr:col>
                    <xdr:colOff>228600</xdr:colOff>
                    <xdr:row>21</xdr:row>
                    <xdr:rowOff>12700</xdr:rowOff>
                  </from>
                  <to>
                    <xdr:col>0</xdr:col>
                    <xdr:colOff>571500</xdr:colOff>
                    <xdr:row>21</xdr:row>
                    <xdr:rowOff>241300</xdr:rowOff>
                  </to>
                </anchor>
              </controlPr>
            </control>
          </mc:Choice>
        </mc:AlternateContent>
        <mc:AlternateContent xmlns:mc="http://schemas.openxmlformats.org/markup-compatibility/2006">
          <mc:Choice Requires="x14">
            <control shapeId="10305" r:id="rId21" name="Button 65">
              <controlPr defaultSize="0" print="0" autoFill="0" autoPict="0" macro="[0]!sourceDefTable">
                <anchor moveWithCells="1" sizeWithCells="1">
                  <from>
                    <xdr:col>0</xdr:col>
                    <xdr:colOff>228600</xdr:colOff>
                    <xdr:row>22</xdr:row>
                    <xdr:rowOff>12700</xdr:rowOff>
                  </from>
                  <to>
                    <xdr:col>0</xdr:col>
                    <xdr:colOff>571500</xdr:colOff>
                    <xdr:row>22</xdr:row>
                    <xdr:rowOff>241300</xdr:rowOff>
                  </to>
                </anchor>
              </controlPr>
            </control>
          </mc:Choice>
        </mc:AlternateContent>
        <mc:AlternateContent xmlns:mc="http://schemas.openxmlformats.org/markup-compatibility/2006">
          <mc:Choice Requires="x14">
            <control shapeId="10306" r:id="rId22" name="Button 66">
              <controlPr defaultSize="0" print="0" autoFill="0" autoPict="0" macro="[0]!sourceDefTable">
                <anchor moveWithCells="1" sizeWithCells="1">
                  <from>
                    <xdr:col>0</xdr:col>
                    <xdr:colOff>228600</xdr:colOff>
                    <xdr:row>23</xdr:row>
                    <xdr:rowOff>12700</xdr:rowOff>
                  </from>
                  <to>
                    <xdr:col>0</xdr:col>
                    <xdr:colOff>571500</xdr:colOff>
                    <xdr:row>23</xdr:row>
                    <xdr:rowOff>241300</xdr:rowOff>
                  </to>
                </anchor>
              </controlPr>
            </control>
          </mc:Choice>
        </mc:AlternateContent>
        <mc:AlternateContent xmlns:mc="http://schemas.openxmlformats.org/markup-compatibility/2006">
          <mc:Choice Requires="x14">
            <control shapeId="10307" r:id="rId23" name="Button 67">
              <controlPr defaultSize="0" print="0" autoFill="0" autoPict="0" macro="[0]!sourceDefTable">
                <anchor moveWithCells="1" sizeWithCells="1">
                  <from>
                    <xdr:col>0</xdr:col>
                    <xdr:colOff>228600</xdr:colOff>
                    <xdr:row>24</xdr:row>
                    <xdr:rowOff>12700</xdr:rowOff>
                  </from>
                  <to>
                    <xdr:col>0</xdr:col>
                    <xdr:colOff>571500</xdr:colOff>
                    <xdr:row>24</xdr:row>
                    <xdr:rowOff>241300</xdr:rowOff>
                  </to>
                </anchor>
              </controlPr>
            </control>
          </mc:Choice>
        </mc:AlternateContent>
        <mc:AlternateContent xmlns:mc="http://schemas.openxmlformats.org/markup-compatibility/2006">
          <mc:Choice Requires="x14">
            <control shapeId="10308" r:id="rId24" name="Button 68">
              <controlPr defaultSize="0" print="0" autoFill="0" autoPict="0" macro="[0]!sourceDefTable">
                <anchor moveWithCells="1" sizeWithCells="1">
                  <from>
                    <xdr:col>0</xdr:col>
                    <xdr:colOff>228600</xdr:colOff>
                    <xdr:row>25</xdr:row>
                    <xdr:rowOff>12700</xdr:rowOff>
                  </from>
                  <to>
                    <xdr:col>0</xdr:col>
                    <xdr:colOff>571500</xdr:colOff>
                    <xdr:row>25</xdr:row>
                    <xdr:rowOff>241300</xdr:rowOff>
                  </to>
                </anchor>
              </controlPr>
            </control>
          </mc:Choice>
        </mc:AlternateContent>
        <mc:AlternateContent xmlns:mc="http://schemas.openxmlformats.org/markup-compatibility/2006">
          <mc:Choice Requires="x14">
            <control shapeId="10309" r:id="rId25" name="Button 69">
              <controlPr defaultSize="0" print="0" autoFill="0" autoPict="0" macro="[0]!sourceDefTable">
                <anchor moveWithCells="1" sizeWithCells="1">
                  <from>
                    <xdr:col>0</xdr:col>
                    <xdr:colOff>228600</xdr:colOff>
                    <xdr:row>26</xdr:row>
                    <xdr:rowOff>12700</xdr:rowOff>
                  </from>
                  <to>
                    <xdr:col>0</xdr:col>
                    <xdr:colOff>571500</xdr:colOff>
                    <xdr:row>26</xdr:row>
                    <xdr:rowOff>241300</xdr:rowOff>
                  </to>
                </anchor>
              </controlPr>
            </control>
          </mc:Choice>
        </mc:AlternateContent>
        <mc:AlternateContent xmlns:mc="http://schemas.openxmlformats.org/markup-compatibility/2006">
          <mc:Choice Requires="x14">
            <control shapeId="10310" r:id="rId26" name="Button 70">
              <controlPr defaultSize="0" print="0" autoFill="0" autoPict="0" macro="[0]!sourceDefTable">
                <anchor moveWithCells="1" sizeWithCells="1">
                  <from>
                    <xdr:col>0</xdr:col>
                    <xdr:colOff>228600</xdr:colOff>
                    <xdr:row>27</xdr:row>
                    <xdr:rowOff>12700</xdr:rowOff>
                  </from>
                  <to>
                    <xdr:col>0</xdr:col>
                    <xdr:colOff>571500</xdr:colOff>
                    <xdr:row>27</xdr:row>
                    <xdr:rowOff>241300</xdr:rowOff>
                  </to>
                </anchor>
              </controlPr>
            </control>
          </mc:Choice>
        </mc:AlternateContent>
        <mc:AlternateContent xmlns:mc="http://schemas.openxmlformats.org/markup-compatibility/2006">
          <mc:Choice Requires="x14">
            <control shapeId="10311" r:id="rId27" name="Button 71">
              <controlPr defaultSize="0" print="0" autoFill="0" autoPict="0" macro="[0]!sourceDefTable">
                <anchor moveWithCells="1" sizeWithCells="1">
                  <from>
                    <xdr:col>0</xdr:col>
                    <xdr:colOff>228600</xdr:colOff>
                    <xdr:row>28</xdr:row>
                    <xdr:rowOff>12700</xdr:rowOff>
                  </from>
                  <to>
                    <xdr:col>0</xdr:col>
                    <xdr:colOff>571500</xdr:colOff>
                    <xdr:row>28</xdr:row>
                    <xdr:rowOff>241300</xdr:rowOff>
                  </to>
                </anchor>
              </controlPr>
            </control>
          </mc:Choice>
        </mc:AlternateContent>
        <mc:AlternateContent xmlns:mc="http://schemas.openxmlformats.org/markup-compatibility/2006">
          <mc:Choice Requires="x14">
            <control shapeId="10312" r:id="rId28" name="Button 72">
              <controlPr defaultSize="0" print="0" autoFill="0" autoPict="0" macro="[0]!sourceDefTable">
                <anchor moveWithCells="1" sizeWithCells="1">
                  <from>
                    <xdr:col>0</xdr:col>
                    <xdr:colOff>228600</xdr:colOff>
                    <xdr:row>29</xdr:row>
                    <xdr:rowOff>12700</xdr:rowOff>
                  </from>
                  <to>
                    <xdr:col>0</xdr:col>
                    <xdr:colOff>571500</xdr:colOff>
                    <xdr:row>29</xdr:row>
                    <xdr:rowOff>241300</xdr:rowOff>
                  </to>
                </anchor>
              </controlPr>
            </control>
          </mc:Choice>
        </mc:AlternateContent>
        <mc:AlternateContent xmlns:mc="http://schemas.openxmlformats.org/markup-compatibility/2006">
          <mc:Choice Requires="x14">
            <control shapeId="10313" r:id="rId29" name="Button 73">
              <controlPr defaultSize="0" print="0" autoFill="0" autoPict="0" macro="[0]!sourceDefTable">
                <anchor moveWithCells="1" sizeWithCells="1">
                  <from>
                    <xdr:col>0</xdr:col>
                    <xdr:colOff>228600</xdr:colOff>
                    <xdr:row>30</xdr:row>
                    <xdr:rowOff>12700</xdr:rowOff>
                  </from>
                  <to>
                    <xdr:col>0</xdr:col>
                    <xdr:colOff>571500</xdr:colOff>
                    <xdr:row>30</xdr:row>
                    <xdr:rowOff>241300</xdr:rowOff>
                  </to>
                </anchor>
              </controlPr>
            </control>
          </mc:Choice>
        </mc:AlternateContent>
        <mc:AlternateContent xmlns:mc="http://schemas.openxmlformats.org/markup-compatibility/2006">
          <mc:Choice Requires="x14">
            <control shapeId="10314" r:id="rId30" name="Button 74">
              <controlPr defaultSize="0" print="0" autoFill="0" autoPict="0" macro="[0]!sourceDefTable">
                <anchor moveWithCells="1" sizeWithCells="1">
                  <from>
                    <xdr:col>0</xdr:col>
                    <xdr:colOff>228600</xdr:colOff>
                    <xdr:row>31</xdr:row>
                    <xdr:rowOff>12700</xdr:rowOff>
                  </from>
                  <to>
                    <xdr:col>0</xdr:col>
                    <xdr:colOff>571500</xdr:colOff>
                    <xdr:row>31</xdr:row>
                    <xdr:rowOff>241300</xdr:rowOff>
                  </to>
                </anchor>
              </controlPr>
            </control>
          </mc:Choice>
        </mc:AlternateContent>
        <mc:AlternateContent xmlns:mc="http://schemas.openxmlformats.org/markup-compatibility/2006">
          <mc:Choice Requires="x14">
            <control shapeId="10315" r:id="rId31" name="Button 75">
              <controlPr defaultSize="0" print="0" autoFill="0" autoPict="0" macro="[0]!sourceDefTable">
                <anchor moveWithCells="1" sizeWithCells="1">
                  <from>
                    <xdr:col>0</xdr:col>
                    <xdr:colOff>228600</xdr:colOff>
                    <xdr:row>32</xdr:row>
                    <xdr:rowOff>12700</xdr:rowOff>
                  </from>
                  <to>
                    <xdr:col>0</xdr:col>
                    <xdr:colOff>571500</xdr:colOff>
                    <xdr:row>32</xdr:row>
                    <xdr:rowOff>241300</xdr:rowOff>
                  </to>
                </anchor>
              </controlPr>
            </control>
          </mc:Choice>
        </mc:AlternateContent>
        <mc:AlternateContent xmlns:mc="http://schemas.openxmlformats.org/markup-compatibility/2006">
          <mc:Choice Requires="x14">
            <control shapeId="10316" r:id="rId32" name="Button 76">
              <controlPr defaultSize="0" print="0" autoFill="0" autoPict="0" macro="[0]!sourceDefTable">
                <anchor moveWithCells="1" sizeWithCells="1">
                  <from>
                    <xdr:col>0</xdr:col>
                    <xdr:colOff>228600</xdr:colOff>
                    <xdr:row>33</xdr:row>
                    <xdr:rowOff>12700</xdr:rowOff>
                  </from>
                  <to>
                    <xdr:col>0</xdr:col>
                    <xdr:colOff>571500</xdr:colOff>
                    <xdr:row>33</xdr:row>
                    <xdr:rowOff>241300</xdr:rowOff>
                  </to>
                </anchor>
              </controlPr>
            </control>
          </mc:Choice>
        </mc:AlternateContent>
        <mc:AlternateContent xmlns:mc="http://schemas.openxmlformats.org/markup-compatibility/2006">
          <mc:Choice Requires="x14">
            <control shapeId="10317" r:id="rId33" name="Button 77">
              <controlPr defaultSize="0" print="0" autoFill="0" autoPict="0" macro="[0]!sourceDefTable">
                <anchor moveWithCells="1" sizeWithCells="1">
                  <from>
                    <xdr:col>0</xdr:col>
                    <xdr:colOff>228600</xdr:colOff>
                    <xdr:row>34</xdr:row>
                    <xdr:rowOff>12700</xdr:rowOff>
                  </from>
                  <to>
                    <xdr:col>0</xdr:col>
                    <xdr:colOff>571500</xdr:colOff>
                    <xdr:row>34</xdr:row>
                    <xdr:rowOff>241300</xdr:rowOff>
                  </to>
                </anchor>
              </controlPr>
            </control>
          </mc:Choice>
        </mc:AlternateContent>
        <mc:AlternateContent xmlns:mc="http://schemas.openxmlformats.org/markup-compatibility/2006">
          <mc:Choice Requires="x14">
            <control shapeId="10318" r:id="rId34" name="Button 78">
              <controlPr defaultSize="0" print="0" autoFill="0" autoPict="0" macro="[0]!sourceDefTable">
                <anchor moveWithCells="1" sizeWithCells="1">
                  <from>
                    <xdr:col>0</xdr:col>
                    <xdr:colOff>228600</xdr:colOff>
                    <xdr:row>35</xdr:row>
                    <xdr:rowOff>12700</xdr:rowOff>
                  </from>
                  <to>
                    <xdr:col>0</xdr:col>
                    <xdr:colOff>571500</xdr:colOff>
                    <xdr:row>35</xdr:row>
                    <xdr:rowOff>241300</xdr:rowOff>
                  </to>
                </anchor>
              </controlPr>
            </control>
          </mc:Choice>
        </mc:AlternateContent>
        <mc:AlternateContent xmlns:mc="http://schemas.openxmlformats.org/markup-compatibility/2006">
          <mc:Choice Requires="x14">
            <control shapeId="10319" r:id="rId35" name="Button 79">
              <controlPr defaultSize="0" print="0" autoFill="0" autoPict="0" macro="[0]!sourceDefTable">
                <anchor moveWithCells="1" sizeWithCells="1">
                  <from>
                    <xdr:col>0</xdr:col>
                    <xdr:colOff>228600</xdr:colOff>
                    <xdr:row>36</xdr:row>
                    <xdr:rowOff>12700</xdr:rowOff>
                  </from>
                  <to>
                    <xdr:col>0</xdr:col>
                    <xdr:colOff>571500</xdr:colOff>
                    <xdr:row>36</xdr:row>
                    <xdr:rowOff>241300</xdr:rowOff>
                  </to>
                </anchor>
              </controlPr>
            </control>
          </mc:Choice>
        </mc:AlternateContent>
        <mc:AlternateContent xmlns:mc="http://schemas.openxmlformats.org/markup-compatibility/2006">
          <mc:Choice Requires="x14">
            <control shapeId="10320" r:id="rId36" name="Button 80">
              <controlPr defaultSize="0" print="0" autoFill="0" autoPict="0" macro="[0]!sourceDefTable">
                <anchor moveWithCells="1" sizeWithCells="1">
                  <from>
                    <xdr:col>0</xdr:col>
                    <xdr:colOff>228600</xdr:colOff>
                    <xdr:row>37</xdr:row>
                    <xdr:rowOff>12700</xdr:rowOff>
                  </from>
                  <to>
                    <xdr:col>0</xdr:col>
                    <xdr:colOff>571500</xdr:colOff>
                    <xdr:row>37</xdr:row>
                    <xdr:rowOff>241300</xdr:rowOff>
                  </to>
                </anchor>
              </controlPr>
            </control>
          </mc:Choice>
        </mc:AlternateContent>
        <mc:AlternateContent xmlns:mc="http://schemas.openxmlformats.org/markup-compatibility/2006">
          <mc:Choice Requires="x14">
            <control shapeId="10321" r:id="rId37" name="Button 81">
              <controlPr defaultSize="0" print="0" autoFill="0" autoPict="0" macro="[0]!sourceDefTable">
                <anchor moveWithCells="1" sizeWithCells="1">
                  <from>
                    <xdr:col>0</xdr:col>
                    <xdr:colOff>228600</xdr:colOff>
                    <xdr:row>38</xdr:row>
                    <xdr:rowOff>12700</xdr:rowOff>
                  </from>
                  <to>
                    <xdr:col>0</xdr:col>
                    <xdr:colOff>571500</xdr:colOff>
                    <xdr:row>38</xdr:row>
                    <xdr:rowOff>241300</xdr:rowOff>
                  </to>
                </anchor>
              </controlPr>
            </control>
          </mc:Choice>
        </mc:AlternateContent>
        <mc:AlternateContent xmlns:mc="http://schemas.openxmlformats.org/markup-compatibility/2006">
          <mc:Choice Requires="x14">
            <control shapeId="10322" r:id="rId38" name="Button 82">
              <controlPr defaultSize="0" print="0" autoFill="0" autoPict="0" macro="[0]!sourceDefTable">
                <anchor moveWithCells="1" sizeWithCells="1">
                  <from>
                    <xdr:col>0</xdr:col>
                    <xdr:colOff>228600</xdr:colOff>
                    <xdr:row>39</xdr:row>
                    <xdr:rowOff>12700</xdr:rowOff>
                  </from>
                  <to>
                    <xdr:col>0</xdr:col>
                    <xdr:colOff>571500</xdr:colOff>
                    <xdr:row>39</xdr:row>
                    <xdr:rowOff>241300</xdr:rowOff>
                  </to>
                </anchor>
              </controlPr>
            </control>
          </mc:Choice>
        </mc:AlternateContent>
        <mc:AlternateContent xmlns:mc="http://schemas.openxmlformats.org/markup-compatibility/2006">
          <mc:Choice Requires="x14">
            <control shapeId="10323" r:id="rId39" name="Button 83">
              <controlPr defaultSize="0" print="0" autoFill="0" autoPict="0" macro="[0]!sourceDefTable">
                <anchor moveWithCells="1" sizeWithCells="1">
                  <from>
                    <xdr:col>0</xdr:col>
                    <xdr:colOff>228600</xdr:colOff>
                    <xdr:row>40</xdr:row>
                    <xdr:rowOff>12700</xdr:rowOff>
                  </from>
                  <to>
                    <xdr:col>0</xdr:col>
                    <xdr:colOff>571500</xdr:colOff>
                    <xdr:row>40</xdr:row>
                    <xdr:rowOff>241300</xdr:rowOff>
                  </to>
                </anchor>
              </controlPr>
            </control>
          </mc:Choice>
        </mc:AlternateContent>
        <mc:AlternateContent xmlns:mc="http://schemas.openxmlformats.org/markup-compatibility/2006">
          <mc:Choice Requires="x14">
            <control shapeId="10324" r:id="rId40" name="Button 84">
              <controlPr defaultSize="0" print="0" autoFill="0" autoPict="0" macro="[0]!sourceDefTable">
                <anchor moveWithCells="1" sizeWithCells="1">
                  <from>
                    <xdr:col>0</xdr:col>
                    <xdr:colOff>228600</xdr:colOff>
                    <xdr:row>41</xdr:row>
                    <xdr:rowOff>12700</xdr:rowOff>
                  </from>
                  <to>
                    <xdr:col>0</xdr:col>
                    <xdr:colOff>571500</xdr:colOff>
                    <xdr:row>41</xdr:row>
                    <xdr:rowOff>241300</xdr:rowOff>
                  </to>
                </anchor>
              </controlPr>
            </control>
          </mc:Choice>
        </mc:AlternateContent>
        <mc:AlternateContent xmlns:mc="http://schemas.openxmlformats.org/markup-compatibility/2006">
          <mc:Choice Requires="x14">
            <control shapeId="10325" r:id="rId41" name="Button 85">
              <controlPr defaultSize="0" print="0" autoFill="0" autoPict="0" macro="[0]!sourceDefTable">
                <anchor moveWithCells="1" sizeWithCells="1">
                  <from>
                    <xdr:col>0</xdr:col>
                    <xdr:colOff>228600</xdr:colOff>
                    <xdr:row>42</xdr:row>
                    <xdr:rowOff>12700</xdr:rowOff>
                  </from>
                  <to>
                    <xdr:col>0</xdr:col>
                    <xdr:colOff>571500</xdr:colOff>
                    <xdr:row>42</xdr:row>
                    <xdr:rowOff>241300</xdr:rowOff>
                  </to>
                </anchor>
              </controlPr>
            </control>
          </mc:Choice>
        </mc:AlternateContent>
        <mc:AlternateContent xmlns:mc="http://schemas.openxmlformats.org/markup-compatibility/2006">
          <mc:Choice Requires="x14">
            <control shapeId="10330" r:id="rId42" name="Button 90">
              <controlPr defaultSize="0" print="0" autoFill="0" autoPict="0" macro="[0]!sourceDefTable">
                <anchor moveWithCells="1" sizeWithCells="1">
                  <from>
                    <xdr:col>2</xdr:col>
                    <xdr:colOff>228600</xdr:colOff>
                    <xdr:row>1</xdr:row>
                    <xdr:rowOff>12700</xdr:rowOff>
                  </from>
                  <to>
                    <xdr:col>2</xdr:col>
                    <xdr:colOff>571500</xdr:colOff>
                    <xdr:row>1</xdr:row>
                    <xdr:rowOff>241300</xdr:rowOff>
                  </to>
                </anchor>
              </controlPr>
            </control>
          </mc:Choice>
        </mc:AlternateContent>
        <mc:AlternateContent xmlns:mc="http://schemas.openxmlformats.org/markup-compatibility/2006">
          <mc:Choice Requires="x14">
            <control shapeId="10331" r:id="rId43" name="Button 91">
              <controlPr defaultSize="0" print="0" autoFill="0" autoPict="0" macro="[0]!sourceDefTable">
                <anchor moveWithCells="1" sizeWithCells="1">
                  <from>
                    <xdr:col>3</xdr:col>
                    <xdr:colOff>228600</xdr:colOff>
                    <xdr:row>1</xdr:row>
                    <xdr:rowOff>12700</xdr:rowOff>
                  </from>
                  <to>
                    <xdr:col>3</xdr:col>
                    <xdr:colOff>571500</xdr:colOff>
                    <xdr:row>1</xdr:row>
                    <xdr:rowOff>241300</xdr:rowOff>
                  </to>
                </anchor>
              </controlPr>
            </control>
          </mc:Choice>
        </mc:AlternateContent>
        <mc:AlternateContent xmlns:mc="http://schemas.openxmlformats.org/markup-compatibility/2006">
          <mc:Choice Requires="x14">
            <control shapeId="10332" r:id="rId44" name="Button 92">
              <controlPr defaultSize="0" print="0" autoFill="0" autoPict="0" macro="[0]!sourceDefTable">
                <anchor moveWithCells="1" sizeWithCells="1">
                  <from>
                    <xdr:col>4</xdr:col>
                    <xdr:colOff>228600</xdr:colOff>
                    <xdr:row>1</xdr:row>
                    <xdr:rowOff>12700</xdr:rowOff>
                  </from>
                  <to>
                    <xdr:col>4</xdr:col>
                    <xdr:colOff>571500</xdr:colOff>
                    <xdr:row>1</xdr:row>
                    <xdr:rowOff>241300</xdr:rowOff>
                  </to>
                </anchor>
              </controlPr>
            </control>
          </mc:Choice>
        </mc:AlternateContent>
        <mc:AlternateContent xmlns:mc="http://schemas.openxmlformats.org/markup-compatibility/2006">
          <mc:Choice Requires="x14">
            <control shapeId="10333" r:id="rId45" name="Button 93">
              <controlPr defaultSize="0" print="0" autoFill="0" autoPict="0" macro="[0]!sourceDefTable">
                <anchor moveWithCells="1" sizeWithCells="1">
                  <from>
                    <xdr:col>5</xdr:col>
                    <xdr:colOff>228600</xdr:colOff>
                    <xdr:row>1</xdr:row>
                    <xdr:rowOff>12700</xdr:rowOff>
                  </from>
                  <to>
                    <xdr:col>5</xdr:col>
                    <xdr:colOff>571500</xdr:colOff>
                    <xdr:row>1</xdr:row>
                    <xdr:rowOff>241300</xdr:rowOff>
                  </to>
                </anchor>
              </controlPr>
            </control>
          </mc:Choice>
        </mc:AlternateContent>
        <mc:AlternateContent xmlns:mc="http://schemas.openxmlformats.org/markup-compatibility/2006">
          <mc:Choice Requires="x14">
            <control shapeId="10334" r:id="rId46" name="Button 94">
              <controlPr defaultSize="0" print="0" autoFill="0" autoPict="0" macro="[0]!sourceDefTable">
                <anchor moveWithCells="1" sizeWithCells="1">
                  <from>
                    <xdr:col>6</xdr:col>
                    <xdr:colOff>228600</xdr:colOff>
                    <xdr:row>1</xdr:row>
                    <xdr:rowOff>12700</xdr:rowOff>
                  </from>
                  <to>
                    <xdr:col>6</xdr:col>
                    <xdr:colOff>571500</xdr:colOff>
                    <xdr:row>1</xdr:row>
                    <xdr:rowOff>241300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226" yWindow="400" count="1">
        <x14:dataValidation type="list" allowBlank="1" showInputMessage="1" showErrorMessage="1" xr:uid="{5923BD2B-07F7-470E-A3C0-C48D76973B60}">
          <x14:formula1>
            <xm:f>_xlfn.ANCHORARRAY(INDEX(Validations!$O:$O, MATCH($B5, Validations!$D:$D, 0)))</xm:f>
          </x14:formula1>
          <xm:sqref>E5:E48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B8FEF-B4B4-43C0-88ED-A40A4468ABC4}">
  <sheetPr>
    <tabColor rgb="FF000000"/>
  </sheetPr>
  <dimension ref="A1:S368"/>
  <sheetViews>
    <sheetView workbookViewId="0">
      <selection activeCell="F3" sqref="F3"/>
    </sheetView>
  </sheetViews>
  <sheetFormatPr defaultRowHeight="14.5" x14ac:dyDescent="0.35"/>
  <cols>
    <col min="4" max="4" width="12.26953125" customWidth="1"/>
    <col min="5" max="5" width="14.7265625" customWidth="1"/>
  </cols>
  <sheetData>
    <row r="1" spans="1:19" x14ac:dyDescent="0.35">
      <c r="A1" s="128" t="str">
        <f>HYPERLINK("#'Configuration Data'!A1", "Return to Main")</f>
        <v>Return to Main</v>
      </c>
      <c r="N1" t="s">
        <v>225</v>
      </c>
    </row>
    <row r="2" spans="1:19" ht="30" customHeight="1" x14ac:dyDescent="0.35">
      <c r="A2" s="184" t="s">
        <v>76</v>
      </c>
      <c r="B2" s="184"/>
      <c r="C2" s="184"/>
      <c r="D2" s="184"/>
      <c r="E2" s="184"/>
      <c r="F2" s="184"/>
      <c r="G2" s="184"/>
      <c r="H2" s="184"/>
      <c r="I2" s="184"/>
      <c r="J2" s="184"/>
      <c r="K2" s="184"/>
      <c r="L2" s="184"/>
      <c r="M2" s="184"/>
      <c r="N2" s="185" t="s">
        <v>220</v>
      </c>
      <c r="O2" s="185"/>
      <c r="P2" s="185"/>
      <c r="Q2" s="185"/>
      <c r="R2" s="185"/>
      <c r="S2" s="185"/>
    </row>
    <row r="4" spans="1:19" x14ac:dyDescent="0.35">
      <c r="A4" t="s">
        <v>21</v>
      </c>
      <c r="B4" t="s">
        <v>180</v>
      </c>
      <c r="C4" t="s">
        <v>221</v>
      </c>
      <c r="D4" t="s">
        <v>222</v>
      </c>
      <c r="E4" t="s">
        <v>187</v>
      </c>
    </row>
    <row r="5" spans="1:19" x14ac:dyDescent="0.35">
      <c r="A5">
        <v>2025</v>
      </c>
      <c r="B5">
        <v>1</v>
      </c>
      <c r="C5">
        <v>1</v>
      </c>
      <c r="D5" t="s">
        <v>223</v>
      </c>
    </row>
    <row r="6" spans="1:19" x14ac:dyDescent="0.35">
      <c r="A6">
        <v>2025</v>
      </c>
      <c r="B6">
        <v>1</v>
      </c>
      <c r="C6">
        <v>2</v>
      </c>
      <c r="D6" t="s">
        <v>223</v>
      </c>
    </row>
    <row r="7" spans="1:19" x14ac:dyDescent="0.35">
      <c r="A7">
        <v>2025</v>
      </c>
      <c r="B7">
        <v>1</v>
      </c>
      <c r="C7">
        <v>3</v>
      </c>
      <c r="D7" t="s">
        <v>224</v>
      </c>
    </row>
    <row r="8" spans="1:19" x14ac:dyDescent="0.35">
      <c r="A8">
        <v>2025</v>
      </c>
      <c r="B8">
        <v>1</v>
      </c>
      <c r="C8">
        <v>4</v>
      </c>
      <c r="D8" t="s">
        <v>224</v>
      </c>
    </row>
    <row r="9" spans="1:19" x14ac:dyDescent="0.35">
      <c r="A9">
        <v>2025</v>
      </c>
      <c r="B9">
        <v>1</v>
      </c>
      <c r="C9">
        <v>5</v>
      </c>
      <c r="D9" t="s">
        <v>223</v>
      </c>
    </row>
    <row r="10" spans="1:19" x14ac:dyDescent="0.35">
      <c r="A10">
        <v>2025</v>
      </c>
      <c r="B10">
        <v>1</v>
      </c>
      <c r="C10">
        <v>6</v>
      </c>
      <c r="D10" t="s">
        <v>223</v>
      </c>
    </row>
    <row r="11" spans="1:19" x14ac:dyDescent="0.35">
      <c r="A11">
        <v>2025</v>
      </c>
      <c r="B11">
        <v>1</v>
      </c>
      <c r="C11">
        <v>7</v>
      </c>
      <c r="D11" t="s">
        <v>223</v>
      </c>
    </row>
    <row r="12" spans="1:19" x14ac:dyDescent="0.35">
      <c r="A12">
        <v>2025</v>
      </c>
      <c r="B12">
        <v>1</v>
      </c>
      <c r="C12">
        <v>8</v>
      </c>
      <c r="D12" t="s">
        <v>223</v>
      </c>
    </row>
    <row r="13" spans="1:19" x14ac:dyDescent="0.35">
      <c r="A13">
        <v>2025</v>
      </c>
      <c r="B13">
        <v>1</v>
      </c>
      <c r="C13">
        <v>9</v>
      </c>
      <c r="D13" t="s">
        <v>223</v>
      </c>
    </row>
    <row r="14" spans="1:19" x14ac:dyDescent="0.35">
      <c r="A14">
        <v>2025</v>
      </c>
      <c r="B14">
        <v>1</v>
      </c>
      <c r="C14">
        <v>10</v>
      </c>
      <c r="D14" t="s">
        <v>224</v>
      </c>
    </row>
    <row r="15" spans="1:19" x14ac:dyDescent="0.35">
      <c r="A15">
        <v>2025</v>
      </c>
      <c r="B15">
        <v>1</v>
      </c>
      <c r="C15">
        <v>11</v>
      </c>
      <c r="D15" t="s">
        <v>224</v>
      </c>
    </row>
    <row r="16" spans="1:19" x14ac:dyDescent="0.35">
      <c r="A16">
        <v>2025</v>
      </c>
      <c r="B16">
        <v>1</v>
      </c>
      <c r="C16">
        <v>12</v>
      </c>
      <c r="D16" t="s">
        <v>223</v>
      </c>
    </row>
    <row r="17" spans="1:4" x14ac:dyDescent="0.35">
      <c r="A17">
        <v>2025</v>
      </c>
      <c r="B17">
        <v>1</v>
      </c>
      <c r="C17">
        <v>13</v>
      </c>
      <c r="D17" t="s">
        <v>223</v>
      </c>
    </row>
    <row r="18" spans="1:4" x14ac:dyDescent="0.35">
      <c r="A18">
        <v>2025</v>
      </c>
      <c r="B18">
        <v>1</v>
      </c>
      <c r="C18">
        <v>14</v>
      </c>
      <c r="D18" t="s">
        <v>223</v>
      </c>
    </row>
    <row r="19" spans="1:4" x14ac:dyDescent="0.35">
      <c r="A19">
        <v>2025</v>
      </c>
      <c r="B19">
        <v>1</v>
      </c>
      <c r="C19">
        <v>15</v>
      </c>
      <c r="D19" t="s">
        <v>223</v>
      </c>
    </row>
    <row r="20" spans="1:4" x14ac:dyDescent="0.35">
      <c r="A20">
        <v>2025</v>
      </c>
      <c r="B20">
        <v>1</v>
      </c>
      <c r="C20">
        <v>16</v>
      </c>
      <c r="D20" t="s">
        <v>223</v>
      </c>
    </row>
    <row r="21" spans="1:4" x14ac:dyDescent="0.35">
      <c r="A21">
        <v>2025</v>
      </c>
      <c r="B21">
        <v>1</v>
      </c>
      <c r="C21">
        <v>17</v>
      </c>
      <c r="D21" t="s">
        <v>224</v>
      </c>
    </row>
    <row r="22" spans="1:4" x14ac:dyDescent="0.35">
      <c r="A22">
        <v>2025</v>
      </c>
      <c r="B22">
        <v>1</v>
      </c>
      <c r="C22">
        <v>18</v>
      </c>
      <c r="D22" t="s">
        <v>224</v>
      </c>
    </row>
    <row r="23" spans="1:4" x14ac:dyDescent="0.35">
      <c r="A23">
        <v>2025</v>
      </c>
      <c r="B23">
        <v>1</v>
      </c>
      <c r="C23">
        <v>19</v>
      </c>
      <c r="D23" t="s">
        <v>223</v>
      </c>
    </row>
    <row r="24" spans="1:4" x14ac:dyDescent="0.35">
      <c r="A24">
        <v>2025</v>
      </c>
      <c r="B24">
        <v>1</v>
      </c>
      <c r="C24">
        <v>20</v>
      </c>
      <c r="D24" t="s">
        <v>223</v>
      </c>
    </row>
    <row r="25" spans="1:4" x14ac:dyDescent="0.35">
      <c r="A25">
        <v>2025</v>
      </c>
      <c r="B25">
        <v>1</v>
      </c>
      <c r="C25">
        <v>21</v>
      </c>
      <c r="D25" t="s">
        <v>223</v>
      </c>
    </row>
    <row r="26" spans="1:4" x14ac:dyDescent="0.35">
      <c r="A26">
        <v>2025</v>
      </c>
      <c r="B26">
        <v>1</v>
      </c>
      <c r="C26">
        <v>22</v>
      </c>
      <c r="D26" t="s">
        <v>223</v>
      </c>
    </row>
    <row r="27" spans="1:4" x14ac:dyDescent="0.35">
      <c r="A27">
        <v>2025</v>
      </c>
      <c r="B27">
        <v>1</v>
      </c>
      <c r="C27">
        <v>23</v>
      </c>
      <c r="D27" t="s">
        <v>223</v>
      </c>
    </row>
    <row r="28" spans="1:4" x14ac:dyDescent="0.35">
      <c r="A28">
        <v>2025</v>
      </c>
      <c r="B28">
        <v>1</v>
      </c>
      <c r="C28">
        <v>24</v>
      </c>
      <c r="D28" t="s">
        <v>224</v>
      </c>
    </row>
    <row r="29" spans="1:4" x14ac:dyDescent="0.35">
      <c r="A29">
        <v>2025</v>
      </c>
      <c r="B29">
        <v>1</v>
      </c>
      <c r="C29">
        <v>25</v>
      </c>
      <c r="D29" t="s">
        <v>224</v>
      </c>
    </row>
    <row r="30" spans="1:4" x14ac:dyDescent="0.35">
      <c r="A30">
        <v>2025</v>
      </c>
      <c r="B30">
        <v>1</v>
      </c>
      <c r="C30">
        <v>26</v>
      </c>
      <c r="D30" t="s">
        <v>223</v>
      </c>
    </row>
    <row r="31" spans="1:4" x14ac:dyDescent="0.35">
      <c r="A31">
        <v>2025</v>
      </c>
      <c r="B31">
        <v>1</v>
      </c>
      <c r="C31">
        <v>27</v>
      </c>
      <c r="D31" t="s">
        <v>223</v>
      </c>
    </row>
    <row r="32" spans="1:4" x14ac:dyDescent="0.35">
      <c r="A32">
        <v>2025</v>
      </c>
      <c r="B32">
        <v>1</v>
      </c>
      <c r="C32">
        <v>28</v>
      </c>
      <c r="D32" t="s">
        <v>223</v>
      </c>
    </row>
    <row r="33" spans="1:4" x14ac:dyDescent="0.35">
      <c r="A33">
        <v>2025</v>
      </c>
      <c r="B33">
        <v>1</v>
      </c>
      <c r="C33">
        <v>29</v>
      </c>
      <c r="D33" t="s">
        <v>223</v>
      </c>
    </row>
    <row r="34" spans="1:4" x14ac:dyDescent="0.35">
      <c r="A34">
        <v>2025</v>
      </c>
      <c r="B34">
        <v>1</v>
      </c>
      <c r="C34">
        <v>30</v>
      </c>
      <c r="D34" t="s">
        <v>223</v>
      </c>
    </row>
    <row r="35" spans="1:4" x14ac:dyDescent="0.35">
      <c r="A35">
        <v>2025</v>
      </c>
      <c r="B35">
        <v>2</v>
      </c>
      <c r="C35">
        <v>31</v>
      </c>
      <c r="D35" t="s">
        <v>224</v>
      </c>
    </row>
    <row r="36" spans="1:4" x14ac:dyDescent="0.35">
      <c r="A36">
        <v>2025</v>
      </c>
      <c r="B36">
        <v>2</v>
      </c>
      <c r="C36">
        <v>32</v>
      </c>
      <c r="D36" t="s">
        <v>223</v>
      </c>
    </row>
    <row r="37" spans="1:4" x14ac:dyDescent="0.35">
      <c r="A37">
        <v>2025</v>
      </c>
      <c r="B37">
        <v>2</v>
      </c>
      <c r="C37">
        <v>33</v>
      </c>
      <c r="D37" t="s">
        <v>223</v>
      </c>
    </row>
    <row r="38" spans="1:4" x14ac:dyDescent="0.35">
      <c r="A38">
        <v>2025</v>
      </c>
      <c r="B38">
        <v>2</v>
      </c>
      <c r="C38">
        <v>34</v>
      </c>
      <c r="D38" t="s">
        <v>223</v>
      </c>
    </row>
    <row r="39" spans="1:4" x14ac:dyDescent="0.35">
      <c r="A39">
        <v>2025</v>
      </c>
      <c r="B39">
        <v>2</v>
      </c>
      <c r="C39">
        <v>35</v>
      </c>
      <c r="D39" t="s">
        <v>223</v>
      </c>
    </row>
    <row r="40" spans="1:4" x14ac:dyDescent="0.35">
      <c r="A40">
        <v>2025</v>
      </c>
      <c r="B40">
        <v>2</v>
      </c>
      <c r="C40">
        <v>36</v>
      </c>
      <c r="D40" t="s">
        <v>223</v>
      </c>
    </row>
    <row r="41" spans="1:4" x14ac:dyDescent="0.35">
      <c r="A41">
        <v>2025</v>
      </c>
      <c r="B41">
        <v>2</v>
      </c>
      <c r="C41">
        <v>37</v>
      </c>
      <c r="D41" t="s">
        <v>224</v>
      </c>
    </row>
    <row r="42" spans="1:4" x14ac:dyDescent="0.35">
      <c r="A42">
        <v>2025</v>
      </c>
      <c r="B42">
        <v>2</v>
      </c>
      <c r="C42">
        <v>38</v>
      </c>
      <c r="D42" t="s">
        <v>224</v>
      </c>
    </row>
    <row r="43" spans="1:4" x14ac:dyDescent="0.35">
      <c r="A43">
        <v>2025</v>
      </c>
      <c r="B43">
        <v>2</v>
      </c>
      <c r="C43">
        <v>39</v>
      </c>
      <c r="D43" t="s">
        <v>223</v>
      </c>
    </row>
    <row r="44" spans="1:4" x14ac:dyDescent="0.35">
      <c r="A44">
        <v>2025</v>
      </c>
      <c r="B44">
        <v>2</v>
      </c>
      <c r="C44">
        <v>40</v>
      </c>
      <c r="D44" t="s">
        <v>223</v>
      </c>
    </row>
    <row r="45" spans="1:4" x14ac:dyDescent="0.35">
      <c r="A45">
        <v>2025</v>
      </c>
      <c r="B45">
        <v>2</v>
      </c>
      <c r="C45">
        <v>41</v>
      </c>
      <c r="D45" t="s">
        <v>223</v>
      </c>
    </row>
    <row r="46" spans="1:4" x14ac:dyDescent="0.35">
      <c r="A46">
        <v>2025</v>
      </c>
      <c r="B46">
        <v>2</v>
      </c>
      <c r="C46">
        <v>42</v>
      </c>
      <c r="D46" t="s">
        <v>223</v>
      </c>
    </row>
    <row r="47" spans="1:4" x14ac:dyDescent="0.35">
      <c r="A47">
        <v>2025</v>
      </c>
      <c r="B47">
        <v>2</v>
      </c>
      <c r="C47">
        <v>43</v>
      </c>
      <c r="D47" t="s">
        <v>223</v>
      </c>
    </row>
    <row r="48" spans="1:4" x14ac:dyDescent="0.35">
      <c r="A48">
        <v>2025</v>
      </c>
      <c r="B48">
        <v>2</v>
      </c>
      <c r="C48">
        <v>44</v>
      </c>
      <c r="D48" t="s">
        <v>224</v>
      </c>
    </row>
    <row r="49" spans="1:4" x14ac:dyDescent="0.35">
      <c r="A49">
        <v>2025</v>
      </c>
      <c r="B49">
        <v>2</v>
      </c>
      <c r="C49">
        <v>45</v>
      </c>
      <c r="D49" t="s">
        <v>224</v>
      </c>
    </row>
    <row r="50" spans="1:4" x14ac:dyDescent="0.35">
      <c r="A50">
        <v>2025</v>
      </c>
      <c r="B50">
        <v>2</v>
      </c>
      <c r="C50">
        <v>46</v>
      </c>
      <c r="D50" t="s">
        <v>223</v>
      </c>
    </row>
    <row r="51" spans="1:4" x14ac:dyDescent="0.35">
      <c r="A51">
        <v>2025</v>
      </c>
      <c r="B51">
        <v>2</v>
      </c>
      <c r="C51">
        <v>47</v>
      </c>
      <c r="D51" t="s">
        <v>223</v>
      </c>
    </row>
    <row r="52" spans="1:4" x14ac:dyDescent="0.35">
      <c r="A52">
        <v>2025</v>
      </c>
      <c r="B52">
        <v>2</v>
      </c>
      <c r="C52">
        <v>48</v>
      </c>
      <c r="D52" t="s">
        <v>223</v>
      </c>
    </row>
    <row r="53" spans="1:4" x14ac:dyDescent="0.35">
      <c r="A53">
        <v>2025</v>
      </c>
      <c r="B53">
        <v>2</v>
      </c>
      <c r="C53">
        <v>49</v>
      </c>
      <c r="D53" t="s">
        <v>223</v>
      </c>
    </row>
    <row r="54" spans="1:4" x14ac:dyDescent="0.35">
      <c r="A54">
        <v>2025</v>
      </c>
      <c r="B54">
        <v>2</v>
      </c>
      <c r="C54">
        <v>50</v>
      </c>
      <c r="D54" t="s">
        <v>223</v>
      </c>
    </row>
    <row r="55" spans="1:4" x14ac:dyDescent="0.35">
      <c r="A55">
        <v>2025</v>
      </c>
      <c r="B55">
        <v>2</v>
      </c>
      <c r="C55">
        <v>51</v>
      </c>
      <c r="D55" t="s">
        <v>224</v>
      </c>
    </row>
    <row r="56" spans="1:4" x14ac:dyDescent="0.35">
      <c r="A56">
        <v>2025</v>
      </c>
      <c r="B56">
        <v>2</v>
      </c>
      <c r="C56">
        <v>52</v>
      </c>
      <c r="D56" t="s">
        <v>224</v>
      </c>
    </row>
    <row r="57" spans="1:4" x14ac:dyDescent="0.35">
      <c r="A57">
        <v>2025</v>
      </c>
      <c r="B57">
        <v>2</v>
      </c>
      <c r="C57">
        <v>53</v>
      </c>
      <c r="D57" t="s">
        <v>223</v>
      </c>
    </row>
    <row r="58" spans="1:4" x14ac:dyDescent="0.35">
      <c r="A58">
        <v>2025</v>
      </c>
      <c r="B58">
        <v>2</v>
      </c>
      <c r="C58">
        <v>54</v>
      </c>
      <c r="D58" t="s">
        <v>223</v>
      </c>
    </row>
    <row r="59" spans="1:4" x14ac:dyDescent="0.35">
      <c r="A59">
        <v>2025</v>
      </c>
      <c r="B59">
        <v>2</v>
      </c>
      <c r="C59">
        <v>55</v>
      </c>
      <c r="D59" t="s">
        <v>223</v>
      </c>
    </row>
    <row r="60" spans="1:4" x14ac:dyDescent="0.35">
      <c r="A60">
        <v>2025</v>
      </c>
      <c r="B60">
        <v>2</v>
      </c>
      <c r="C60">
        <v>56</v>
      </c>
      <c r="D60" t="s">
        <v>223</v>
      </c>
    </row>
    <row r="61" spans="1:4" x14ac:dyDescent="0.35">
      <c r="A61">
        <v>2025</v>
      </c>
      <c r="B61">
        <v>2</v>
      </c>
      <c r="C61">
        <v>57</v>
      </c>
      <c r="D61" t="s">
        <v>223</v>
      </c>
    </row>
    <row r="62" spans="1:4" x14ac:dyDescent="0.35">
      <c r="A62">
        <v>2025</v>
      </c>
      <c r="B62">
        <v>2</v>
      </c>
      <c r="C62">
        <v>58</v>
      </c>
      <c r="D62" t="s">
        <v>224</v>
      </c>
    </row>
    <row r="63" spans="1:4" x14ac:dyDescent="0.35">
      <c r="A63">
        <v>2025</v>
      </c>
      <c r="B63">
        <v>2</v>
      </c>
      <c r="C63">
        <v>59</v>
      </c>
      <c r="D63" t="s">
        <v>224</v>
      </c>
    </row>
    <row r="64" spans="1:4" x14ac:dyDescent="0.35">
      <c r="A64">
        <v>2025</v>
      </c>
      <c r="B64">
        <v>2</v>
      </c>
      <c r="C64">
        <v>60</v>
      </c>
      <c r="D64" t="s">
        <v>224</v>
      </c>
    </row>
    <row r="65" spans="1:4" x14ac:dyDescent="0.35">
      <c r="A65">
        <v>2025</v>
      </c>
      <c r="B65">
        <v>2</v>
      </c>
      <c r="C65">
        <v>61</v>
      </c>
      <c r="D65" t="s">
        <v>224</v>
      </c>
    </row>
    <row r="66" spans="1:4" x14ac:dyDescent="0.35">
      <c r="A66">
        <v>2025</v>
      </c>
      <c r="B66">
        <v>3</v>
      </c>
      <c r="C66">
        <v>62</v>
      </c>
      <c r="D66" t="s">
        <v>223</v>
      </c>
    </row>
    <row r="67" spans="1:4" x14ac:dyDescent="0.35">
      <c r="A67">
        <v>2025</v>
      </c>
      <c r="B67">
        <v>3</v>
      </c>
      <c r="C67">
        <v>63</v>
      </c>
      <c r="D67" t="s">
        <v>223</v>
      </c>
    </row>
    <row r="68" spans="1:4" x14ac:dyDescent="0.35">
      <c r="A68">
        <v>2025</v>
      </c>
      <c r="B68">
        <v>3</v>
      </c>
      <c r="C68">
        <v>64</v>
      </c>
      <c r="D68" t="s">
        <v>223</v>
      </c>
    </row>
    <row r="69" spans="1:4" x14ac:dyDescent="0.35">
      <c r="A69">
        <v>2025</v>
      </c>
      <c r="B69">
        <v>3</v>
      </c>
      <c r="C69">
        <v>65</v>
      </c>
      <c r="D69" t="s">
        <v>223</v>
      </c>
    </row>
    <row r="70" spans="1:4" x14ac:dyDescent="0.35">
      <c r="A70">
        <v>2025</v>
      </c>
      <c r="B70">
        <v>3</v>
      </c>
      <c r="C70">
        <v>66</v>
      </c>
      <c r="D70" t="s">
        <v>223</v>
      </c>
    </row>
    <row r="71" spans="1:4" x14ac:dyDescent="0.35">
      <c r="A71">
        <v>2025</v>
      </c>
      <c r="B71">
        <v>3</v>
      </c>
      <c r="C71">
        <v>67</v>
      </c>
      <c r="D71" t="s">
        <v>224</v>
      </c>
    </row>
    <row r="72" spans="1:4" x14ac:dyDescent="0.35">
      <c r="A72">
        <v>2025</v>
      </c>
      <c r="B72">
        <v>3</v>
      </c>
      <c r="C72">
        <v>68</v>
      </c>
      <c r="D72" t="s">
        <v>224</v>
      </c>
    </row>
    <row r="73" spans="1:4" x14ac:dyDescent="0.35">
      <c r="A73">
        <v>2025</v>
      </c>
      <c r="B73">
        <v>3</v>
      </c>
      <c r="C73">
        <v>69</v>
      </c>
      <c r="D73" t="s">
        <v>223</v>
      </c>
    </row>
    <row r="74" spans="1:4" x14ac:dyDescent="0.35">
      <c r="A74">
        <v>2025</v>
      </c>
      <c r="B74">
        <v>3</v>
      </c>
      <c r="C74">
        <v>70</v>
      </c>
      <c r="D74" t="s">
        <v>223</v>
      </c>
    </row>
    <row r="75" spans="1:4" x14ac:dyDescent="0.35">
      <c r="A75">
        <v>2025</v>
      </c>
      <c r="B75">
        <v>3</v>
      </c>
      <c r="C75">
        <v>71</v>
      </c>
      <c r="D75" t="s">
        <v>223</v>
      </c>
    </row>
    <row r="76" spans="1:4" x14ac:dyDescent="0.35">
      <c r="A76">
        <v>2025</v>
      </c>
      <c r="B76">
        <v>3</v>
      </c>
      <c r="C76">
        <v>72</v>
      </c>
      <c r="D76" t="s">
        <v>223</v>
      </c>
    </row>
    <row r="77" spans="1:4" x14ac:dyDescent="0.35">
      <c r="A77">
        <v>2025</v>
      </c>
      <c r="B77">
        <v>3</v>
      </c>
      <c r="C77">
        <v>73</v>
      </c>
      <c r="D77" t="s">
        <v>223</v>
      </c>
    </row>
    <row r="78" spans="1:4" x14ac:dyDescent="0.35">
      <c r="A78">
        <v>2025</v>
      </c>
      <c r="B78">
        <v>3</v>
      </c>
      <c r="C78">
        <v>74</v>
      </c>
      <c r="D78" t="s">
        <v>224</v>
      </c>
    </row>
    <row r="79" spans="1:4" x14ac:dyDescent="0.35">
      <c r="A79">
        <v>2025</v>
      </c>
      <c r="B79">
        <v>3</v>
      </c>
      <c r="C79">
        <v>75</v>
      </c>
      <c r="D79" t="s">
        <v>224</v>
      </c>
    </row>
    <row r="80" spans="1:4" x14ac:dyDescent="0.35">
      <c r="A80">
        <v>2025</v>
      </c>
      <c r="B80">
        <v>3</v>
      </c>
      <c r="C80">
        <v>76</v>
      </c>
      <c r="D80" t="s">
        <v>223</v>
      </c>
    </row>
    <row r="81" spans="1:4" x14ac:dyDescent="0.35">
      <c r="A81">
        <v>2025</v>
      </c>
      <c r="B81">
        <v>3</v>
      </c>
      <c r="C81">
        <v>77</v>
      </c>
      <c r="D81" t="s">
        <v>223</v>
      </c>
    </row>
    <row r="82" spans="1:4" x14ac:dyDescent="0.35">
      <c r="A82">
        <v>2025</v>
      </c>
      <c r="B82">
        <v>3</v>
      </c>
      <c r="C82">
        <v>78</v>
      </c>
      <c r="D82" t="s">
        <v>223</v>
      </c>
    </row>
    <row r="83" spans="1:4" x14ac:dyDescent="0.35">
      <c r="A83">
        <v>2025</v>
      </c>
      <c r="B83">
        <v>3</v>
      </c>
      <c r="C83">
        <v>79</v>
      </c>
      <c r="D83" t="s">
        <v>223</v>
      </c>
    </row>
    <row r="84" spans="1:4" x14ac:dyDescent="0.35">
      <c r="A84">
        <v>2025</v>
      </c>
      <c r="B84">
        <v>3</v>
      </c>
      <c r="C84">
        <v>80</v>
      </c>
      <c r="D84" t="s">
        <v>223</v>
      </c>
    </row>
    <row r="85" spans="1:4" x14ac:dyDescent="0.35">
      <c r="A85">
        <v>2025</v>
      </c>
      <c r="B85">
        <v>3</v>
      </c>
      <c r="C85">
        <v>81</v>
      </c>
      <c r="D85" t="s">
        <v>224</v>
      </c>
    </row>
    <row r="86" spans="1:4" x14ac:dyDescent="0.35">
      <c r="A86">
        <v>2025</v>
      </c>
      <c r="B86">
        <v>3</v>
      </c>
      <c r="C86">
        <v>82</v>
      </c>
      <c r="D86" t="s">
        <v>224</v>
      </c>
    </row>
    <row r="87" spans="1:4" x14ac:dyDescent="0.35">
      <c r="A87">
        <v>2025</v>
      </c>
      <c r="B87">
        <v>3</v>
      </c>
      <c r="C87">
        <v>83</v>
      </c>
      <c r="D87" t="s">
        <v>223</v>
      </c>
    </row>
    <row r="88" spans="1:4" x14ac:dyDescent="0.35">
      <c r="A88">
        <v>2025</v>
      </c>
      <c r="B88">
        <v>3</v>
      </c>
      <c r="C88">
        <v>84</v>
      </c>
      <c r="D88" t="s">
        <v>223</v>
      </c>
    </row>
    <row r="89" spans="1:4" x14ac:dyDescent="0.35">
      <c r="A89">
        <v>2025</v>
      </c>
      <c r="B89">
        <v>3</v>
      </c>
      <c r="C89">
        <v>85</v>
      </c>
      <c r="D89" t="s">
        <v>223</v>
      </c>
    </row>
    <row r="90" spans="1:4" x14ac:dyDescent="0.35">
      <c r="A90">
        <v>2025</v>
      </c>
      <c r="B90">
        <v>3</v>
      </c>
      <c r="C90">
        <v>86</v>
      </c>
      <c r="D90" t="s">
        <v>223</v>
      </c>
    </row>
    <row r="91" spans="1:4" x14ac:dyDescent="0.35">
      <c r="A91">
        <v>2025</v>
      </c>
      <c r="B91">
        <v>3</v>
      </c>
      <c r="C91">
        <v>87</v>
      </c>
      <c r="D91" t="s">
        <v>223</v>
      </c>
    </row>
    <row r="92" spans="1:4" x14ac:dyDescent="0.35">
      <c r="A92">
        <v>2025</v>
      </c>
      <c r="B92">
        <v>3</v>
      </c>
      <c r="C92">
        <v>88</v>
      </c>
      <c r="D92" t="s">
        <v>224</v>
      </c>
    </row>
    <row r="93" spans="1:4" x14ac:dyDescent="0.35">
      <c r="A93">
        <v>2025</v>
      </c>
      <c r="B93">
        <v>3</v>
      </c>
      <c r="C93">
        <v>89</v>
      </c>
      <c r="D93" t="s">
        <v>224</v>
      </c>
    </row>
    <row r="94" spans="1:4" x14ac:dyDescent="0.35">
      <c r="A94">
        <v>2025</v>
      </c>
      <c r="B94">
        <v>3</v>
      </c>
      <c r="C94">
        <v>90</v>
      </c>
      <c r="D94" t="s">
        <v>224</v>
      </c>
    </row>
    <row r="95" spans="1:4" x14ac:dyDescent="0.35">
      <c r="A95">
        <v>2025</v>
      </c>
      <c r="B95">
        <v>3</v>
      </c>
      <c r="C95">
        <v>91</v>
      </c>
      <c r="D95" t="s">
        <v>224</v>
      </c>
    </row>
    <row r="96" spans="1:4" x14ac:dyDescent="0.35">
      <c r="A96">
        <v>2025</v>
      </c>
      <c r="B96">
        <v>4</v>
      </c>
      <c r="C96">
        <v>92</v>
      </c>
      <c r="D96" t="s">
        <v>223</v>
      </c>
    </row>
    <row r="97" spans="1:4" x14ac:dyDescent="0.35">
      <c r="A97">
        <v>2025</v>
      </c>
      <c r="B97">
        <v>4</v>
      </c>
      <c r="C97">
        <v>93</v>
      </c>
      <c r="D97" t="s">
        <v>223</v>
      </c>
    </row>
    <row r="98" spans="1:4" x14ac:dyDescent="0.35">
      <c r="A98">
        <v>2025</v>
      </c>
      <c r="B98">
        <v>4</v>
      </c>
      <c r="C98">
        <v>94</v>
      </c>
      <c r="D98" t="s">
        <v>224</v>
      </c>
    </row>
    <row r="99" spans="1:4" x14ac:dyDescent="0.35">
      <c r="A99">
        <v>2025</v>
      </c>
      <c r="B99">
        <v>4</v>
      </c>
      <c r="C99">
        <v>95</v>
      </c>
      <c r="D99" t="s">
        <v>224</v>
      </c>
    </row>
    <row r="100" spans="1:4" x14ac:dyDescent="0.35">
      <c r="A100">
        <v>2025</v>
      </c>
      <c r="B100">
        <v>4</v>
      </c>
      <c r="C100">
        <v>96</v>
      </c>
      <c r="D100" t="s">
        <v>223</v>
      </c>
    </row>
    <row r="101" spans="1:4" x14ac:dyDescent="0.35">
      <c r="A101">
        <v>2025</v>
      </c>
      <c r="B101">
        <v>4</v>
      </c>
      <c r="C101">
        <v>97</v>
      </c>
      <c r="D101" t="s">
        <v>223</v>
      </c>
    </row>
    <row r="102" spans="1:4" x14ac:dyDescent="0.35">
      <c r="A102">
        <v>2025</v>
      </c>
      <c r="B102">
        <v>4</v>
      </c>
      <c r="C102">
        <v>98</v>
      </c>
      <c r="D102" t="s">
        <v>223</v>
      </c>
    </row>
    <row r="103" spans="1:4" x14ac:dyDescent="0.35">
      <c r="A103">
        <v>2025</v>
      </c>
      <c r="B103">
        <v>4</v>
      </c>
      <c r="C103">
        <v>99</v>
      </c>
      <c r="D103" t="s">
        <v>223</v>
      </c>
    </row>
    <row r="104" spans="1:4" x14ac:dyDescent="0.35">
      <c r="A104">
        <v>2025</v>
      </c>
      <c r="B104">
        <v>4</v>
      </c>
      <c r="C104">
        <v>100</v>
      </c>
      <c r="D104" t="s">
        <v>223</v>
      </c>
    </row>
    <row r="105" spans="1:4" x14ac:dyDescent="0.35">
      <c r="A105">
        <v>2025</v>
      </c>
      <c r="B105">
        <v>4</v>
      </c>
      <c r="C105">
        <v>101</v>
      </c>
      <c r="D105" t="s">
        <v>224</v>
      </c>
    </row>
    <row r="106" spans="1:4" x14ac:dyDescent="0.35">
      <c r="A106">
        <v>2025</v>
      </c>
      <c r="B106">
        <v>4</v>
      </c>
      <c r="C106">
        <v>102</v>
      </c>
      <c r="D106" t="s">
        <v>224</v>
      </c>
    </row>
    <row r="107" spans="1:4" x14ac:dyDescent="0.35">
      <c r="A107">
        <v>2025</v>
      </c>
      <c r="B107">
        <v>4</v>
      </c>
      <c r="C107">
        <v>103</v>
      </c>
      <c r="D107" t="s">
        <v>223</v>
      </c>
    </row>
    <row r="108" spans="1:4" x14ac:dyDescent="0.35">
      <c r="A108">
        <v>2025</v>
      </c>
      <c r="B108">
        <v>4</v>
      </c>
      <c r="C108">
        <v>104</v>
      </c>
      <c r="D108" t="s">
        <v>223</v>
      </c>
    </row>
    <row r="109" spans="1:4" x14ac:dyDescent="0.35">
      <c r="A109">
        <v>2025</v>
      </c>
      <c r="B109">
        <v>4</v>
      </c>
      <c r="C109">
        <v>105</v>
      </c>
      <c r="D109" t="s">
        <v>223</v>
      </c>
    </row>
    <row r="110" spans="1:4" x14ac:dyDescent="0.35">
      <c r="A110">
        <v>2025</v>
      </c>
      <c r="B110">
        <v>4</v>
      </c>
      <c r="C110">
        <v>106</v>
      </c>
      <c r="D110" t="s">
        <v>223</v>
      </c>
    </row>
    <row r="111" spans="1:4" x14ac:dyDescent="0.35">
      <c r="A111">
        <v>2025</v>
      </c>
      <c r="B111">
        <v>4</v>
      </c>
      <c r="C111">
        <v>107</v>
      </c>
      <c r="D111" t="s">
        <v>223</v>
      </c>
    </row>
    <row r="112" spans="1:4" x14ac:dyDescent="0.35">
      <c r="A112">
        <v>2025</v>
      </c>
      <c r="B112">
        <v>4</v>
      </c>
      <c r="C112">
        <v>108</v>
      </c>
      <c r="D112" t="s">
        <v>224</v>
      </c>
    </row>
    <row r="113" spans="1:4" x14ac:dyDescent="0.35">
      <c r="A113">
        <v>2025</v>
      </c>
      <c r="B113">
        <v>4</v>
      </c>
      <c r="C113">
        <v>109</v>
      </c>
      <c r="D113" t="s">
        <v>224</v>
      </c>
    </row>
    <row r="114" spans="1:4" x14ac:dyDescent="0.35">
      <c r="A114">
        <v>2025</v>
      </c>
      <c r="B114">
        <v>4</v>
      </c>
      <c r="C114">
        <v>110</v>
      </c>
      <c r="D114" t="s">
        <v>223</v>
      </c>
    </row>
    <row r="115" spans="1:4" x14ac:dyDescent="0.35">
      <c r="A115">
        <v>2025</v>
      </c>
      <c r="B115">
        <v>4</v>
      </c>
      <c r="C115">
        <v>111</v>
      </c>
      <c r="D115" t="s">
        <v>223</v>
      </c>
    </row>
    <row r="116" spans="1:4" x14ac:dyDescent="0.35">
      <c r="A116">
        <v>2025</v>
      </c>
      <c r="B116">
        <v>4</v>
      </c>
      <c r="C116">
        <v>112</v>
      </c>
      <c r="D116" t="s">
        <v>223</v>
      </c>
    </row>
    <row r="117" spans="1:4" x14ac:dyDescent="0.35">
      <c r="A117">
        <v>2025</v>
      </c>
      <c r="B117">
        <v>4</v>
      </c>
      <c r="C117">
        <v>113</v>
      </c>
      <c r="D117" t="s">
        <v>223</v>
      </c>
    </row>
    <row r="118" spans="1:4" x14ac:dyDescent="0.35">
      <c r="A118">
        <v>2025</v>
      </c>
      <c r="B118">
        <v>4</v>
      </c>
      <c r="C118">
        <v>114</v>
      </c>
      <c r="D118" t="s">
        <v>223</v>
      </c>
    </row>
    <row r="119" spans="1:4" x14ac:dyDescent="0.35">
      <c r="A119">
        <v>2025</v>
      </c>
      <c r="B119">
        <v>4</v>
      </c>
      <c r="C119">
        <v>115</v>
      </c>
      <c r="D119" t="s">
        <v>224</v>
      </c>
    </row>
    <row r="120" spans="1:4" x14ac:dyDescent="0.35">
      <c r="A120">
        <v>2025</v>
      </c>
      <c r="B120">
        <v>4</v>
      </c>
      <c r="C120">
        <v>116</v>
      </c>
      <c r="D120" t="s">
        <v>224</v>
      </c>
    </row>
    <row r="121" spans="1:4" x14ac:dyDescent="0.35">
      <c r="A121">
        <v>2025</v>
      </c>
      <c r="B121">
        <v>4</v>
      </c>
      <c r="C121">
        <v>117</v>
      </c>
      <c r="D121" t="s">
        <v>223</v>
      </c>
    </row>
    <row r="122" spans="1:4" x14ac:dyDescent="0.35">
      <c r="A122">
        <v>2025</v>
      </c>
      <c r="B122">
        <v>4</v>
      </c>
      <c r="C122">
        <v>118</v>
      </c>
      <c r="D122" t="s">
        <v>223</v>
      </c>
    </row>
    <row r="123" spans="1:4" x14ac:dyDescent="0.35">
      <c r="A123">
        <v>2025</v>
      </c>
      <c r="B123">
        <v>4</v>
      </c>
      <c r="C123">
        <v>119</v>
      </c>
      <c r="D123" t="s">
        <v>223</v>
      </c>
    </row>
    <row r="124" spans="1:4" x14ac:dyDescent="0.35">
      <c r="A124">
        <v>2025</v>
      </c>
      <c r="B124">
        <v>4</v>
      </c>
      <c r="C124">
        <v>120</v>
      </c>
      <c r="D124" t="s">
        <v>223</v>
      </c>
    </row>
    <row r="125" spans="1:4" x14ac:dyDescent="0.35">
      <c r="A125">
        <v>2025</v>
      </c>
      <c r="B125">
        <v>4</v>
      </c>
      <c r="C125">
        <v>121</v>
      </c>
      <c r="D125" t="s">
        <v>223</v>
      </c>
    </row>
    <row r="126" spans="1:4" x14ac:dyDescent="0.35">
      <c r="A126">
        <v>2025</v>
      </c>
      <c r="B126">
        <v>4</v>
      </c>
      <c r="C126">
        <v>122</v>
      </c>
      <c r="D126" t="s">
        <v>223</v>
      </c>
    </row>
    <row r="127" spans="1:4" x14ac:dyDescent="0.35">
      <c r="A127">
        <v>2025</v>
      </c>
      <c r="B127">
        <v>5</v>
      </c>
      <c r="C127">
        <v>123</v>
      </c>
      <c r="D127" t="s">
        <v>224</v>
      </c>
    </row>
    <row r="128" spans="1:4" x14ac:dyDescent="0.35">
      <c r="A128">
        <v>2025</v>
      </c>
      <c r="B128">
        <v>5</v>
      </c>
      <c r="C128">
        <v>124</v>
      </c>
      <c r="D128" t="s">
        <v>223</v>
      </c>
    </row>
    <row r="129" spans="1:4" x14ac:dyDescent="0.35">
      <c r="A129">
        <v>2025</v>
      </c>
      <c r="B129">
        <v>5</v>
      </c>
      <c r="C129">
        <v>125</v>
      </c>
      <c r="D129" t="s">
        <v>223</v>
      </c>
    </row>
    <row r="130" spans="1:4" x14ac:dyDescent="0.35">
      <c r="A130">
        <v>2025</v>
      </c>
      <c r="B130">
        <v>5</v>
      </c>
      <c r="C130">
        <v>126</v>
      </c>
      <c r="D130" t="s">
        <v>223</v>
      </c>
    </row>
    <row r="131" spans="1:4" x14ac:dyDescent="0.35">
      <c r="A131">
        <v>2025</v>
      </c>
      <c r="B131">
        <v>5</v>
      </c>
      <c r="C131">
        <v>127</v>
      </c>
      <c r="D131" t="s">
        <v>223</v>
      </c>
    </row>
    <row r="132" spans="1:4" x14ac:dyDescent="0.35">
      <c r="A132">
        <v>2025</v>
      </c>
      <c r="B132">
        <v>5</v>
      </c>
      <c r="C132">
        <v>128</v>
      </c>
      <c r="D132" t="s">
        <v>223</v>
      </c>
    </row>
    <row r="133" spans="1:4" x14ac:dyDescent="0.35">
      <c r="A133">
        <v>2025</v>
      </c>
      <c r="B133">
        <v>5</v>
      </c>
      <c r="C133">
        <v>129</v>
      </c>
      <c r="D133" t="s">
        <v>224</v>
      </c>
    </row>
    <row r="134" spans="1:4" x14ac:dyDescent="0.35">
      <c r="A134">
        <v>2025</v>
      </c>
      <c r="B134">
        <v>5</v>
      </c>
      <c r="C134">
        <v>130</v>
      </c>
      <c r="D134" t="s">
        <v>224</v>
      </c>
    </row>
    <row r="135" spans="1:4" x14ac:dyDescent="0.35">
      <c r="A135">
        <v>2025</v>
      </c>
      <c r="B135">
        <v>5</v>
      </c>
      <c r="C135">
        <v>131</v>
      </c>
      <c r="D135" t="s">
        <v>223</v>
      </c>
    </row>
    <row r="136" spans="1:4" x14ac:dyDescent="0.35">
      <c r="A136">
        <v>2025</v>
      </c>
      <c r="B136">
        <v>5</v>
      </c>
      <c r="C136">
        <v>132</v>
      </c>
      <c r="D136" t="s">
        <v>223</v>
      </c>
    </row>
    <row r="137" spans="1:4" x14ac:dyDescent="0.35">
      <c r="A137">
        <v>2025</v>
      </c>
      <c r="B137">
        <v>5</v>
      </c>
      <c r="C137">
        <v>133</v>
      </c>
      <c r="D137" t="s">
        <v>223</v>
      </c>
    </row>
    <row r="138" spans="1:4" x14ac:dyDescent="0.35">
      <c r="A138">
        <v>2025</v>
      </c>
      <c r="B138">
        <v>5</v>
      </c>
      <c r="C138">
        <v>134</v>
      </c>
      <c r="D138" t="s">
        <v>223</v>
      </c>
    </row>
    <row r="139" spans="1:4" x14ac:dyDescent="0.35">
      <c r="A139">
        <v>2025</v>
      </c>
      <c r="B139">
        <v>5</v>
      </c>
      <c r="C139">
        <v>135</v>
      </c>
      <c r="D139" t="s">
        <v>223</v>
      </c>
    </row>
    <row r="140" spans="1:4" x14ac:dyDescent="0.35">
      <c r="A140">
        <v>2025</v>
      </c>
      <c r="B140">
        <v>5</v>
      </c>
      <c r="C140">
        <v>136</v>
      </c>
      <c r="D140" t="s">
        <v>224</v>
      </c>
    </row>
    <row r="141" spans="1:4" x14ac:dyDescent="0.35">
      <c r="A141">
        <v>2025</v>
      </c>
      <c r="B141">
        <v>5</v>
      </c>
      <c r="C141">
        <v>137</v>
      </c>
      <c r="D141" t="s">
        <v>224</v>
      </c>
    </row>
    <row r="142" spans="1:4" x14ac:dyDescent="0.35">
      <c r="A142">
        <v>2025</v>
      </c>
      <c r="B142">
        <v>5</v>
      </c>
      <c r="C142">
        <v>138</v>
      </c>
      <c r="D142" t="s">
        <v>223</v>
      </c>
    </row>
    <row r="143" spans="1:4" x14ac:dyDescent="0.35">
      <c r="A143">
        <v>2025</v>
      </c>
      <c r="B143">
        <v>5</v>
      </c>
      <c r="C143">
        <v>139</v>
      </c>
      <c r="D143" t="s">
        <v>223</v>
      </c>
    </row>
    <row r="144" spans="1:4" x14ac:dyDescent="0.35">
      <c r="A144">
        <v>2025</v>
      </c>
      <c r="B144">
        <v>5</v>
      </c>
      <c r="C144">
        <v>140</v>
      </c>
      <c r="D144" t="s">
        <v>223</v>
      </c>
    </row>
    <row r="145" spans="1:4" x14ac:dyDescent="0.35">
      <c r="A145">
        <v>2025</v>
      </c>
      <c r="B145">
        <v>5</v>
      </c>
      <c r="C145">
        <v>141</v>
      </c>
      <c r="D145" t="s">
        <v>223</v>
      </c>
    </row>
    <row r="146" spans="1:4" x14ac:dyDescent="0.35">
      <c r="A146">
        <v>2025</v>
      </c>
      <c r="B146">
        <v>5</v>
      </c>
      <c r="C146">
        <v>142</v>
      </c>
      <c r="D146" t="s">
        <v>223</v>
      </c>
    </row>
    <row r="147" spans="1:4" x14ac:dyDescent="0.35">
      <c r="A147">
        <v>2025</v>
      </c>
      <c r="B147">
        <v>5</v>
      </c>
      <c r="C147">
        <v>143</v>
      </c>
      <c r="D147" t="s">
        <v>224</v>
      </c>
    </row>
    <row r="148" spans="1:4" x14ac:dyDescent="0.35">
      <c r="A148">
        <v>2025</v>
      </c>
      <c r="B148">
        <v>5</v>
      </c>
      <c r="C148">
        <v>144</v>
      </c>
      <c r="D148" t="s">
        <v>224</v>
      </c>
    </row>
    <row r="149" spans="1:4" x14ac:dyDescent="0.35">
      <c r="A149">
        <v>2025</v>
      </c>
      <c r="B149">
        <v>5</v>
      </c>
      <c r="C149">
        <v>145</v>
      </c>
      <c r="D149" t="s">
        <v>223</v>
      </c>
    </row>
    <row r="150" spans="1:4" x14ac:dyDescent="0.35">
      <c r="A150">
        <v>2025</v>
      </c>
      <c r="B150">
        <v>5</v>
      </c>
      <c r="C150">
        <v>146</v>
      </c>
      <c r="D150" t="s">
        <v>223</v>
      </c>
    </row>
    <row r="151" spans="1:4" x14ac:dyDescent="0.35">
      <c r="A151">
        <v>2025</v>
      </c>
      <c r="B151">
        <v>5</v>
      </c>
      <c r="C151">
        <v>147</v>
      </c>
      <c r="D151" t="s">
        <v>223</v>
      </c>
    </row>
    <row r="152" spans="1:4" x14ac:dyDescent="0.35">
      <c r="A152">
        <v>2025</v>
      </c>
      <c r="B152">
        <v>5</v>
      </c>
      <c r="C152">
        <v>148</v>
      </c>
      <c r="D152" t="s">
        <v>223</v>
      </c>
    </row>
    <row r="153" spans="1:4" x14ac:dyDescent="0.35">
      <c r="A153">
        <v>2025</v>
      </c>
      <c r="B153">
        <v>5</v>
      </c>
      <c r="C153">
        <v>149</v>
      </c>
      <c r="D153" t="s">
        <v>223</v>
      </c>
    </row>
    <row r="154" spans="1:4" x14ac:dyDescent="0.35">
      <c r="A154">
        <v>2025</v>
      </c>
      <c r="B154">
        <v>5</v>
      </c>
      <c r="C154">
        <v>150</v>
      </c>
      <c r="D154" t="s">
        <v>223</v>
      </c>
    </row>
    <row r="155" spans="1:4" x14ac:dyDescent="0.35">
      <c r="A155">
        <v>2025</v>
      </c>
      <c r="B155">
        <v>5</v>
      </c>
      <c r="C155">
        <v>151</v>
      </c>
      <c r="D155" t="s">
        <v>223</v>
      </c>
    </row>
    <row r="156" spans="1:4" x14ac:dyDescent="0.35">
      <c r="A156">
        <v>2025</v>
      </c>
      <c r="B156">
        <v>5</v>
      </c>
      <c r="C156">
        <v>152</v>
      </c>
      <c r="D156" t="s">
        <v>224</v>
      </c>
    </row>
    <row r="157" spans="1:4" x14ac:dyDescent="0.35">
      <c r="A157">
        <v>2025</v>
      </c>
      <c r="B157">
        <v>6</v>
      </c>
      <c r="C157">
        <v>153</v>
      </c>
      <c r="D157" t="s">
        <v>223</v>
      </c>
    </row>
    <row r="158" spans="1:4" x14ac:dyDescent="0.35">
      <c r="A158">
        <v>2025</v>
      </c>
      <c r="B158">
        <v>6</v>
      </c>
      <c r="C158">
        <v>154</v>
      </c>
      <c r="D158" t="s">
        <v>223</v>
      </c>
    </row>
    <row r="159" spans="1:4" x14ac:dyDescent="0.35">
      <c r="A159">
        <v>2025</v>
      </c>
      <c r="B159">
        <v>6</v>
      </c>
      <c r="C159">
        <v>155</v>
      </c>
      <c r="D159" t="s">
        <v>223</v>
      </c>
    </row>
    <row r="160" spans="1:4" x14ac:dyDescent="0.35">
      <c r="A160">
        <v>2025</v>
      </c>
      <c r="B160">
        <v>6</v>
      </c>
      <c r="C160">
        <v>156</v>
      </c>
      <c r="D160" t="s">
        <v>224</v>
      </c>
    </row>
    <row r="161" spans="1:4" x14ac:dyDescent="0.35">
      <c r="A161">
        <v>2025</v>
      </c>
      <c r="B161">
        <v>6</v>
      </c>
      <c r="C161">
        <v>157</v>
      </c>
      <c r="D161" t="s">
        <v>224</v>
      </c>
    </row>
    <row r="162" spans="1:4" x14ac:dyDescent="0.35">
      <c r="A162">
        <v>2025</v>
      </c>
      <c r="B162">
        <v>6</v>
      </c>
      <c r="C162">
        <v>158</v>
      </c>
      <c r="D162" t="s">
        <v>223</v>
      </c>
    </row>
    <row r="163" spans="1:4" x14ac:dyDescent="0.35">
      <c r="A163">
        <v>2025</v>
      </c>
      <c r="B163">
        <v>6</v>
      </c>
      <c r="C163">
        <v>159</v>
      </c>
      <c r="D163" t="s">
        <v>223</v>
      </c>
    </row>
    <row r="164" spans="1:4" x14ac:dyDescent="0.35">
      <c r="A164">
        <v>2025</v>
      </c>
      <c r="B164">
        <v>6</v>
      </c>
      <c r="C164">
        <v>160</v>
      </c>
      <c r="D164" t="s">
        <v>223</v>
      </c>
    </row>
    <row r="165" spans="1:4" x14ac:dyDescent="0.35">
      <c r="A165">
        <v>2025</v>
      </c>
      <c r="B165">
        <v>6</v>
      </c>
      <c r="C165">
        <v>161</v>
      </c>
      <c r="D165" t="s">
        <v>223</v>
      </c>
    </row>
    <row r="166" spans="1:4" x14ac:dyDescent="0.35">
      <c r="A166">
        <v>2025</v>
      </c>
      <c r="B166">
        <v>6</v>
      </c>
      <c r="C166">
        <v>162</v>
      </c>
      <c r="D166" t="s">
        <v>223</v>
      </c>
    </row>
    <row r="167" spans="1:4" x14ac:dyDescent="0.35">
      <c r="A167">
        <v>2025</v>
      </c>
      <c r="B167">
        <v>6</v>
      </c>
      <c r="C167">
        <v>163</v>
      </c>
      <c r="D167" t="s">
        <v>224</v>
      </c>
    </row>
    <row r="168" spans="1:4" x14ac:dyDescent="0.35">
      <c r="A168">
        <v>2025</v>
      </c>
      <c r="B168">
        <v>6</v>
      </c>
      <c r="C168">
        <v>164</v>
      </c>
      <c r="D168" t="s">
        <v>224</v>
      </c>
    </row>
    <row r="169" spans="1:4" x14ac:dyDescent="0.35">
      <c r="A169">
        <v>2025</v>
      </c>
      <c r="B169">
        <v>6</v>
      </c>
      <c r="C169">
        <v>165</v>
      </c>
      <c r="D169" t="s">
        <v>223</v>
      </c>
    </row>
    <row r="170" spans="1:4" x14ac:dyDescent="0.35">
      <c r="A170">
        <v>2025</v>
      </c>
      <c r="B170">
        <v>6</v>
      </c>
      <c r="C170">
        <v>166</v>
      </c>
      <c r="D170" t="s">
        <v>223</v>
      </c>
    </row>
    <row r="171" spans="1:4" x14ac:dyDescent="0.35">
      <c r="A171">
        <v>2025</v>
      </c>
      <c r="B171">
        <v>6</v>
      </c>
      <c r="C171">
        <v>167</v>
      </c>
      <c r="D171" t="s">
        <v>223</v>
      </c>
    </row>
    <row r="172" spans="1:4" x14ac:dyDescent="0.35">
      <c r="A172">
        <v>2025</v>
      </c>
      <c r="B172">
        <v>6</v>
      </c>
      <c r="C172">
        <v>168</v>
      </c>
      <c r="D172" t="s">
        <v>223</v>
      </c>
    </row>
    <row r="173" spans="1:4" x14ac:dyDescent="0.35">
      <c r="A173">
        <v>2025</v>
      </c>
      <c r="B173">
        <v>6</v>
      </c>
      <c r="C173">
        <v>169</v>
      </c>
      <c r="D173" t="s">
        <v>223</v>
      </c>
    </row>
    <row r="174" spans="1:4" x14ac:dyDescent="0.35">
      <c r="A174">
        <v>2025</v>
      </c>
      <c r="B174">
        <v>6</v>
      </c>
      <c r="C174">
        <v>170</v>
      </c>
      <c r="D174" t="s">
        <v>224</v>
      </c>
    </row>
    <row r="175" spans="1:4" x14ac:dyDescent="0.35">
      <c r="A175">
        <v>2025</v>
      </c>
      <c r="B175">
        <v>6</v>
      </c>
      <c r="C175">
        <v>171</v>
      </c>
      <c r="D175" t="s">
        <v>224</v>
      </c>
    </row>
    <row r="176" spans="1:4" x14ac:dyDescent="0.35">
      <c r="A176">
        <v>2025</v>
      </c>
      <c r="B176">
        <v>6</v>
      </c>
      <c r="C176">
        <v>172</v>
      </c>
      <c r="D176" t="s">
        <v>223</v>
      </c>
    </row>
    <row r="177" spans="1:4" x14ac:dyDescent="0.35">
      <c r="A177">
        <v>2025</v>
      </c>
      <c r="B177">
        <v>6</v>
      </c>
      <c r="C177">
        <v>173</v>
      </c>
      <c r="D177" t="s">
        <v>223</v>
      </c>
    </row>
    <row r="178" spans="1:4" x14ac:dyDescent="0.35">
      <c r="A178">
        <v>2025</v>
      </c>
      <c r="B178">
        <v>6</v>
      </c>
      <c r="C178">
        <v>174</v>
      </c>
      <c r="D178" t="s">
        <v>223</v>
      </c>
    </row>
    <row r="179" spans="1:4" x14ac:dyDescent="0.35">
      <c r="A179">
        <v>2025</v>
      </c>
      <c r="B179">
        <v>6</v>
      </c>
      <c r="C179">
        <v>175</v>
      </c>
      <c r="D179" t="s">
        <v>223</v>
      </c>
    </row>
    <row r="180" spans="1:4" x14ac:dyDescent="0.35">
      <c r="A180">
        <v>2025</v>
      </c>
      <c r="B180">
        <v>6</v>
      </c>
      <c r="C180">
        <v>176</v>
      </c>
      <c r="D180" t="s">
        <v>223</v>
      </c>
    </row>
    <row r="181" spans="1:4" x14ac:dyDescent="0.35">
      <c r="A181">
        <v>2025</v>
      </c>
      <c r="B181">
        <v>6</v>
      </c>
      <c r="C181">
        <v>177</v>
      </c>
      <c r="D181" t="s">
        <v>224</v>
      </c>
    </row>
    <row r="182" spans="1:4" x14ac:dyDescent="0.35">
      <c r="A182">
        <v>2025</v>
      </c>
      <c r="B182">
        <v>6</v>
      </c>
      <c r="C182">
        <v>178</v>
      </c>
      <c r="D182" t="s">
        <v>224</v>
      </c>
    </row>
    <row r="183" spans="1:4" x14ac:dyDescent="0.35">
      <c r="A183">
        <v>2025</v>
      </c>
      <c r="B183">
        <v>6</v>
      </c>
      <c r="C183">
        <v>179</v>
      </c>
      <c r="D183" t="s">
        <v>223</v>
      </c>
    </row>
    <row r="184" spans="1:4" x14ac:dyDescent="0.35">
      <c r="A184">
        <v>2025</v>
      </c>
      <c r="B184">
        <v>6</v>
      </c>
      <c r="C184">
        <v>180</v>
      </c>
      <c r="D184" t="s">
        <v>224</v>
      </c>
    </row>
    <row r="185" spans="1:4" x14ac:dyDescent="0.35">
      <c r="A185">
        <v>2025</v>
      </c>
      <c r="B185">
        <v>6</v>
      </c>
      <c r="C185">
        <v>181</v>
      </c>
      <c r="D185" t="s">
        <v>223</v>
      </c>
    </row>
    <row r="186" spans="1:4" x14ac:dyDescent="0.35">
      <c r="A186">
        <v>2025</v>
      </c>
      <c r="B186">
        <v>6</v>
      </c>
      <c r="C186">
        <v>182</v>
      </c>
      <c r="D186" t="s">
        <v>223</v>
      </c>
    </row>
    <row r="187" spans="1:4" x14ac:dyDescent="0.35">
      <c r="A187">
        <v>2025</v>
      </c>
      <c r="B187">
        <v>6</v>
      </c>
      <c r="C187">
        <v>183</v>
      </c>
      <c r="D187" t="s">
        <v>223</v>
      </c>
    </row>
    <row r="188" spans="1:4" x14ac:dyDescent="0.35">
      <c r="A188">
        <v>2025</v>
      </c>
      <c r="B188">
        <v>7</v>
      </c>
      <c r="C188">
        <v>184</v>
      </c>
      <c r="D188" t="s">
        <v>224</v>
      </c>
    </row>
    <row r="189" spans="1:4" x14ac:dyDescent="0.35">
      <c r="A189">
        <v>2025</v>
      </c>
      <c r="B189">
        <v>7</v>
      </c>
      <c r="C189">
        <v>185</v>
      </c>
      <c r="D189" t="s">
        <v>224</v>
      </c>
    </row>
    <row r="190" spans="1:4" x14ac:dyDescent="0.35">
      <c r="A190">
        <v>2025</v>
      </c>
      <c r="B190">
        <v>7</v>
      </c>
      <c r="C190">
        <v>186</v>
      </c>
      <c r="D190" t="s">
        <v>223</v>
      </c>
    </row>
    <row r="191" spans="1:4" x14ac:dyDescent="0.35">
      <c r="A191">
        <v>2025</v>
      </c>
      <c r="B191">
        <v>7</v>
      </c>
      <c r="C191">
        <v>187</v>
      </c>
      <c r="D191" t="s">
        <v>223</v>
      </c>
    </row>
    <row r="192" spans="1:4" x14ac:dyDescent="0.35">
      <c r="A192">
        <v>2025</v>
      </c>
      <c r="B192">
        <v>7</v>
      </c>
      <c r="C192">
        <v>188</v>
      </c>
      <c r="D192" t="s">
        <v>223</v>
      </c>
    </row>
    <row r="193" spans="1:4" x14ac:dyDescent="0.35">
      <c r="A193">
        <v>2025</v>
      </c>
      <c r="B193">
        <v>7</v>
      </c>
      <c r="C193">
        <v>189</v>
      </c>
      <c r="D193" t="s">
        <v>223</v>
      </c>
    </row>
    <row r="194" spans="1:4" x14ac:dyDescent="0.35">
      <c r="A194">
        <v>2025</v>
      </c>
      <c r="B194">
        <v>7</v>
      </c>
      <c r="C194">
        <v>190</v>
      </c>
      <c r="D194" t="s">
        <v>223</v>
      </c>
    </row>
    <row r="195" spans="1:4" x14ac:dyDescent="0.35">
      <c r="A195">
        <v>2025</v>
      </c>
      <c r="B195">
        <v>7</v>
      </c>
      <c r="C195">
        <v>191</v>
      </c>
      <c r="D195" t="s">
        <v>224</v>
      </c>
    </row>
    <row r="196" spans="1:4" x14ac:dyDescent="0.35">
      <c r="A196">
        <v>2025</v>
      </c>
      <c r="B196">
        <v>7</v>
      </c>
      <c r="C196">
        <v>192</v>
      </c>
      <c r="D196" t="s">
        <v>224</v>
      </c>
    </row>
    <row r="197" spans="1:4" x14ac:dyDescent="0.35">
      <c r="A197">
        <v>2025</v>
      </c>
      <c r="B197">
        <v>7</v>
      </c>
      <c r="C197">
        <v>193</v>
      </c>
      <c r="D197" t="s">
        <v>223</v>
      </c>
    </row>
    <row r="198" spans="1:4" x14ac:dyDescent="0.35">
      <c r="A198">
        <v>2025</v>
      </c>
      <c r="B198">
        <v>7</v>
      </c>
      <c r="C198">
        <v>194</v>
      </c>
      <c r="D198" t="s">
        <v>223</v>
      </c>
    </row>
    <row r="199" spans="1:4" x14ac:dyDescent="0.35">
      <c r="A199">
        <v>2025</v>
      </c>
      <c r="B199">
        <v>7</v>
      </c>
      <c r="C199">
        <v>195</v>
      </c>
      <c r="D199" t="s">
        <v>223</v>
      </c>
    </row>
    <row r="200" spans="1:4" x14ac:dyDescent="0.35">
      <c r="A200">
        <v>2025</v>
      </c>
      <c r="B200">
        <v>7</v>
      </c>
      <c r="C200">
        <v>196</v>
      </c>
      <c r="D200" t="s">
        <v>223</v>
      </c>
    </row>
    <row r="201" spans="1:4" x14ac:dyDescent="0.35">
      <c r="A201">
        <v>2025</v>
      </c>
      <c r="B201">
        <v>7</v>
      </c>
      <c r="C201">
        <v>197</v>
      </c>
      <c r="D201" t="s">
        <v>223</v>
      </c>
    </row>
    <row r="202" spans="1:4" x14ac:dyDescent="0.35">
      <c r="A202">
        <v>2025</v>
      </c>
      <c r="B202">
        <v>7</v>
      </c>
      <c r="C202">
        <v>198</v>
      </c>
      <c r="D202" t="s">
        <v>224</v>
      </c>
    </row>
    <row r="203" spans="1:4" x14ac:dyDescent="0.35">
      <c r="A203">
        <v>2025</v>
      </c>
      <c r="B203">
        <v>7</v>
      </c>
      <c r="C203">
        <v>199</v>
      </c>
      <c r="D203" t="s">
        <v>224</v>
      </c>
    </row>
    <row r="204" spans="1:4" x14ac:dyDescent="0.35">
      <c r="A204">
        <v>2025</v>
      </c>
      <c r="B204">
        <v>7</v>
      </c>
      <c r="C204">
        <v>200</v>
      </c>
      <c r="D204" t="s">
        <v>223</v>
      </c>
    </row>
    <row r="205" spans="1:4" x14ac:dyDescent="0.35">
      <c r="A205">
        <v>2025</v>
      </c>
      <c r="B205">
        <v>7</v>
      </c>
      <c r="C205">
        <v>201</v>
      </c>
      <c r="D205" t="s">
        <v>223</v>
      </c>
    </row>
    <row r="206" spans="1:4" x14ac:dyDescent="0.35">
      <c r="A206">
        <v>2025</v>
      </c>
      <c r="B206">
        <v>7</v>
      </c>
      <c r="C206">
        <v>202</v>
      </c>
      <c r="D206" t="s">
        <v>223</v>
      </c>
    </row>
    <row r="207" spans="1:4" x14ac:dyDescent="0.35">
      <c r="A207">
        <v>2025</v>
      </c>
      <c r="B207">
        <v>7</v>
      </c>
      <c r="C207">
        <v>203</v>
      </c>
      <c r="D207" t="s">
        <v>223</v>
      </c>
    </row>
    <row r="208" spans="1:4" x14ac:dyDescent="0.35">
      <c r="A208">
        <v>2025</v>
      </c>
      <c r="B208">
        <v>7</v>
      </c>
      <c r="C208">
        <v>204</v>
      </c>
      <c r="D208" t="s">
        <v>223</v>
      </c>
    </row>
    <row r="209" spans="1:4" x14ac:dyDescent="0.35">
      <c r="A209">
        <v>2025</v>
      </c>
      <c r="B209">
        <v>7</v>
      </c>
      <c r="C209">
        <v>205</v>
      </c>
      <c r="D209" t="s">
        <v>224</v>
      </c>
    </row>
    <row r="210" spans="1:4" x14ac:dyDescent="0.35">
      <c r="A210">
        <v>2025</v>
      </c>
      <c r="B210">
        <v>7</v>
      </c>
      <c r="C210">
        <v>206</v>
      </c>
      <c r="D210" t="s">
        <v>224</v>
      </c>
    </row>
    <row r="211" spans="1:4" x14ac:dyDescent="0.35">
      <c r="A211">
        <v>2025</v>
      </c>
      <c r="B211">
        <v>7</v>
      </c>
      <c r="C211">
        <v>207</v>
      </c>
      <c r="D211" t="s">
        <v>223</v>
      </c>
    </row>
    <row r="212" spans="1:4" x14ac:dyDescent="0.35">
      <c r="A212">
        <v>2025</v>
      </c>
      <c r="B212">
        <v>7</v>
      </c>
      <c r="C212">
        <v>208</v>
      </c>
      <c r="D212" t="s">
        <v>223</v>
      </c>
    </row>
    <row r="213" spans="1:4" x14ac:dyDescent="0.35">
      <c r="A213">
        <v>2025</v>
      </c>
      <c r="B213">
        <v>7</v>
      </c>
      <c r="C213">
        <v>209</v>
      </c>
      <c r="D213" t="s">
        <v>223</v>
      </c>
    </row>
    <row r="214" spans="1:4" x14ac:dyDescent="0.35">
      <c r="A214">
        <v>2025</v>
      </c>
      <c r="B214">
        <v>7</v>
      </c>
      <c r="C214">
        <v>210</v>
      </c>
      <c r="D214" t="s">
        <v>223</v>
      </c>
    </row>
    <row r="215" spans="1:4" x14ac:dyDescent="0.35">
      <c r="A215">
        <v>2025</v>
      </c>
      <c r="B215">
        <v>7</v>
      </c>
      <c r="C215">
        <v>211</v>
      </c>
      <c r="D215" t="s">
        <v>223</v>
      </c>
    </row>
    <row r="216" spans="1:4" x14ac:dyDescent="0.35">
      <c r="A216">
        <v>2025</v>
      </c>
      <c r="B216">
        <v>7</v>
      </c>
      <c r="C216">
        <v>212</v>
      </c>
      <c r="D216" t="s">
        <v>223</v>
      </c>
    </row>
    <row r="217" spans="1:4" x14ac:dyDescent="0.35">
      <c r="A217">
        <v>2025</v>
      </c>
      <c r="B217">
        <v>7</v>
      </c>
      <c r="C217">
        <v>213</v>
      </c>
      <c r="D217" t="s">
        <v>223</v>
      </c>
    </row>
    <row r="218" spans="1:4" x14ac:dyDescent="0.35">
      <c r="A218">
        <v>2025</v>
      </c>
      <c r="B218">
        <v>8</v>
      </c>
      <c r="C218">
        <v>214</v>
      </c>
      <c r="D218" t="s">
        <v>223</v>
      </c>
    </row>
    <row r="219" spans="1:4" x14ac:dyDescent="0.35">
      <c r="A219">
        <v>2025</v>
      </c>
      <c r="B219">
        <v>8</v>
      </c>
      <c r="C219">
        <v>215</v>
      </c>
      <c r="D219" t="s">
        <v>223</v>
      </c>
    </row>
    <row r="220" spans="1:4" x14ac:dyDescent="0.35">
      <c r="A220">
        <v>2025</v>
      </c>
      <c r="B220">
        <v>8</v>
      </c>
      <c r="C220">
        <v>216</v>
      </c>
      <c r="D220" t="s">
        <v>223</v>
      </c>
    </row>
    <row r="221" spans="1:4" x14ac:dyDescent="0.35">
      <c r="A221">
        <v>2025</v>
      </c>
      <c r="B221">
        <v>8</v>
      </c>
      <c r="C221">
        <v>217</v>
      </c>
      <c r="D221" t="s">
        <v>223</v>
      </c>
    </row>
    <row r="222" spans="1:4" x14ac:dyDescent="0.35">
      <c r="A222">
        <v>2025</v>
      </c>
      <c r="B222">
        <v>8</v>
      </c>
      <c r="C222">
        <v>218</v>
      </c>
      <c r="D222" t="s">
        <v>224</v>
      </c>
    </row>
    <row r="223" spans="1:4" x14ac:dyDescent="0.35">
      <c r="A223">
        <v>2025</v>
      </c>
      <c r="B223">
        <v>8</v>
      </c>
      <c r="C223">
        <v>219</v>
      </c>
      <c r="D223" t="s">
        <v>224</v>
      </c>
    </row>
    <row r="224" spans="1:4" x14ac:dyDescent="0.35">
      <c r="A224">
        <v>2025</v>
      </c>
      <c r="B224">
        <v>8</v>
      </c>
      <c r="C224">
        <v>220</v>
      </c>
      <c r="D224" t="s">
        <v>223</v>
      </c>
    </row>
    <row r="225" spans="1:4" x14ac:dyDescent="0.35">
      <c r="A225">
        <v>2025</v>
      </c>
      <c r="B225">
        <v>8</v>
      </c>
      <c r="C225">
        <v>221</v>
      </c>
      <c r="D225" t="s">
        <v>223</v>
      </c>
    </row>
    <row r="226" spans="1:4" x14ac:dyDescent="0.35">
      <c r="A226">
        <v>2025</v>
      </c>
      <c r="B226">
        <v>8</v>
      </c>
      <c r="C226">
        <v>222</v>
      </c>
      <c r="D226" t="s">
        <v>223</v>
      </c>
    </row>
    <row r="227" spans="1:4" x14ac:dyDescent="0.35">
      <c r="A227">
        <v>2025</v>
      </c>
      <c r="B227">
        <v>8</v>
      </c>
      <c r="C227">
        <v>223</v>
      </c>
      <c r="D227" t="s">
        <v>223</v>
      </c>
    </row>
    <row r="228" spans="1:4" x14ac:dyDescent="0.35">
      <c r="A228">
        <v>2025</v>
      </c>
      <c r="B228">
        <v>8</v>
      </c>
      <c r="C228">
        <v>224</v>
      </c>
      <c r="D228" t="s">
        <v>223</v>
      </c>
    </row>
    <row r="229" spans="1:4" x14ac:dyDescent="0.35">
      <c r="A229">
        <v>2025</v>
      </c>
      <c r="B229">
        <v>8</v>
      </c>
      <c r="C229">
        <v>225</v>
      </c>
      <c r="D229" t="s">
        <v>224</v>
      </c>
    </row>
    <row r="230" spans="1:4" x14ac:dyDescent="0.35">
      <c r="A230">
        <v>2025</v>
      </c>
      <c r="B230">
        <v>8</v>
      </c>
      <c r="C230">
        <v>226</v>
      </c>
      <c r="D230" t="s">
        <v>224</v>
      </c>
    </row>
    <row r="231" spans="1:4" x14ac:dyDescent="0.35">
      <c r="A231">
        <v>2025</v>
      </c>
      <c r="B231">
        <v>8</v>
      </c>
      <c r="C231">
        <v>227</v>
      </c>
      <c r="D231" t="s">
        <v>223</v>
      </c>
    </row>
    <row r="232" spans="1:4" x14ac:dyDescent="0.35">
      <c r="A232">
        <v>2025</v>
      </c>
      <c r="B232">
        <v>8</v>
      </c>
      <c r="C232">
        <v>228</v>
      </c>
      <c r="D232" t="s">
        <v>223</v>
      </c>
    </row>
    <row r="233" spans="1:4" x14ac:dyDescent="0.35">
      <c r="A233">
        <v>2025</v>
      </c>
      <c r="B233">
        <v>8</v>
      </c>
      <c r="C233">
        <v>229</v>
      </c>
      <c r="D233" t="s">
        <v>223</v>
      </c>
    </row>
    <row r="234" spans="1:4" x14ac:dyDescent="0.35">
      <c r="A234">
        <v>2025</v>
      </c>
      <c r="B234">
        <v>8</v>
      </c>
      <c r="C234">
        <v>230</v>
      </c>
      <c r="D234" t="s">
        <v>223</v>
      </c>
    </row>
    <row r="235" spans="1:4" x14ac:dyDescent="0.35">
      <c r="A235">
        <v>2025</v>
      </c>
      <c r="B235">
        <v>8</v>
      </c>
      <c r="C235">
        <v>231</v>
      </c>
      <c r="D235" t="s">
        <v>223</v>
      </c>
    </row>
    <row r="236" spans="1:4" x14ac:dyDescent="0.35">
      <c r="A236">
        <v>2025</v>
      </c>
      <c r="B236">
        <v>8</v>
      </c>
      <c r="C236">
        <v>232</v>
      </c>
      <c r="D236" t="s">
        <v>224</v>
      </c>
    </row>
    <row r="237" spans="1:4" x14ac:dyDescent="0.35">
      <c r="A237">
        <v>2025</v>
      </c>
      <c r="B237">
        <v>8</v>
      </c>
      <c r="C237">
        <v>233</v>
      </c>
      <c r="D237" t="s">
        <v>224</v>
      </c>
    </row>
    <row r="238" spans="1:4" x14ac:dyDescent="0.35">
      <c r="A238">
        <v>2025</v>
      </c>
      <c r="B238">
        <v>8</v>
      </c>
      <c r="C238">
        <v>234</v>
      </c>
      <c r="D238" t="s">
        <v>223</v>
      </c>
    </row>
    <row r="239" spans="1:4" x14ac:dyDescent="0.35">
      <c r="A239">
        <v>2025</v>
      </c>
      <c r="B239">
        <v>8</v>
      </c>
      <c r="C239">
        <v>235</v>
      </c>
      <c r="D239" t="s">
        <v>223</v>
      </c>
    </row>
    <row r="240" spans="1:4" x14ac:dyDescent="0.35">
      <c r="A240">
        <v>2025</v>
      </c>
      <c r="B240">
        <v>8</v>
      </c>
      <c r="C240">
        <v>236</v>
      </c>
      <c r="D240" t="s">
        <v>223</v>
      </c>
    </row>
    <row r="241" spans="1:4" x14ac:dyDescent="0.35">
      <c r="A241">
        <v>2025</v>
      </c>
      <c r="B241">
        <v>8</v>
      </c>
      <c r="C241">
        <v>237</v>
      </c>
      <c r="D241" t="s">
        <v>223</v>
      </c>
    </row>
    <row r="242" spans="1:4" x14ac:dyDescent="0.35">
      <c r="A242">
        <v>2025</v>
      </c>
      <c r="B242">
        <v>8</v>
      </c>
      <c r="C242">
        <v>238</v>
      </c>
      <c r="D242" t="s">
        <v>223</v>
      </c>
    </row>
    <row r="243" spans="1:4" x14ac:dyDescent="0.35">
      <c r="A243">
        <v>2025</v>
      </c>
      <c r="B243">
        <v>8</v>
      </c>
      <c r="C243">
        <v>239</v>
      </c>
      <c r="D243" t="s">
        <v>224</v>
      </c>
    </row>
    <row r="244" spans="1:4" x14ac:dyDescent="0.35">
      <c r="A244">
        <v>2025</v>
      </c>
      <c r="B244">
        <v>8</v>
      </c>
      <c r="C244">
        <v>240</v>
      </c>
      <c r="D244" t="s">
        <v>223</v>
      </c>
    </row>
    <row r="245" spans="1:4" x14ac:dyDescent="0.35">
      <c r="A245">
        <v>2025</v>
      </c>
      <c r="B245">
        <v>8</v>
      </c>
      <c r="C245">
        <v>241</v>
      </c>
      <c r="D245" t="s">
        <v>224</v>
      </c>
    </row>
    <row r="246" spans="1:4" x14ac:dyDescent="0.35">
      <c r="A246">
        <v>2025</v>
      </c>
      <c r="B246">
        <v>8</v>
      </c>
      <c r="C246">
        <v>242</v>
      </c>
      <c r="D246" t="s">
        <v>224</v>
      </c>
    </row>
    <row r="247" spans="1:4" x14ac:dyDescent="0.35">
      <c r="A247">
        <v>2025</v>
      </c>
      <c r="B247">
        <v>8</v>
      </c>
      <c r="C247">
        <v>243</v>
      </c>
      <c r="D247" t="s">
        <v>223</v>
      </c>
    </row>
    <row r="248" spans="1:4" x14ac:dyDescent="0.35">
      <c r="A248">
        <v>2025</v>
      </c>
      <c r="B248">
        <v>8</v>
      </c>
      <c r="C248">
        <v>244</v>
      </c>
      <c r="D248" t="s">
        <v>223</v>
      </c>
    </row>
    <row r="249" spans="1:4" x14ac:dyDescent="0.35">
      <c r="A249">
        <v>2025</v>
      </c>
      <c r="B249">
        <v>9</v>
      </c>
      <c r="C249">
        <v>245</v>
      </c>
      <c r="D249" t="s">
        <v>224</v>
      </c>
    </row>
    <row r="250" spans="1:4" x14ac:dyDescent="0.35">
      <c r="A250">
        <v>2025</v>
      </c>
      <c r="B250">
        <v>9</v>
      </c>
      <c r="C250">
        <v>246</v>
      </c>
      <c r="D250" t="s">
        <v>224</v>
      </c>
    </row>
    <row r="251" spans="1:4" x14ac:dyDescent="0.35">
      <c r="A251">
        <v>2025</v>
      </c>
      <c r="B251">
        <v>9</v>
      </c>
      <c r="C251">
        <v>247</v>
      </c>
      <c r="D251" t="s">
        <v>223</v>
      </c>
    </row>
    <row r="252" spans="1:4" x14ac:dyDescent="0.35">
      <c r="A252">
        <v>2025</v>
      </c>
      <c r="B252">
        <v>9</v>
      </c>
      <c r="C252">
        <v>248</v>
      </c>
      <c r="D252" t="s">
        <v>223</v>
      </c>
    </row>
    <row r="253" spans="1:4" x14ac:dyDescent="0.35">
      <c r="A253">
        <v>2025</v>
      </c>
      <c r="B253">
        <v>9</v>
      </c>
      <c r="C253">
        <v>249</v>
      </c>
      <c r="D253" t="s">
        <v>223</v>
      </c>
    </row>
    <row r="254" spans="1:4" x14ac:dyDescent="0.35">
      <c r="A254">
        <v>2025</v>
      </c>
      <c r="B254">
        <v>9</v>
      </c>
      <c r="C254">
        <v>250</v>
      </c>
      <c r="D254" t="s">
        <v>223</v>
      </c>
    </row>
    <row r="255" spans="1:4" x14ac:dyDescent="0.35">
      <c r="A255">
        <v>2025</v>
      </c>
      <c r="B255">
        <v>9</v>
      </c>
      <c r="C255">
        <v>251</v>
      </c>
      <c r="D255" t="s">
        <v>223</v>
      </c>
    </row>
    <row r="256" spans="1:4" x14ac:dyDescent="0.35">
      <c r="A256">
        <v>2025</v>
      </c>
      <c r="B256">
        <v>9</v>
      </c>
      <c r="C256">
        <v>252</v>
      </c>
      <c r="D256" t="s">
        <v>224</v>
      </c>
    </row>
    <row r="257" spans="1:4" x14ac:dyDescent="0.35">
      <c r="A257">
        <v>2025</v>
      </c>
      <c r="B257">
        <v>9</v>
      </c>
      <c r="C257">
        <v>253</v>
      </c>
      <c r="D257" t="s">
        <v>224</v>
      </c>
    </row>
    <row r="258" spans="1:4" x14ac:dyDescent="0.35">
      <c r="A258">
        <v>2025</v>
      </c>
      <c r="B258">
        <v>9</v>
      </c>
      <c r="C258">
        <v>254</v>
      </c>
      <c r="D258" t="s">
        <v>223</v>
      </c>
    </row>
    <row r="259" spans="1:4" x14ac:dyDescent="0.35">
      <c r="A259">
        <v>2025</v>
      </c>
      <c r="B259">
        <v>9</v>
      </c>
      <c r="C259">
        <v>255</v>
      </c>
      <c r="D259" t="s">
        <v>223</v>
      </c>
    </row>
    <row r="260" spans="1:4" x14ac:dyDescent="0.35">
      <c r="A260">
        <v>2025</v>
      </c>
      <c r="B260">
        <v>9</v>
      </c>
      <c r="C260">
        <v>256</v>
      </c>
      <c r="D260" t="s">
        <v>223</v>
      </c>
    </row>
    <row r="261" spans="1:4" x14ac:dyDescent="0.35">
      <c r="A261">
        <v>2025</v>
      </c>
      <c r="B261">
        <v>9</v>
      </c>
      <c r="C261">
        <v>257</v>
      </c>
      <c r="D261" t="s">
        <v>223</v>
      </c>
    </row>
    <row r="262" spans="1:4" x14ac:dyDescent="0.35">
      <c r="A262">
        <v>2025</v>
      </c>
      <c r="B262">
        <v>9</v>
      </c>
      <c r="C262">
        <v>258</v>
      </c>
      <c r="D262" t="s">
        <v>223</v>
      </c>
    </row>
    <row r="263" spans="1:4" x14ac:dyDescent="0.35">
      <c r="A263">
        <v>2025</v>
      </c>
      <c r="B263">
        <v>9</v>
      </c>
      <c r="C263">
        <v>259</v>
      </c>
      <c r="D263" t="s">
        <v>224</v>
      </c>
    </row>
    <row r="264" spans="1:4" x14ac:dyDescent="0.35">
      <c r="A264">
        <v>2025</v>
      </c>
      <c r="B264">
        <v>9</v>
      </c>
      <c r="C264">
        <v>260</v>
      </c>
      <c r="D264" t="s">
        <v>224</v>
      </c>
    </row>
    <row r="265" spans="1:4" x14ac:dyDescent="0.35">
      <c r="A265">
        <v>2025</v>
      </c>
      <c r="B265">
        <v>9</v>
      </c>
      <c r="C265">
        <v>261</v>
      </c>
      <c r="D265" t="s">
        <v>223</v>
      </c>
    </row>
    <row r="266" spans="1:4" x14ac:dyDescent="0.35">
      <c r="A266">
        <v>2025</v>
      </c>
      <c r="B266">
        <v>9</v>
      </c>
      <c r="C266">
        <v>262</v>
      </c>
      <c r="D266" t="s">
        <v>223</v>
      </c>
    </row>
    <row r="267" spans="1:4" x14ac:dyDescent="0.35">
      <c r="A267">
        <v>2025</v>
      </c>
      <c r="B267">
        <v>9</v>
      </c>
      <c r="C267">
        <v>263</v>
      </c>
      <c r="D267" t="s">
        <v>223</v>
      </c>
    </row>
    <row r="268" spans="1:4" x14ac:dyDescent="0.35">
      <c r="A268">
        <v>2025</v>
      </c>
      <c r="B268">
        <v>9</v>
      </c>
      <c r="C268">
        <v>264</v>
      </c>
      <c r="D268" t="s">
        <v>223</v>
      </c>
    </row>
    <row r="269" spans="1:4" x14ac:dyDescent="0.35">
      <c r="A269">
        <v>2025</v>
      </c>
      <c r="B269">
        <v>9</v>
      </c>
      <c r="C269">
        <v>265</v>
      </c>
      <c r="D269" t="s">
        <v>223</v>
      </c>
    </row>
    <row r="270" spans="1:4" x14ac:dyDescent="0.35">
      <c r="A270">
        <v>2025</v>
      </c>
      <c r="B270">
        <v>9</v>
      </c>
      <c r="C270">
        <v>266</v>
      </c>
      <c r="D270" t="s">
        <v>224</v>
      </c>
    </row>
    <row r="271" spans="1:4" x14ac:dyDescent="0.35">
      <c r="A271">
        <v>2025</v>
      </c>
      <c r="B271">
        <v>9</v>
      </c>
      <c r="C271">
        <v>267</v>
      </c>
      <c r="D271" t="s">
        <v>224</v>
      </c>
    </row>
    <row r="272" spans="1:4" x14ac:dyDescent="0.35">
      <c r="A272">
        <v>2025</v>
      </c>
      <c r="B272">
        <v>9</v>
      </c>
      <c r="C272">
        <v>268</v>
      </c>
      <c r="D272" t="s">
        <v>223</v>
      </c>
    </row>
    <row r="273" spans="1:4" x14ac:dyDescent="0.35">
      <c r="A273">
        <v>2025</v>
      </c>
      <c r="B273">
        <v>9</v>
      </c>
      <c r="C273">
        <v>269</v>
      </c>
      <c r="D273" t="s">
        <v>223</v>
      </c>
    </row>
    <row r="274" spans="1:4" x14ac:dyDescent="0.35">
      <c r="A274">
        <v>2025</v>
      </c>
      <c r="B274">
        <v>9</v>
      </c>
      <c r="C274">
        <v>270</v>
      </c>
      <c r="D274" t="s">
        <v>223</v>
      </c>
    </row>
    <row r="275" spans="1:4" x14ac:dyDescent="0.35">
      <c r="A275">
        <v>2025</v>
      </c>
      <c r="B275">
        <v>9</v>
      </c>
      <c r="C275">
        <v>271</v>
      </c>
      <c r="D275" t="s">
        <v>223</v>
      </c>
    </row>
    <row r="276" spans="1:4" x14ac:dyDescent="0.35">
      <c r="A276">
        <v>2025</v>
      </c>
      <c r="B276">
        <v>9</v>
      </c>
      <c r="C276">
        <v>272</v>
      </c>
      <c r="D276" t="s">
        <v>223</v>
      </c>
    </row>
    <row r="277" spans="1:4" x14ac:dyDescent="0.35">
      <c r="A277">
        <v>2025</v>
      </c>
      <c r="B277">
        <v>9</v>
      </c>
      <c r="C277">
        <v>273</v>
      </c>
      <c r="D277" t="s">
        <v>223</v>
      </c>
    </row>
    <row r="278" spans="1:4" x14ac:dyDescent="0.35">
      <c r="A278">
        <v>2025</v>
      </c>
      <c r="B278">
        <v>9</v>
      </c>
      <c r="C278">
        <v>274</v>
      </c>
      <c r="D278" t="s">
        <v>223</v>
      </c>
    </row>
    <row r="279" spans="1:4" x14ac:dyDescent="0.35">
      <c r="A279">
        <v>2025</v>
      </c>
      <c r="B279">
        <v>10</v>
      </c>
      <c r="C279">
        <v>275</v>
      </c>
      <c r="D279" t="s">
        <v>223</v>
      </c>
    </row>
    <row r="280" spans="1:4" x14ac:dyDescent="0.35">
      <c r="A280">
        <v>2025</v>
      </c>
      <c r="B280">
        <v>10</v>
      </c>
      <c r="C280">
        <v>276</v>
      </c>
      <c r="D280" t="s">
        <v>223</v>
      </c>
    </row>
    <row r="281" spans="1:4" x14ac:dyDescent="0.35">
      <c r="A281">
        <v>2025</v>
      </c>
      <c r="B281">
        <v>10</v>
      </c>
      <c r="C281">
        <v>277</v>
      </c>
      <c r="D281" t="s">
        <v>223</v>
      </c>
    </row>
    <row r="282" spans="1:4" x14ac:dyDescent="0.35">
      <c r="A282">
        <v>2025</v>
      </c>
      <c r="B282">
        <v>10</v>
      </c>
      <c r="C282">
        <v>278</v>
      </c>
      <c r="D282" t="s">
        <v>223</v>
      </c>
    </row>
    <row r="283" spans="1:4" x14ac:dyDescent="0.35">
      <c r="A283">
        <v>2025</v>
      </c>
      <c r="B283">
        <v>10</v>
      </c>
      <c r="C283">
        <v>279</v>
      </c>
      <c r="D283" t="s">
        <v>223</v>
      </c>
    </row>
    <row r="284" spans="1:4" x14ac:dyDescent="0.35">
      <c r="A284">
        <v>2025</v>
      </c>
      <c r="B284">
        <v>10</v>
      </c>
      <c r="C284">
        <v>280</v>
      </c>
      <c r="D284" t="s">
        <v>224</v>
      </c>
    </row>
    <row r="285" spans="1:4" x14ac:dyDescent="0.35">
      <c r="A285">
        <v>2025</v>
      </c>
      <c r="B285">
        <v>10</v>
      </c>
      <c r="C285">
        <v>281</v>
      </c>
      <c r="D285" t="s">
        <v>224</v>
      </c>
    </row>
    <row r="286" spans="1:4" x14ac:dyDescent="0.35">
      <c r="A286">
        <v>2025</v>
      </c>
      <c r="B286">
        <v>10</v>
      </c>
      <c r="C286">
        <v>282</v>
      </c>
      <c r="D286" t="s">
        <v>223</v>
      </c>
    </row>
    <row r="287" spans="1:4" x14ac:dyDescent="0.35">
      <c r="A287">
        <v>2025</v>
      </c>
      <c r="B287">
        <v>10</v>
      </c>
      <c r="C287">
        <v>283</v>
      </c>
      <c r="D287" t="s">
        <v>223</v>
      </c>
    </row>
    <row r="288" spans="1:4" x14ac:dyDescent="0.35">
      <c r="A288">
        <v>2025</v>
      </c>
      <c r="B288">
        <v>10</v>
      </c>
      <c r="C288">
        <v>284</v>
      </c>
      <c r="D288" t="s">
        <v>223</v>
      </c>
    </row>
    <row r="289" spans="1:4" x14ac:dyDescent="0.35">
      <c r="A289">
        <v>2025</v>
      </c>
      <c r="B289">
        <v>10</v>
      </c>
      <c r="C289">
        <v>285</v>
      </c>
      <c r="D289" t="s">
        <v>223</v>
      </c>
    </row>
    <row r="290" spans="1:4" x14ac:dyDescent="0.35">
      <c r="A290">
        <v>2025</v>
      </c>
      <c r="B290">
        <v>10</v>
      </c>
      <c r="C290">
        <v>286</v>
      </c>
      <c r="D290" t="s">
        <v>223</v>
      </c>
    </row>
    <row r="291" spans="1:4" x14ac:dyDescent="0.35">
      <c r="A291">
        <v>2025</v>
      </c>
      <c r="B291">
        <v>10</v>
      </c>
      <c r="C291">
        <v>287</v>
      </c>
      <c r="D291" t="s">
        <v>224</v>
      </c>
    </row>
    <row r="292" spans="1:4" x14ac:dyDescent="0.35">
      <c r="A292">
        <v>2025</v>
      </c>
      <c r="B292">
        <v>10</v>
      </c>
      <c r="C292">
        <v>288</v>
      </c>
      <c r="D292" t="s">
        <v>224</v>
      </c>
    </row>
    <row r="293" spans="1:4" x14ac:dyDescent="0.35">
      <c r="A293">
        <v>2025</v>
      </c>
      <c r="B293">
        <v>10</v>
      </c>
      <c r="C293">
        <v>289</v>
      </c>
      <c r="D293" t="s">
        <v>223</v>
      </c>
    </row>
    <row r="294" spans="1:4" x14ac:dyDescent="0.35">
      <c r="A294">
        <v>2025</v>
      </c>
      <c r="B294">
        <v>10</v>
      </c>
      <c r="C294">
        <v>290</v>
      </c>
      <c r="D294" t="s">
        <v>223</v>
      </c>
    </row>
    <row r="295" spans="1:4" x14ac:dyDescent="0.35">
      <c r="A295">
        <v>2025</v>
      </c>
      <c r="B295">
        <v>10</v>
      </c>
      <c r="C295">
        <v>291</v>
      </c>
      <c r="D295" t="s">
        <v>223</v>
      </c>
    </row>
    <row r="296" spans="1:4" x14ac:dyDescent="0.35">
      <c r="A296">
        <v>2025</v>
      </c>
      <c r="B296">
        <v>10</v>
      </c>
      <c r="C296">
        <v>292</v>
      </c>
      <c r="D296" t="s">
        <v>223</v>
      </c>
    </row>
    <row r="297" spans="1:4" x14ac:dyDescent="0.35">
      <c r="A297">
        <v>2025</v>
      </c>
      <c r="B297">
        <v>10</v>
      </c>
      <c r="C297">
        <v>293</v>
      </c>
      <c r="D297" t="s">
        <v>223</v>
      </c>
    </row>
    <row r="298" spans="1:4" x14ac:dyDescent="0.35">
      <c r="A298">
        <v>2025</v>
      </c>
      <c r="B298">
        <v>10</v>
      </c>
      <c r="C298">
        <v>294</v>
      </c>
      <c r="D298" t="s">
        <v>224</v>
      </c>
    </row>
    <row r="299" spans="1:4" x14ac:dyDescent="0.35">
      <c r="A299">
        <v>2025</v>
      </c>
      <c r="B299">
        <v>10</v>
      </c>
      <c r="C299">
        <v>295</v>
      </c>
      <c r="D299" t="s">
        <v>224</v>
      </c>
    </row>
    <row r="300" spans="1:4" x14ac:dyDescent="0.35">
      <c r="A300">
        <v>2025</v>
      </c>
      <c r="B300">
        <v>10</v>
      </c>
      <c r="C300">
        <v>296</v>
      </c>
      <c r="D300" t="s">
        <v>223</v>
      </c>
    </row>
    <row r="301" spans="1:4" x14ac:dyDescent="0.35">
      <c r="A301">
        <v>2025</v>
      </c>
      <c r="B301">
        <v>10</v>
      </c>
      <c r="C301">
        <v>297</v>
      </c>
      <c r="D301" t="s">
        <v>223</v>
      </c>
    </row>
    <row r="302" spans="1:4" x14ac:dyDescent="0.35">
      <c r="A302">
        <v>2025</v>
      </c>
      <c r="B302">
        <v>10</v>
      </c>
      <c r="C302">
        <v>298</v>
      </c>
      <c r="D302" t="s">
        <v>223</v>
      </c>
    </row>
    <row r="303" spans="1:4" x14ac:dyDescent="0.35">
      <c r="A303">
        <v>2025</v>
      </c>
      <c r="B303">
        <v>10</v>
      </c>
      <c r="C303">
        <v>299</v>
      </c>
      <c r="D303" t="s">
        <v>223</v>
      </c>
    </row>
    <row r="304" spans="1:4" x14ac:dyDescent="0.35">
      <c r="A304">
        <v>2025</v>
      </c>
      <c r="B304">
        <v>10</v>
      </c>
      <c r="C304">
        <v>300</v>
      </c>
      <c r="D304" t="s">
        <v>223</v>
      </c>
    </row>
    <row r="305" spans="1:4" x14ac:dyDescent="0.35">
      <c r="A305">
        <v>2025</v>
      </c>
      <c r="B305">
        <v>10</v>
      </c>
      <c r="C305">
        <v>301</v>
      </c>
      <c r="D305" t="s">
        <v>223</v>
      </c>
    </row>
    <row r="306" spans="1:4" x14ac:dyDescent="0.35">
      <c r="A306">
        <v>2025</v>
      </c>
      <c r="B306">
        <v>10</v>
      </c>
      <c r="C306">
        <v>302</v>
      </c>
      <c r="D306" t="s">
        <v>223</v>
      </c>
    </row>
    <row r="307" spans="1:4" x14ac:dyDescent="0.35">
      <c r="A307">
        <v>2025</v>
      </c>
      <c r="B307">
        <v>10</v>
      </c>
      <c r="C307">
        <v>303</v>
      </c>
      <c r="D307" t="s">
        <v>224</v>
      </c>
    </row>
    <row r="308" spans="1:4" x14ac:dyDescent="0.35">
      <c r="A308">
        <v>2025</v>
      </c>
      <c r="B308">
        <v>10</v>
      </c>
      <c r="C308">
        <v>304</v>
      </c>
      <c r="D308" t="s">
        <v>224</v>
      </c>
    </row>
    <row r="309" spans="1:4" x14ac:dyDescent="0.35">
      <c r="A309">
        <v>2025</v>
      </c>
      <c r="B309">
        <v>10</v>
      </c>
      <c r="C309">
        <v>305</v>
      </c>
      <c r="D309" t="s">
        <v>223</v>
      </c>
    </row>
    <row r="310" spans="1:4" x14ac:dyDescent="0.35">
      <c r="A310">
        <v>2025</v>
      </c>
      <c r="B310">
        <v>11</v>
      </c>
      <c r="C310">
        <v>306</v>
      </c>
      <c r="D310" t="s">
        <v>223</v>
      </c>
    </row>
    <row r="311" spans="1:4" x14ac:dyDescent="0.35">
      <c r="A311">
        <v>2025</v>
      </c>
      <c r="B311">
        <v>11</v>
      </c>
      <c r="C311">
        <v>307</v>
      </c>
      <c r="D311" t="s">
        <v>224</v>
      </c>
    </row>
    <row r="312" spans="1:4" x14ac:dyDescent="0.35">
      <c r="A312">
        <v>2025</v>
      </c>
      <c r="B312">
        <v>11</v>
      </c>
      <c r="C312">
        <v>308</v>
      </c>
      <c r="D312" t="s">
        <v>224</v>
      </c>
    </row>
    <row r="313" spans="1:4" x14ac:dyDescent="0.35">
      <c r="A313">
        <v>2025</v>
      </c>
      <c r="B313">
        <v>11</v>
      </c>
      <c r="C313">
        <v>309</v>
      </c>
      <c r="D313" t="s">
        <v>223</v>
      </c>
    </row>
    <row r="314" spans="1:4" x14ac:dyDescent="0.35">
      <c r="A314">
        <v>2025</v>
      </c>
      <c r="B314">
        <v>11</v>
      </c>
      <c r="C314">
        <v>310</v>
      </c>
      <c r="D314" t="s">
        <v>223</v>
      </c>
    </row>
    <row r="315" spans="1:4" x14ac:dyDescent="0.35">
      <c r="A315">
        <v>2025</v>
      </c>
      <c r="B315">
        <v>11</v>
      </c>
      <c r="C315">
        <v>311</v>
      </c>
      <c r="D315" t="s">
        <v>223</v>
      </c>
    </row>
    <row r="316" spans="1:4" x14ac:dyDescent="0.35">
      <c r="A316">
        <v>2025</v>
      </c>
      <c r="B316">
        <v>11</v>
      </c>
      <c r="C316">
        <v>312</v>
      </c>
      <c r="D316" t="s">
        <v>223</v>
      </c>
    </row>
    <row r="317" spans="1:4" x14ac:dyDescent="0.35">
      <c r="A317">
        <v>2025</v>
      </c>
      <c r="B317">
        <v>11</v>
      </c>
      <c r="C317">
        <v>313</v>
      </c>
      <c r="D317" t="s">
        <v>223</v>
      </c>
    </row>
    <row r="318" spans="1:4" x14ac:dyDescent="0.35">
      <c r="A318">
        <v>2025</v>
      </c>
      <c r="B318">
        <v>11</v>
      </c>
      <c r="C318">
        <v>314</v>
      </c>
      <c r="D318" t="s">
        <v>224</v>
      </c>
    </row>
    <row r="319" spans="1:4" x14ac:dyDescent="0.35">
      <c r="A319">
        <v>2025</v>
      </c>
      <c r="B319">
        <v>11</v>
      </c>
      <c r="C319">
        <v>315</v>
      </c>
      <c r="D319" t="s">
        <v>224</v>
      </c>
    </row>
    <row r="320" spans="1:4" x14ac:dyDescent="0.35">
      <c r="A320">
        <v>2025</v>
      </c>
      <c r="B320">
        <v>11</v>
      </c>
      <c r="C320">
        <v>316</v>
      </c>
      <c r="D320" t="s">
        <v>223</v>
      </c>
    </row>
    <row r="321" spans="1:4" x14ac:dyDescent="0.35">
      <c r="A321">
        <v>2025</v>
      </c>
      <c r="B321">
        <v>11</v>
      </c>
      <c r="C321">
        <v>317</v>
      </c>
      <c r="D321" t="s">
        <v>223</v>
      </c>
    </row>
    <row r="322" spans="1:4" x14ac:dyDescent="0.35">
      <c r="A322">
        <v>2025</v>
      </c>
      <c r="B322">
        <v>11</v>
      </c>
      <c r="C322">
        <v>318</v>
      </c>
      <c r="D322" t="s">
        <v>223</v>
      </c>
    </row>
    <row r="323" spans="1:4" x14ac:dyDescent="0.35">
      <c r="A323">
        <v>2025</v>
      </c>
      <c r="B323">
        <v>11</v>
      </c>
      <c r="C323">
        <v>319</v>
      </c>
      <c r="D323" t="s">
        <v>223</v>
      </c>
    </row>
    <row r="324" spans="1:4" x14ac:dyDescent="0.35">
      <c r="A324">
        <v>2025</v>
      </c>
      <c r="B324">
        <v>11</v>
      </c>
      <c r="C324">
        <v>320</v>
      </c>
      <c r="D324" t="s">
        <v>223</v>
      </c>
    </row>
    <row r="325" spans="1:4" x14ac:dyDescent="0.35">
      <c r="A325">
        <v>2025</v>
      </c>
      <c r="B325">
        <v>11</v>
      </c>
      <c r="C325">
        <v>321</v>
      </c>
      <c r="D325" t="s">
        <v>224</v>
      </c>
    </row>
    <row r="326" spans="1:4" x14ac:dyDescent="0.35">
      <c r="A326">
        <v>2025</v>
      </c>
      <c r="B326">
        <v>11</v>
      </c>
      <c r="C326">
        <v>322</v>
      </c>
      <c r="D326" t="s">
        <v>224</v>
      </c>
    </row>
    <row r="327" spans="1:4" x14ac:dyDescent="0.35">
      <c r="A327">
        <v>2025</v>
      </c>
      <c r="B327">
        <v>11</v>
      </c>
      <c r="C327">
        <v>323</v>
      </c>
      <c r="D327" t="s">
        <v>223</v>
      </c>
    </row>
    <row r="328" spans="1:4" x14ac:dyDescent="0.35">
      <c r="A328">
        <v>2025</v>
      </c>
      <c r="B328">
        <v>11</v>
      </c>
      <c r="C328">
        <v>324</v>
      </c>
      <c r="D328" t="s">
        <v>223</v>
      </c>
    </row>
    <row r="329" spans="1:4" x14ac:dyDescent="0.35">
      <c r="A329">
        <v>2025</v>
      </c>
      <c r="B329">
        <v>11</v>
      </c>
      <c r="C329">
        <v>325</v>
      </c>
      <c r="D329" t="s">
        <v>223</v>
      </c>
    </row>
    <row r="330" spans="1:4" x14ac:dyDescent="0.35">
      <c r="A330">
        <v>2025</v>
      </c>
      <c r="B330">
        <v>11</v>
      </c>
      <c r="C330">
        <v>326</v>
      </c>
      <c r="D330" t="s">
        <v>223</v>
      </c>
    </row>
    <row r="331" spans="1:4" x14ac:dyDescent="0.35">
      <c r="A331">
        <v>2025</v>
      </c>
      <c r="B331">
        <v>11</v>
      </c>
      <c r="C331">
        <v>327</v>
      </c>
      <c r="D331" t="s">
        <v>223</v>
      </c>
    </row>
    <row r="332" spans="1:4" x14ac:dyDescent="0.35">
      <c r="A332">
        <v>2025</v>
      </c>
      <c r="B332">
        <v>11</v>
      </c>
      <c r="C332">
        <v>328</v>
      </c>
      <c r="D332" t="s">
        <v>224</v>
      </c>
    </row>
    <row r="333" spans="1:4" x14ac:dyDescent="0.35">
      <c r="A333">
        <v>2025</v>
      </c>
      <c r="B333">
        <v>11</v>
      </c>
      <c r="C333">
        <v>329</v>
      </c>
      <c r="D333" t="s">
        <v>224</v>
      </c>
    </row>
    <row r="334" spans="1:4" x14ac:dyDescent="0.35">
      <c r="A334">
        <v>2025</v>
      </c>
      <c r="B334">
        <v>11</v>
      </c>
      <c r="C334">
        <v>330</v>
      </c>
      <c r="D334" t="s">
        <v>224</v>
      </c>
    </row>
    <row r="335" spans="1:4" x14ac:dyDescent="0.35">
      <c r="A335">
        <v>2025</v>
      </c>
      <c r="B335">
        <v>11</v>
      </c>
      <c r="C335">
        <v>331</v>
      </c>
      <c r="D335" t="s">
        <v>224</v>
      </c>
    </row>
    <row r="336" spans="1:4" x14ac:dyDescent="0.35">
      <c r="A336">
        <v>2025</v>
      </c>
      <c r="B336">
        <v>11</v>
      </c>
      <c r="C336">
        <v>332</v>
      </c>
      <c r="D336" t="s">
        <v>223</v>
      </c>
    </row>
    <row r="337" spans="1:4" x14ac:dyDescent="0.35">
      <c r="A337">
        <v>2025</v>
      </c>
      <c r="B337">
        <v>11</v>
      </c>
      <c r="C337">
        <v>333</v>
      </c>
      <c r="D337" t="s">
        <v>223</v>
      </c>
    </row>
    <row r="338" spans="1:4" x14ac:dyDescent="0.35">
      <c r="A338">
        <v>2025</v>
      </c>
      <c r="B338">
        <v>11</v>
      </c>
      <c r="C338">
        <v>334</v>
      </c>
      <c r="D338" t="s">
        <v>223</v>
      </c>
    </row>
    <row r="339" spans="1:4" x14ac:dyDescent="0.35">
      <c r="A339">
        <v>2025</v>
      </c>
      <c r="B339">
        <v>11</v>
      </c>
      <c r="C339">
        <v>335</v>
      </c>
      <c r="D339" t="s">
        <v>223</v>
      </c>
    </row>
    <row r="340" spans="1:4" x14ac:dyDescent="0.35">
      <c r="A340">
        <v>2025</v>
      </c>
      <c r="B340">
        <v>12</v>
      </c>
      <c r="C340">
        <v>336</v>
      </c>
      <c r="D340" t="s">
        <v>224</v>
      </c>
    </row>
    <row r="341" spans="1:4" x14ac:dyDescent="0.35">
      <c r="A341">
        <v>2025</v>
      </c>
      <c r="B341">
        <v>12</v>
      </c>
      <c r="C341">
        <v>337</v>
      </c>
      <c r="D341" t="s">
        <v>223</v>
      </c>
    </row>
    <row r="342" spans="1:4" x14ac:dyDescent="0.35">
      <c r="A342">
        <v>2025</v>
      </c>
      <c r="B342">
        <v>12</v>
      </c>
      <c r="C342">
        <v>338</v>
      </c>
      <c r="D342" t="s">
        <v>223</v>
      </c>
    </row>
    <row r="343" spans="1:4" x14ac:dyDescent="0.35">
      <c r="A343">
        <v>2025</v>
      </c>
      <c r="B343">
        <v>12</v>
      </c>
      <c r="C343">
        <v>339</v>
      </c>
      <c r="D343" t="s">
        <v>223</v>
      </c>
    </row>
    <row r="344" spans="1:4" x14ac:dyDescent="0.35">
      <c r="A344">
        <v>2025</v>
      </c>
      <c r="B344">
        <v>12</v>
      </c>
      <c r="C344">
        <v>340</v>
      </c>
      <c r="D344" t="s">
        <v>223</v>
      </c>
    </row>
    <row r="345" spans="1:4" x14ac:dyDescent="0.35">
      <c r="A345">
        <v>2025</v>
      </c>
      <c r="B345">
        <v>12</v>
      </c>
      <c r="C345">
        <v>341</v>
      </c>
      <c r="D345" t="s">
        <v>223</v>
      </c>
    </row>
    <row r="346" spans="1:4" x14ac:dyDescent="0.35">
      <c r="A346">
        <v>2025</v>
      </c>
      <c r="B346">
        <v>12</v>
      </c>
      <c r="C346">
        <v>342</v>
      </c>
      <c r="D346" t="s">
        <v>224</v>
      </c>
    </row>
    <row r="347" spans="1:4" x14ac:dyDescent="0.35">
      <c r="A347">
        <v>2025</v>
      </c>
      <c r="B347">
        <v>12</v>
      </c>
      <c r="C347">
        <v>343</v>
      </c>
      <c r="D347" t="s">
        <v>224</v>
      </c>
    </row>
    <row r="348" spans="1:4" x14ac:dyDescent="0.35">
      <c r="A348">
        <v>2025</v>
      </c>
      <c r="B348">
        <v>12</v>
      </c>
      <c r="C348">
        <v>344</v>
      </c>
      <c r="D348" t="s">
        <v>223</v>
      </c>
    </row>
    <row r="349" spans="1:4" x14ac:dyDescent="0.35">
      <c r="A349">
        <v>2025</v>
      </c>
      <c r="B349">
        <v>12</v>
      </c>
      <c r="C349">
        <v>345</v>
      </c>
      <c r="D349" t="s">
        <v>223</v>
      </c>
    </row>
    <row r="350" spans="1:4" x14ac:dyDescent="0.35">
      <c r="A350">
        <v>2025</v>
      </c>
      <c r="B350">
        <v>12</v>
      </c>
      <c r="C350">
        <v>346</v>
      </c>
      <c r="D350" t="s">
        <v>223</v>
      </c>
    </row>
    <row r="351" spans="1:4" x14ac:dyDescent="0.35">
      <c r="A351">
        <v>2025</v>
      </c>
      <c r="B351">
        <v>12</v>
      </c>
      <c r="C351">
        <v>347</v>
      </c>
      <c r="D351" t="s">
        <v>223</v>
      </c>
    </row>
    <row r="352" spans="1:4" x14ac:dyDescent="0.35">
      <c r="A352">
        <v>2025</v>
      </c>
      <c r="B352">
        <v>12</v>
      </c>
      <c r="C352">
        <v>348</v>
      </c>
      <c r="D352" t="s">
        <v>223</v>
      </c>
    </row>
    <row r="353" spans="1:4" x14ac:dyDescent="0.35">
      <c r="A353">
        <v>2025</v>
      </c>
      <c r="B353">
        <v>12</v>
      </c>
      <c r="C353">
        <v>349</v>
      </c>
      <c r="D353" t="s">
        <v>224</v>
      </c>
    </row>
    <row r="354" spans="1:4" x14ac:dyDescent="0.35">
      <c r="A354">
        <v>2025</v>
      </c>
      <c r="B354">
        <v>12</v>
      </c>
      <c r="C354">
        <v>350</v>
      </c>
      <c r="D354" t="s">
        <v>224</v>
      </c>
    </row>
    <row r="355" spans="1:4" x14ac:dyDescent="0.35">
      <c r="A355">
        <v>2025</v>
      </c>
      <c r="B355">
        <v>12</v>
      </c>
      <c r="C355">
        <v>351</v>
      </c>
      <c r="D355" t="s">
        <v>223</v>
      </c>
    </row>
    <row r="356" spans="1:4" x14ac:dyDescent="0.35">
      <c r="A356">
        <v>2025</v>
      </c>
      <c r="B356">
        <v>12</v>
      </c>
      <c r="C356">
        <v>352</v>
      </c>
      <c r="D356" t="s">
        <v>223</v>
      </c>
    </row>
    <row r="357" spans="1:4" x14ac:dyDescent="0.35">
      <c r="A357">
        <v>2025</v>
      </c>
      <c r="B357">
        <v>12</v>
      </c>
      <c r="C357">
        <v>353</v>
      </c>
      <c r="D357" t="s">
        <v>223</v>
      </c>
    </row>
    <row r="358" spans="1:4" x14ac:dyDescent="0.35">
      <c r="A358">
        <v>2025</v>
      </c>
      <c r="B358">
        <v>12</v>
      </c>
      <c r="C358">
        <v>354</v>
      </c>
      <c r="D358" t="s">
        <v>223</v>
      </c>
    </row>
    <row r="359" spans="1:4" x14ac:dyDescent="0.35">
      <c r="A359">
        <v>2025</v>
      </c>
      <c r="B359">
        <v>12</v>
      </c>
      <c r="C359">
        <v>355</v>
      </c>
      <c r="D359" t="s">
        <v>223</v>
      </c>
    </row>
    <row r="360" spans="1:4" x14ac:dyDescent="0.35">
      <c r="A360">
        <v>2025</v>
      </c>
      <c r="B360">
        <v>12</v>
      </c>
      <c r="C360">
        <v>356</v>
      </c>
      <c r="D360" t="s">
        <v>224</v>
      </c>
    </row>
    <row r="361" spans="1:4" x14ac:dyDescent="0.35">
      <c r="A361">
        <v>2025</v>
      </c>
      <c r="B361">
        <v>12</v>
      </c>
      <c r="C361">
        <v>357</v>
      </c>
      <c r="D361" t="s">
        <v>224</v>
      </c>
    </row>
    <row r="362" spans="1:4" x14ac:dyDescent="0.35">
      <c r="A362">
        <v>2025</v>
      </c>
      <c r="B362">
        <v>12</v>
      </c>
      <c r="C362">
        <v>358</v>
      </c>
      <c r="D362" t="s">
        <v>223</v>
      </c>
    </row>
    <row r="363" spans="1:4" x14ac:dyDescent="0.35">
      <c r="A363">
        <v>2025</v>
      </c>
      <c r="B363">
        <v>12</v>
      </c>
      <c r="C363">
        <v>359</v>
      </c>
      <c r="D363" t="s">
        <v>223</v>
      </c>
    </row>
    <row r="364" spans="1:4" x14ac:dyDescent="0.35">
      <c r="A364">
        <v>2025</v>
      </c>
      <c r="B364">
        <v>12</v>
      </c>
      <c r="C364">
        <v>360</v>
      </c>
      <c r="D364" t="s">
        <v>223</v>
      </c>
    </row>
    <row r="365" spans="1:4" x14ac:dyDescent="0.35">
      <c r="A365">
        <v>2025</v>
      </c>
      <c r="B365">
        <v>12</v>
      </c>
      <c r="C365">
        <v>361</v>
      </c>
      <c r="D365" t="s">
        <v>223</v>
      </c>
    </row>
    <row r="366" spans="1:4" x14ac:dyDescent="0.35">
      <c r="A366">
        <v>2025</v>
      </c>
      <c r="B366">
        <v>12</v>
      </c>
      <c r="C366">
        <v>362</v>
      </c>
      <c r="D366" t="s">
        <v>223</v>
      </c>
    </row>
    <row r="367" spans="1:4" x14ac:dyDescent="0.35">
      <c r="A367">
        <v>2025</v>
      </c>
      <c r="B367">
        <v>12</v>
      </c>
      <c r="C367">
        <v>363</v>
      </c>
      <c r="D367" t="s">
        <v>223</v>
      </c>
    </row>
    <row r="368" spans="1:4" x14ac:dyDescent="0.35">
      <c r="A368">
        <v>2025</v>
      </c>
      <c r="B368">
        <v>12</v>
      </c>
      <c r="C368">
        <v>364</v>
      </c>
      <c r="D368" t="s">
        <v>223</v>
      </c>
    </row>
  </sheetData>
  <mergeCells count="2">
    <mergeCell ref="A2:M2"/>
    <mergeCell ref="N2:S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7E74C-BFDC-4717-B222-60C1608C23C7}">
  <sheetPr>
    <tabColor rgb="FF000000"/>
  </sheetPr>
  <dimension ref="A1:S363"/>
  <sheetViews>
    <sheetView workbookViewId="0">
      <selection activeCell="D4" sqref="D4"/>
    </sheetView>
  </sheetViews>
  <sheetFormatPr defaultRowHeight="14.5" x14ac:dyDescent="0.35"/>
  <cols>
    <col min="3" max="3" width="14.7265625" customWidth="1"/>
  </cols>
  <sheetData>
    <row r="1" spans="1:19" x14ac:dyDescent="0.35">
      <c r="A1" s="128" t="str">
        <f>HYPERLINK("#'Configuration Data'!A1", "Return to Main")</f>
        <v>Return to Main</v>
      </c>
      <c r="N1" t="s">
        <v>218</v>
      </c>
    </row>
    <row r="2" spans="1:19" ht="30" customHeight="1" x14ac:dyDescent="0.35">
      <c r="A2" s="184" t="s">
        <v>82</v>
      </c>
      <c r="B2" s="184"/>
      <c r="C2" s="184"/>
      <c r="D2" s="184"/>
      <c r="E2" s="184"/>
      <c r="F2" s="184"/>
      <c r="G2" s="184"/>
      <c r="H2" s="184"/>
      <c r="I2" s="184"/>
      <c r="J2" s="184"/>
      <c r="K2" s="184"/>
      <c r="L2" s="184"/>
      <c r="M2" s="184"/>
      <c r="N2" s="185" t="s">
        <v>219</v>
      </c>
      <c r="O2" s="185"/>
      <c r="P2" s="185"/>
      <c r="Q2" s="185"/>
      <c r="R2" s="185"/>
      <c r="S2" s="185"/>
    </row>
    <row r="4" spans="1:19" x14ac:dyDescent="0.35">
      <c r="A4" t="s">
        <v>21</v>
      </c>
      <c r="B4" t="s">
        <v>180</v>
      </c>
      <c r="C4" t="s">
        <v>187</v>
      </c>
    </row>
    <row r="5" spans="1:19" x14ac:dyDescent="0.35">
      <c r="A5">
        <v>2025</v>
      </c>
      <c r="B5">
        <v>1</v>
      </c>
    </row>
    <row r="6" spans="1:19" x14ac:dyDescent="0.35">
      <c r="A6">
        <v>2025</v>
      </c>
      <c r="B6">
        <v>2</v>
      </c>
    </row>
    <row r="7" spans="1:19" x14ac:dyDescent="0.35">
      <c r="A7">
        <v>2025</v>
      </c>
      <c r="B7">
        <v>3</v>
      </c>
    </row>
    <row r="8" spans="1:19" x14ac:dyDescent="0.35">
      <c r="A8">
        <v>2025</v>
      </c>
      <c r="B8">
        <v>4</v>
      </c>
    </row>
    <row r="9" spans="1:19" x14ac:dyDescent="0.35">
      <c r="A9">
        <v>2025</v>
      </c>
      <c r="B9">
        <v>5</v>
      </c>
    </row>
    <row r="10" spans="1:19" x14ac:dyDescent="0.35">
      <c r="A10">
        <v>2025</v>
      </c>
      <c r="B10">
        <v>6</v>
      </c>
    </row>
    <row r="11" spans="1:19" x14ac:dyDescent="0.35">
      <c r="A11">
        <v>2025</v>
      </c>
      <c r="B11">
        <v>7</v>
      </c>
    </row>
    <row r="12" spans="1:19" x14ac:dyDescent="0.35">
      <c r="A12">
        <v>2025</v>
      </c>
      <c r="B12">
        <v>8</v>
      </c>
    </row>
    <row r="13" spans="1:19" x14ac:dyDescent="0.35">
      <c r="A13">
        <v>2025</v>
      </c>
      <c r="B13">
        <v>9</v>
      </c>
    </row>
    <row r="14" spans="1:19" x14ac:dyDescent="0.35">
      <c r="A14">
        <v>2025</v>
      </c>
      <c r="B14">
        <v>10</v>
      </c>
    </row>
    <row r="15" spans="1:19" x14ac:dyDescent="0.35">
      <c r="A15">
        <v>2025</v>
      </c>
      <c r="B15">
        <v>11</v>
      </c>
    </row>
    <row r="16" spans="1:19" x14ac:dyDescent="0.35">
      <c r="A16">
        <v>2025</v>
      </c>
      <c r="B16">
        <v>12</v>
      </c>
    </row>
    <row r="17" spans="1:2" x14ac:dyDescent="0.35">
      <c r="A17">
        <v>2026</v>
      </c>
      <c r="B17">
        <v>1</v>
      </c>
    </row>
    <row r="18" spans="1:2" x14ac:dyDescent="0.35">
      <c r="A18">
        <v>2026</v>
      </c>
      <c r="B18">
        <v>2</v>
      </c>
    </row>
    <row r="19" spans="1:2" x14ac:dyDescent="0.35">
      <c r="A19">
        <v>2026</v>
      </c>
      <c r="B19">
        <v>3</v>
      </c>
    </row>
    <row r="20" spans="1:2" x14ac:dyDescent="0.35">
      <c r="A20">
        <v>2026</v>
      </c>
      <c r="B20">
        <v>4</v>
      </c>
    </row>
    <row r="21" spans="1:2" x14ac:dyDescent="0.35">
      <c r="A21">
        <v>2026</v>
      </c>
      <c r="B21">
        <v>5</v>
      </c>
    </row>
    <row r="22" spans="1:2" x14ac:dyDescent="0.35">
      <c r="A22">
        <v>2026</v>
      </c>
      <c r="B22">
        <v>6</v>
      </c>
    </row>
    <row r="23" spans="1:2" x14ac:dyDescent="0.35">
      <c r="A23">
        <v>2026</v>
      </c>
      <c r="B23">
        <v>7</v>
      </c>
    </row>
    <row r="24" spans="1:2" x14ac:dyDescent="0.35">
      <c r="A24">
        <v>2026</v>
      </c>
      <c r="B24">
        <v>8</v>
      </c>
    </row>
    <row r="25" spans="1:2" x14ac:dyDescent="0.35">
      <c r="A25">
        <v>2026</v>
      </c>
      <c r="B25">
        <v>9</v>
      </c>
    </row>
    <row r="26" spans="1:2" x14ac:dyDescent="0.35">
      <c r="A26">
        <v>2026</v>
      </c>
      <c r="B26">
        <v>10</v>
      </c>
    </row>
    <row r="27" spans="1:2" x14ac:dyDescent="0.35">
      <c r="A27">
        <v>2026</v>
      </c>
      <c r="B27">
        <v>11</v>
      </c>
    </row>
    <row r="28" spans="1:2" x14ac:dyDescent="0.35">
      <c r="A28">
        <v>2026</v>
      </c>
      <c r="B28">
        <v>12</v>
      </c>
    </row>
    <row r="29" spans="1:2" x14ac:dyDescent="0.35">
      <c r="A29">
        <v>2027</v>
      </c>
      <c r="B29">
        <v>1</v>
      </c>
    </row>
    <row r="30" spans="1:2" x14ac:dyDescent="0.35">
      <c r="A30">
        <v>2027</v>
      </c>
      <c r="B30">
        <v>2</v>
      </c>
    </row>
    <row r="31" spans="1:2" x14ac:dyDescent="0.35">
      <c r="A31">
        <v>2027</v>
      </c>
      <c r="B31">
        <v>3</v>
      </c>
    </row>
    <row r="32" spans="1:2" x14ac:dyDescent="0.35">
      <c r="A32">
        <v>2027</v>
      </c>
      <c r="B32">
        <v>4</v>
      </c>
    </row>
    <row r="33" spans="1:2" x14ac:dyDescent="0.35">
      <c r="A33">
        <v>2027</v>
      </c>
      <c r="B33">
        <v>5</v>
      </c>
    </row>
    <row r="34" spans="1:2" x14ac:dyDescent="0.35">
      <c r="A34">
        <v>2027</v>
      </c>
      <c r="B34">
        <v>6</v>
      </c>
    </row>
    <row r="35" spans="1:2" x14ac:dyDescent="0.35">
      <c r="A35">
        <v>2027</v>
      </c>
      <c r="B35">
        <v>7</v>
      </c>
    </row>
    <row r="36" spans="1:2" x14ac:dyDescent="0.35">
      <c r="A36">
        <v>2027</v>
      </c>
      <c r="B36">
        <v>8</v>
      </c>
    </row>
    <row r="37" spans="1:2" x14ac:dyDescent="0.35">
      <c r="A37">
        <v>2027</v>
      </c>
      <c r="B37">
        <v>9</v>
      </c>
    </row>
    <row r="38" spans="1:2" x14ac:dyDescent="0.35">
      <c r="A38">
        <v>2027</v>
      </c>
      <c r="B38">
        <v>10</v>
      </c>
    </row>
    <row r="39" spans="1:2" x14ac:dyDescent="0.35">
      <c r="A39">
        <v>2027</v>
      </c>
      <c r="B39">
        <v>11</v>
      </c>
    </row>
    <row r="40" spans="1:2" x14ac:dyDescent="0.35">
      <c r="A40">
        <v>2027</v>
      </c>
      <c r="B40">
        <v>12</v>
      </c>
    </row>
    <row r="41" spans="1:2" x14ac:dyDescent="0.35">
      <c r="A41">
        <v>2028</v>
      </c>
      <c r="B41">
        <v>1</v>
      </c>
    </row>
    <row r="42" spans="1:2" x14ac:dyDescent="0.35">
      <c r="A42">
        <v>2028</v>
      </c>
      <c r="B42">
        <v>2</v>
      </c>
    </row>
    <row r="43" spans="1:2" x14ac:dyDescent="0.35">
      <c r="A43">
        <v>2028</v>
      </c>
      <c r="B43">
        <v>3</v>
      </c>
    </row>
    <row r="44" spans="1:2" x14ac:dyDescent="0.35">
      <c r="A44">
        <v>2028</v>
      </c>
      <c r="B44">
        <v>4</v>
      </c>
    </row>
    <row r="45" spans="1:2" x14ac:dyDescent="0.35">
      <c r="A45">
        <v>2028</v>
      </c>
      <c r="B45">
        <v>5</v>
      </c>
    </row>
    <row r="46" spans="1:2" x14ac:dyDescent="0.35">
      <c r="A46">
        <v>2028</v>
      </c>
      <c r="B46">
        <v>6</v>
      </c>
    </row>
    <row r="47" spans="1:2" x14ac:dyDescent="0.35">
      <c r="A47">
        <v>2028</v>
      </c>
      <c r="B47">
        <v>7</v>
      </c>
    </row>
    <row r="48" spans="1:2" x14ac:dyDescent="0.35">
      <c r="A48">
        <v>2028</v>
      </c>
      <c r="B48">
        <v>8</v>
      </c>
    </row>
    <row r="49" spans="1:2" x14ac:dyDescent="0.35">
      <c r="A49">
        <v>2028</v>
      </c>
      <c r="B49">
        <v>9</v>
      </c>
    </row>
    <row r="50" spans="1:2" x14ac:dyDescent="0.35">
      <c r="A50">
        <v>2028</v>
      </c>
      <c r="B50">
        <v>10</v>
      </c>
    </row>
    <row r="51" spans="1:2" x14ac:dyDescent="0.35">
      <c r="A51">
        <v>2028</v>
      </c>
      <c r="B51">
        <v>11</v>
      </c>
    </row>
    <row r="52" spans="1:2" x14ac:dyDescent="0.35">
      <c r="A52">
        <v>2028</v>
      </c>
      <c r="B52">
        <v>12</v>
      </c>
    </row>
    <row r="53" spans="1:2" x14ac:dyDescent="0.35">
      <c r="A53">
        <v>2029</v>
      </c>
      <c r="B53">
        <v>1</v>
      </c>
    </row>
    <row r="54" spans="1:2" x14ac:dyDescent="0.35">
      <c r="A54">
        <v>2029</v>
      </c>
      <c r="B54">
        <v>2</v>
      </c>
    </row>
    <row r="55" spans="1:2" x14ac:dyDescent="0.35">
      <c r="A55">
        <v>2029</v>
      </c>
      <c r="B55">
        <v>3</v>
      </c>
    </row>
    <row r="56" spans="1:2" x14ac:dyDescent="0.35">
      <c r="A56">
        <v>2029</v>
      </c>
      <c r="B56">
        <v>4</v>
      </c>
    </row>
    <row r="57" spans="1:2" x14ac:dyDescent="0.35">
      <c r="A57">
        <v>2029</v>
      </c>
      <c r="B57">
        <v>5</v>
      </c>
    </row>
    <row r="58" spans="1:2" x14ac:dyDescent="0.35">
      <c r="A58">
        <v>2029</v>
      </c>
      <c r="B58">
        <v>6</v>
      </c>
    </row>
    <row r="59" spans="1:2" x14ac:dyDescent="0.35">
      <c r="A59">
        <v>2029</v>
      </c>
      <c r="B59">
        <v>7</v>
      </c>
    </row>
    <row r="60" spans="1:2" x14ac:dyDescent="0.35">
      <c r="A60">
        <v>2029</v>
      </c>
      <c r="B60">
        <v>8</v>
      </c>
    </row>
    <row r="61" spans="1:2" x14ac:dyDescent="0.35">
      <c r="A61">
        <v>2029</v>
      </c>
      <c r="B61">
        <v>9</v>
      </c>
    </row>
    <row r="62" spans="1:2" x14ac:dyDescent="0.35">
      <c r="A62">
        <v>2029</v>
      </c>
      <c r="B62">
        <v>10</v>
      </c>
    </row>
    <row r="63" spans="1:2" x14ac:dyDescent="0.35">
      <c r="A63">
        <v>2029</v>
      </c>
      <c r="B63">
        <v>11</v>
      </c>
    </row>
    <row r="64" spans="1:2" x14ac:dyDescent="0.35">
      <c r="A64">
        <v>2029</v>
      </c>
      <c r="B64">
        <v>12</v>
      </c>
    </row>
    <row r="65" spans="1:2" x14ac:dyDescent="0.35">
      <c r="A65">
        <v>2030</v>
      </c>
      <c r="B65">
        <v>1</v>
      </c>
    </row>
    <row r="66" spans="1:2" x14ac:dyDescent="0.35">
      <c r="A66">
        <v>2030</v>
      </c>
      <c r="B66">
        <v>2</v>
      </c>
    </row>
    <row r="67" spans="1:2" x14ac:dyDescent="0.35">
      <c r="A67">
        <v>2030</v>
      </c>
      <c r="B67">
        <v>3</v>
      </c>
    </row>
    <row r="68" spans="1:2" x14ac:dyDescent="0.35">
      <c r="A68">
        <v>2030</v>
      </c>
      <c r="B68">
        <v>4</v>
      </c>
    </row>
    <row r="69" spans="1:2" x14ac:dyDescent="0.35">
      <c r="A69">
        <v>2030</v>
      </c>
      <c r="B69">
        <v>5</v>
      </c>
    </row>
    <row r="70" spans="1:2" x14ac:dyDescent="0.35">
      <c r="A70">
        <v>2030</v>
      </c>
      <c r="B70">
        <v>6</v>
      </c>
    </row>
    <row r="71" spans="1:2" x14ac:dyDescent="0.35">
      <c r="A71">
        <v>2030</v>
      </c>
      <c r="B71">
        <v>7</v>
      </c>
    </row>
    <row r="72" spans="1:2" x14ac:dyDescent="0.35">
      <c r="A72">
        <v>2030</v>
      </c>
      <c r="B72">
        <v>8</v>
      </c>
    </row>
    <row r="73" spans="1:2" x14ac:dyDescent="0.35">
      <c r="A73">
        <v>2030</v>
      </c>
      <c r="B73">
        <v>9</v>
      </c>
    </row>
    <row r="74" spans="1:2" x14ac:dyDescent="0.35">
      <c r="A74">
        <v>2030</v>
      </c>
      <c r="B74">
        <v>10</v>
      </c>
    </row>
    <row r="75" spans="1:2" x14ac:dyDescent="0.35">
      <c r="A75">
        <v>2030</v>
      </c>
      <c r="B75">
        <v>11</v>
      </c>
    </row>
    <row r="76" spans="1:2" x14ac:dyDescent="0.35">
      <c r="A76">
        <v>2030</v>
      </c>
      <c r="B76">
        <v>12</v>
      </c>
    </row>
    <row r="77" spans="1:2" x14ac:dyDescent="0.35">
      <c r="A77">
        <v>2031</v>
      </c>
      <c r="B77">
        <v>1</v>
      </c>
    </row>
    <row r="78" spans="1:2" x14ac:dyDescent="0.35">
      <c r="A78">
        <v>2031</v>
      </c>
      <c r="B78">
        <v>2</v>
      </c>
    </row>
    <row r="79" spans="1:2" x14ac:dyDescent="0.35">
      <c r="A79">
        <v>2031</v>
      </c>
      <c r="B79">
        <v>3</v>
      </c>
    </row>
    <row r="80" spans="1:2" x14ac:dyDescent="0.35">
      <c r="A80">
        <v>2031</v>
      </c>
      <c r="B80">
        <v>4</v>
      </c>
    </row>
    <row r="81" spans="1:2" x14ac:dyDescent="0.35">
      <c r="A81">
        <v>2031</v>
      </c>
      <c r="B81">
        <v>5</v>
      </c>
    </row>
    <row r="82" spans="1:2" x14ac:dyDescent="0.35">
      <c r="A82">
        <v>2031</v>
      </c>
      <c r="B82">
        <v>6</v>
      </c>
    </row>
    <row r="83" spans="1:2" x14ac:dyDescent="0.35">
      <c r="A83">
        <v>2031</v>
      </c>
      <c r="B83">
        <v>7</v>
      </c>
    </row>
    <row r="84" spans="1:2" x14ac:dyDescent="0.35">
      <c r="A84">
        <v>2031</v>
      </c>
      <c r="B84">
        <v>8</v>
      </c>
    </row>
    <row r="85" spans="1:2" x14ac:dyDescent="0.35">
      <c r="A85">
        <v>2031</v>
      </c>
      <c r="B85">
        <v>9</v>
      </c>
    </row>
    <row r="86" spans="1:2" x14ac:dyDescent="0.35">
      <c r="A86">
        <v>2031</v>
      </c>
      <c r="B86">
        <v>10</v>
      </c>
    </row>
    <row r="87" spans="1:2" x14ac:dyDescent="0.35">
      <c r="A87">
        <v>2031</v>
      </c>
      <c r="B87">
        <v>11</v>
      </c>
    </row>
    <row r="88" spans="1:2" x14ac:dyDescent="0.35">
      <c r="A88">
        <v>2031</v>
      </c>
      <c r="B88">
        <v>12</v>
      </c>
    </row>
    <row r="89" spans="1:2" x14ac:dyDescent="0.35">
      <c r="A89">
        <v>2032</v>
      </c>
      <c r="B89">
        <v>1</v>
      </c>
    </row>
    <row r="90" spans="1:2" x14ac:dyDescent="0.35">
      <c r="A90">
        <v>2032</v>
      </c>
      <c r="B90">
        <v>2</v>
      </c>
    </row>
    <row r="91" spans="1:2" x14ac:dyDescent="0.35">
      <c r="A91">
        <v>2032</v>
      </c>
      <c r="B91">
        <v>3</v>
      </c>
    </row>
    <row r="92" spans="1:2" x14ac:dyDescent="0.35">
      <c r="A92">
        <v>2032</v>
      </c>
      <c r="B92">
        <v>4</v>
      </c>
    </row>
    <row r="93" spans="1:2" x14ac:dyDescent="0.35">
      <c r="A93">
        <v>2032</v>
      </c>
      <c r="B93">
        <v>5</v>
      </c>
    </row>
    <row r="94" spans="1:2" x14ac:dyDescent="0.35">
      <c r="A94">
        <v>2032</v>
      </c>
      <c r="B94">
        <v>6</v>
      </c>
    </row>
    <row r="95" spans="1:2" x14ac:dyDescent="0.35">
      <c r="A95">
        <v>2032</v>
      </c>
      <c r="B95">
        <v>7</v>
      </c>
    </row>
    <row r="96" spans="1:2" x14ac:dyDescent="0.35">
      <c r="A96">
        <v>2032</v>
      </c>
      <c r="B96">
        <v>8</v>
      </c>
    </row>
    <row r="97" spans="1:2" x14ac:dyDescent="0.35">
      <c r="A97">
        <v>2032</v>
      </c>
      <c r="B97">
        <v>9</v>
      </c>
    </row>
    <row r="98" spans="1:2" x14ac:dyDescent="0.35">
      <c r="A98">
        <v>2032</v>
      </c>
      <c r="B98">
        <v>10</v>
      </c>
    </row>
    <row r="99" spans="1:2" x14ac:dyDescent="0.35">
      <c r="A99">
        <v>2032</v>
      </c>
      <c r="B99">
        <v>11</v>
      </c>
    </row>
    <row r="100" spans="1:2" x14ac:dyDescent="0.35">
      <c r="A100">
        <v>2032</v>
      </c>
      <c r="B100">
        <v>12</v>
      </c>
    </row>
    <row r="101" spans="1:2" x14ac:dyDescent="0.35">
      <c r="A101">
        <v>2033</v>
      </c>
      <c r="B101">
        <v>1</v>
      </c>
    </row>
    <row r="102" spans="1:2" x14ac:dyDescent="0.35">
      <c r="A102">
        <v>2033</v>
      </c>
      <c r="B102">
        <v>2</v>
      </c>
    </row>
    <row r="103" spans="1:2" x14ac:dyDescent="0.35">
      <c r="A103">
        <v>2033</v>
      </c>
      <c r="B103">
        <v>3</v>
      </c>
    </row>
    <row r="104" spans="1:2" x14ac:dyDescent="0.35">
      <c r="A104">
        <v>2033</v>
      </c>
      <c r="B104">
        <v>4</v>
      </c>
    </row>
    <row r="105" spans="1:2" x14ac:dyDescent="0.35">
      <c r="A105">
        <v>2033</v>
      </c>
      <c r="B105">
        <v>5</v>
      </c>
    </row>
    <row r="106" spans="1:2" x14ac:dyDescent="0.35">
      <c r="A106">
        <v>2033</v>
      </c>
      <c r="B106">
        <v>6</v>
      </c>
    </row>
    <row r="107" spans="1:2" x14ac:dyDescent="0.35">
      <c r="A107">
        <v>2033</v>
      </c>
      <c r="B107">
        <v>7</v>
      </c>
    </row>
    <row r="108" spans="1:2" x14ac:dyDescent="0.35">
      <c r="A108">
        <v>2033</v>
      </c>
      <c r="B108">
        <v>8</v>
      </c>
    </row>
    <row r="109" spans="1:2" x14ac:dyDescent="0.35">
      <c r="A109">
        <v>2033</v>
      </c>
      <c r="B109">
        <v>9</v>
      </c>
    </row>
    <row r="110" spans="1:2" x14ac:dyDescent="0.35">
      <c r="A110">
        <v>2033</v>
      </c>
      <c r="B110">
        <v>10</v>
      </c>
    </row>
    <row r="111" spans="1:2" x14ac:dyDescent="0.35">
      <c r="A111">
        <v>2033</v>
      </c>
      <c r="B111">
        <v>11</v>
      </c>
    </row>
    <row r="112" spans="1:2" x14ac:dyDescent="0.35">
      <c r="A112">
        <v>2033</v>
      </c>
      <c r="B112">
        <v>12</v>
      </c>
    </row>
    <row r="113" spans="1:2" x14ac:dyDescent="0.35">
      <c r="A113">
        <v>2034</v>
      </c>
      <c r="B113">
        <v>1</v>
      </c>
    </row>
    <row r="114" spans="1:2" x14ac:dyDescent="0.35">
      <c r="A114">
        <v>2034</v>
      </c>
      <c r="B114">
        <v>2</v>
      </c>
    </row>
    <row r="115" spans="1:2" x14ac:dyDescent="0.35">
      <c r="A115">
        <v>2034</v>
      </c>
      <c r="B115">
        <v>3</v>
      </c>
    </row>
    <row r="116" spans="1:2" x14ac:dyDescent="0.35">
      <c r="A116">
        <v>2034</v>
      </c>
      <c r="B116">
        <v>4</v>
      </c>
    </row>
    <row r="117" spans="1:2" x14ac:dyDescent="0.35">
      <c r="A117">
        <v>2034</v>
      </c>
      <c r="B117">
        <v>5</v>
      </c>
    </row>
    <row r="118" spans="1:2" x14ac:dyDescent="0.35">
      <c r="A118">
        <v>2034</v>
      </c>
      <c r="B118">
        <v>6</v>
      </c>
    </row>
    <row r="119" spans="1:2" x14ac:dyDescent="0.35">
      <c r="A119">
        <v>2034</v>
      </c>
      <c r="B119">
        <v>7</v>
      </c>
    </row>
    <row r="120" spans="1:2" x14ac:dyDescent="0.35">
      <c r="A120">
        <v>2034</v>
      </c>
      <c r="B120">
        <v>8</v>
      </c>
    </row>
    <row r="121" spans="1:2" x14ac:dyDescent="0.35">
      <c r="A121">
        <v>2034</v>
      </c>
      <c r="B121">
        <v>9</v>
      </c>
    </row>
    <row r="122" spans="1:2" x14ac:dyDescent="0.35">
      <c r="A122">
        <v>2034</v>
      </c>
      <c r="B122">
        <v>10</v>
      </c>
    </row>
    <row r="123" spans="1:2" x14ac:dyDescent="0.35">
      <c r="A123">
        <v>2034</v>
      </c>
      <c r="B123">
        <v>11</v>
      </c>
    </row>
    <row r="124" spans="1:2" x14ac:dyDescent="0.35">
      <c r="A124">
        <v>2034</v>
      </c>
      <c r="B124">
        <v>12</v>
      </c>
    </row>
    <row r="125" spans="1:2" x14ac:dyDescent="0.35">
      <c r="A125">
        <v>2035</v>
      </c>
      <c r="B125">
        <v>1</v>
      </c>
    </row>
    <row r="126" spans="1:2" x14ac:dyDescent="0.35">
      <c r="A126">
        <v>2035</v>
      </c>
      <c r="B126">
        <v>2</v>
      </c>
    </row>
    <row r="127" spans="1:2" x14ac:dyDescent="0.35">
      <c r="A127">
        <v>2035</v>
      </c>
      <c r="B127">
        <v>3</v>
      </c>
    </row>
    <row r="128" spans="1:2" x14ac:dyDescent="0.35">
      <c r="A128">
        <v>2035</v>
      </c>
      <c r="B128">
        <v>4</v>
      </c>
    </row>
    <row r="129" spans="1:2" x14ac:dyDescent="0.35">
      <c r="A129">
        <v>2035</v>
      </c>
      <c r="B129">
        <v>5</v>
      </c>
    </row>
    <row r="130" spans="1:2" x14ac:dyDescent="0.35">
      <c r="A130">
        <v>2035</v>
      </c>
      <c r="B130">
        <v>6</v>
      </c>
    </row>
    <row r="131" spans="1:2" x14ac:dyDescent="0.35">
      <c r="A131">
        <v>2035</v>
      </c>
      <c r="B131">
        <v>7</v>
      </c>
    </row>
    <row r="132" spans="1:2" x14ac:dyDescent="0.35">
      <c r="A132">
        <v>2035</v>
      </c>
      <c r="B132">
        <v>8</v>
      </c>
    </row>
    <row r="133" spans="1:2" x14ac:dyDescent="0.35">
      <c r="A133">
        <v>2035</v>
      </c>
      <c r="B133">
        <v>9</v>
      </c>
    </row>
    <row r="134" spans="1:2" x14ac:dyDescent="0.35">
      <c r="A134">
        <v>2035</v>
      </c>
      <c r="B134">
        <v>10</v>
      </c>
    </row>
    <row r="135" spans="1:2" x14ac:dyDescent="0.35">
      <c r="A135">
        <v>2035</v>
      </c>
      <c r="B135">
        <v>11</v>
      </c>
    </row>
    <row r="136" spans="1:2" x14ac:dyDescent="0.35">
      <c r="A136">
        <v>2035</v>
      </c>
      <c r="B136">
        <v>12</v>
      </c>
    </row>
    <row r="137" spans="1:2" x14ac:dyDescent="0.35">
      <c r="A137">
        <v>2036</v>
      </c>
      <c r="B137">
        <v>1</v>
      </c>
    </row>
    <row r="138" spans="1:2" x14ac:dyDescent="0.35">
      <c r="A138">
        <v>2036</v>
      </c>
      <c r="B138">
        <v>2</v>
      </c>
    </row>
    <row r="139" spans="1:2" x14ac:dyDescent="0.35">
      <c r="A139">
        <v>2036</v>
      </c>
      <c r="B139">
        <v>3</v>
      </c>
    </row>
    <row r="140" spans="1:2" x14ac:dyDescent="0.35">
      <c r="A140">
        <v>2036</v>
      </c>
      <c r="B140">
        <v>4</v>
      </c>
    </row>
    <row r="141" spans="1:2" x14ac:dyDescent="0.35">
      <c r="A141">
        <v>2036</v>
      </c>
      <c r="B141">
        <v>5</v>
      </c>
    </row>
    <row r="142" spans="1:2" x14ac:dyDescent="0.35">
      <c r="A142">
        <v>2036</v>
      </c>
      <c r="B142">
        <v>6</v>
      </c>
    </row>
    <row r="143" spans="1:2" x14ac:dyDescent="0.35">
      <c r="A143">
        <v>2036</v>
      </c>
      <c r="B143">
        <v>7</v>
      </c>
    </row>
    <row r="144" spans="1:2" x14ac:dyDescent="0.35">
      <c r="A144">
        <v>2036</v>
      </c>
      <c r="B144">
        <v>8</v>
      </c>
    </row>
    <row r="145" spans="1:2" x14ac:dyDescent="0.35">
      <c r="A145">
        <v>2036</v>
      </c>
      <c r="B145">
        <v>9</v>
      </c>
    </row>
    <row r="146" spans="1:2" x14ac:dyDescent="0.35">
      <c r="A146">
        <v>2036</v>
      </c>
      <c r="B146">
        <v>10</v>
      </c>
    </row>
    <row r="147" spans="1:2" x14ac:dyDescent="0.35">
      <c r="A147">
        <v>2036</v>
      </c>
      <c r="B147">
        <v>11</v>
      </c>
    </row>
    <row r="148" spans="1:2" x14ac:dyDescent="0.35">
      <c r="A148">
        <v>2036</v>
      </c>
      <c r="B148">
        <v>12</v>
      </c>
    </row>
    <row r="149" spans="1:2" x14ac:dyDescent="0.35">
      <c r="A149">
        <v>2037</v>
      </c>
      <c r="B149">
        <v>1</v>
      </c>
    </row>
    <row r="150" spans="1:2" x14ac:dyDescent="0.35">
      <c r="A150">
        <v>2037</v>
      </c>
      <c r="B150">
        <v>2</v>
      </c>
    </row>
    <row r="151" spans="1:2" x14ac:dyDescent="0.35">
      <c r="A151">
        <v>2037</v>
      </c>
      <c r="B151">
        <v>3</v>
      </c>
    </row>
    <row r="152" spans="1:2" x14ac:dyDescent="0.35">
      <c r="A152">
        <v>2037</v>
      </c>
      <c r="B152">
        <v>4</v>
      </c>
    </row>
    <row r="153" spans="1:2" x14ac:dyDescent="0.35">
      <c r="A153">
        <v>2037</v>
      </c>
      <c r="B153">
        <v>5</v>
      </c>
    </row>
    <row r="154" spans="1:2" x14ac:dyDescent="0.35">
      <c r="A154">
        <v>2037</v>
      </c>
      <c r="B154">
        <v>6</v>
      </c>
    </row>
    <row r="155" spans="1:2" x14ac:dyDescent="0.35">
      <c r="A155">
        <v>2037</v>
      </c>
      <c r="B155">
        <v>7</v>
      </c>
    </row>
    <row r="156" spans="1:2" x14ac:dyDescent="0.35">
      <c r="A156">
        <v>2037</v>
      </c>
      <c r="B156">
        <v>8</v>
      </c>
    </row>
    <row r="157" spans="1:2" x14ac:dyDescent="0.35">
      <c r="A157">
        <v>2037</v>
      </c>
      <c r="B157">
        <v>9</v>
      </c>
    </row>
    <row r="158" spans="1:2" x14ac:dyDescent="0.35">
      <c r="A158">
        <v>2037</v>
      </c>
      <c r="B158">
        <v>10</v>
      </c>
    </row>
    <row r="159" spans="1:2" x14ac:dyDescent="0.35">
      <c r="A159">
        <v>2037</v>
      </c>
      <c r="B159">
        <v>11</v>
      </c>
    </row>
    <row r="160" spans="1:2" x14ac:dyDescent="0.35">
      <c r="A160">
        <v>2037</v>
      </c>
      <c r="B160">
        <v>12</v>
      </c>
    </row>
    <row r="161" spans="1:2" x14ac:dyDescent="0.35">
      <c r="A161">
        <v>2038</v>
      </c>
      <c r="B161">
        <v>1</v>
      </c>
    </row>
    <row r="162" spans="1:2" x14ac:dyDescent="0.35">
      <c r="A162">
        <v>2038</v>
      </c>
      <c r="B162">
        <v>2</v>
      </c>
    </row>
    <row r="163" spans="1:2" x14ac:dyDescent="0.35">
      <c r="A163">
        <v>2038</v>
      </c>
      <c r="B163">
        <v>3</v>
      </c>
    </row>
    <row r="164" spans="1:2" x14ac:dyDescent="0.35">
      <c r="A164">
        <v>2038</v>
      </c>
      <c r="B164">
        <v>4</v>
      </c>
    </row>
    <row r="165" spans="1:2" x14ac:dyDescent="0.35">
      <c r="A165">
        <v>2038</v>
      </c>
      <c r="B165">
        <v>5</v>
      </c>
    </row>
    <row r="166" spans="1:2" x14ac:dyDescent="0.35">
      <c r="A166">
        <v>2038</v>
      </c>
      <c r="B166">
        <v>6</v>
      </c>
    </row>
    <row r="167" spans="1:2" x14ac:dyDescent="0.35">
      <c r="A167">
        <v>2038</v>
      </c>
      <c r="B167">
        <v>7</v>
      </c>
    </row>
    <row r="168" spans="1:2" x14ac:dyDescent="0.35">
      <c r="A168">
        <v>2038</v>
      </c>
      <c r="B168">
        <v>8</v>
      </c>
    </row>
    <row r="169" spans="1:2" x14ac:dyDescent="0.35">
      <c r="A169">
        <v>2038</v>
      </c>
      <c r="B169">
        <v>9</v>
      </c>
    </row>
    <row r="170" spans="1:2" x14ac:dyDescent="0.35">
      <c r="A170">
        <v>2038</v>
      </c>
      <c r="B170">
        <v>10</v>
      </c>
    </row>
    <row r="171" spans="1:2" x14ac:dyDescent="0.35">
      <c r="A171">
        <v>2038</v>
      </c>
      <c r="B171">
        <v>11</v>
      </c>
    </row>
    <row r="172" spans="1:2" x14ac:dyDescent="0.35">
      <c r="A172">
        <v>2038</v>
      </c>
      <c r="B172">
        <v>12</v>
      </c>
    </row>
    <row r="173" spans="1:2" x14ac:dyDescent="0.35">
      <c r="A173">
        <v>2039</v>
      </c>
      <c r="B173">
        <v>1</v>
      </c>
    </row>
    <row r="174" spans="1:2" x14ac:dyDescent="0.35">
      <c r="A174">
        <v>2039</v>
      </c>
      <c r="B174">
        <v>2</v>
      </c>
    </row>
    <row r="175" spans="1:2" x14ac:dyDescent="0.35">
      <c r="A175">
        <v>2039</v>
      </c>
      <c r="B175">
        <v>3</v>
      </c>
    </row>
    <row r="176" spans="1:2" x14ac:dyDescent="0.35">
      <c r="A176">
        <v>2039</v>
      </c>
      <c r="B176">
        <v>4</v>
      </c>
    </row>
    <row r="177" spans="1:2" x14ac:dyDescent="0.35">
      <c r="A177">
        <v>2039</v>
      </c>
      <c r="B177">
        <v>5</v>
      </c>
    </row>
    <row r="178" spans="1:2" x14ac:dyDescent="0.35">
      <c r="A178">
        <v>2039</v>
      </c>
      <c r="B178">
        <v>6</v>
      </c>
    </row>
    <row r="179" spans="1:2" x14ac:dyDescent="0.35">
      <c r="A179">
        <v>2039</v>
      </c>
      <c r="B179">
        <v>7</v>
      </c>
    </row>
    <row r="180" spans="1:2" x14ac:dyDescent="0.35">
      <c r="A180">
        <v>2039</v>
      </c>
      <c r="B180">
        <v>8</v>
      </c>
    </row>
    <row r="181" spans="1:2" x14ac:dyDescent="0.35">
      <c r="A181">
        <v>2039</v>
      </c>
      <c r="B181">
        <v>9</v>
      </c>
    </row>
    <row r="182" spans="1:2" x14ac:dyDescent="0.35">
      <c r="A182">
        <v>2039</v>
      </c>
      <c r="B182">
        <v>10</v>
      </c>
    </row>
    <row r="183" spans="1:2" x14ac:dyDescent="0.35">
      <c r="A183">
        <v>2039</v>
      </c>
      <c r="B183">
        <v>11</v>
      </c>
    </row>
    <row r="184" spans="1:2" x14ac:dyDescent="0.35">
      <c r="A184">
        <v>2039</v>
      </c>
      <c r="B184">
        <v>12</v>
      </c>
    </row>
    <row r="185" spans="1:2" x14ac:dyDescent="0.35">
      <c r="A185">
        <v>2040</v>
      </c>
      <c r="B185">
        <v>1</v>
      </c>
    </row>
    <row r="186" spans="1:2" x14ac:dyDescent="0.35">
      <c r="A186">
        <v>2040</v>
      </c>
      <c r="B186">
        <v>2</v>
      </c>
    </row>
    <row r="187" spans="1:2" x14ac:dyDescent="0.35">
      <c r="A187">
        <v>2040</v>
      </c>
      <c r="B187">
        <v>3</v>
      </c>
    </row>
    <row r="188" spans="1:2" x14ac:dyDescent="0.35">
      <c r="A188">
        <v>2040</v>
      </c>
      <c r="B188">
        <v>4</v>
      </c>
    </row>
    <row r="189" spans="1:2" x14ac:dyDescent="0.35">
      <c r="A189">
        <v>2040</v>
      </c>
      <c r="B189">
        <v>5</v>
      </c>
    </row>
    <row r="190" spans="1:2" x14ac:dyDescent="0.35">
      <c r="A190">
        <v>2040</v>
      </c>
      <c r="B190">
        <v>6</v>
      </c>
    </row>
    <row r="191" spans="1:2" x14ac:dyDescent="0.35">
      <c r="A191">
        <v>2040</v>
      </c>
      <c r="B191">
        <v>7</v>
      </c>
    </row>
    <row r="192" spans="1:2" x14ac:dyDescent="0.35">
      <c r="A192">
        <v>2040</v>
      </c>
      <c r="B192">
        <v>8</v>
      </c>
    </row>
    <row r="193" spans="1:2" x14ac:dyDescent="0.35">
      <c r="A193">
        <v>2040</v>
      </c>
      <c r="B193">
        <v>9</v>
      </c>
    </row>
    <row r="194" spans="1:2" x14ac:dyDescent="0.35">
      <c r="A194">
        <v>2040</v>
      </c>
      <c r="B194">
        <v>10</v>
      </c>
    </row>
    <row r="195" spans="1:2" x14ac:dyDescent="0.35">
      <c r="A195">
        <v>2040</v>
      </c>
      <c r="B195">
        <v>11</v>
      </c>
    </row>
    <row r="196" spans="1:2" x14ac:dyDescent="0.35">
      <c r="A196">
        <v>2040</v>
      </c>
      <c r="B196">
        <v>12</v>
      </c>
    </row>
    <row r="197" spans="1:2" x14ac:dyDescent="0.35">
      <c r="A197">
        <v>2041</v>
      </c>
      <c r="B197">
        <v>1</v>
      </c>
    </row>
    <row r="198" spans="1:2" x14ac:dyDescent="0.35">
      <c r="A198">
        <v>2041</v>
      </c>
      <c r="B198">
        <v>2</v>
      </c>
    </row>
    <row r="199" spans="1:2" x14ac:dyDescent="0.35">
      <c r="A199">
        <v>2041</v>
      </c>
      <c r="B199">
        <v>3</v>
      </c>
    </row>
    <row r="200" spans="1:2" x14ac:dyDescent="0.35">
      <c r="A200">
        <v>2041</v>
      </c>
      <c r="B200">
        <v>4</v>
      </c>
    </row>
    <row r="201" spans="1:2" x14ac:dyDescent="0.35">
      <c r="A201">
        <v>2041</v>
      </c>
      <c r="B201">
        <v>5</v>
      </c>
    </row>
    <row r="202" spans="1:2" x14ac:dyDescent="0.35">
      <c r="A202">
        <v>2041</v>
      </c>
      <c r="B202">
        <v>6</v>
      </c>
    </row>
    <row r="203" spans="1:2" x14ac:dyDescent="0.35">
      <c r="A203">
        <v>2041</v>
      </c>
      <c r="B203">
        <v>7</v>
      </c>
    </row>
    <row r="204" spans="1:2" x14ac:dyDescent="0.35">
      <c r="A204">
        <v>2041</v>
      </c>
      <c r="B204">
        <v>8</v>
      </c>
    </row>
    <row r="205" spans="1:2" x14ac:dyDescent="0.35">
      <c r="A205">
        <v>2041</v>
      </c>
      <c r="B205">
        <v>9</v>
      </c>
    </row>
    <row r="206" spans="1:2" x14ac:dyDescent="0.35">
      <c r="A206">
        <v>2041</v>
      </c>
      <c r="B206">
        <v>10</v>
      </c>
    </row>
    <row r="207" spans="1:2" x14ac:dyDescent="0.35">
      <c r="A207">
        <v>2041</v>
      </c>
      <c r="B207">
        <v>11</v>
      </c>
    </row>
    <row r="208" spans="1:2" x14ac:dyDescent="0.35">
      <c r="A208">
        <v>2041</v>
      </c>
      <c r="B208">
        <v>12</v>
      </c>
    </row>
    <row r="209" spans="1:2" x14ac:dyDescent="0.35">
      <c r="A209">
        <v>2042</v>
      </c>
      <c r="B209">
        <v>1</v>
      </c>
    </row>
    <row r="210" spans="1:2" x14ac:dyDescent="0.35">
      <c r="A210">
        <v>2042</v>
      </c>
      <c r="B210">
        <v>2</v>
      </c>
    </row>
    <row r="211" spans="1:2" x14ac:dyDescent="0.35">
      <c r="A211">
        <v>2042</v>
      </c>
      <c r="B211">
        <v>3</v>
      </c>
    </row>
    <row r="212" spans="1:2" x14ac:dyDescent="0.35">
      <c r="A212">
        <v>2042</v>
      </c>
      <c r="B212">
        <v>4</v>
      </c>
    </row>
    <row r="213" spans="1:2" x14ac:dyDescent="0.35">
      <c r="A213">
        <v>2042</v>
      </c>
      <c r="B213">
        <v>5</v>
      </c>
    </row>
    <row r="214" spans="1:2" x14ac:dyDescent="0.35">
      <c r="A214">
        <v>2042</v>
      </c>
      <c r="B214">
        <v>6</v>
      </c>
    </row>
    <row r="215" spans="1:2" x14ac:dyDescent="0.35">
      <c r="A215">
        <v>2042</v>
      </c>
      <c r="B215">
        <v>7</v>
      </c>
    </row>
    <row r="216" spans="1:2" x14ac:dyDescent="0.35">
      <c r="A216">
        <v>2042</v>
      </c>
      <c r="B216">
        <v>8</v>
      </c>
    </row>
    <row r="217" spans="1:2" x14ac:dyDescent="0.35">
      <c r="A217">
        <v>2042</v>
      </c>
      <c r="B217">
        <v>9</v>
      </c>
    </row>
    <row r="218" spans="1:2" x14ac:dyDescent="0.35">
      <c r="A218">
        <v>2042</v>
      </c>
      <c r="B218">
        <v>10</v>
      </c>
    </row>
    <row r="219" spans="1:2" x14ac:dyDescent="0.35">
      <c r="A219">
        <v>2042</v>
      </c>
      <c r="B219">
        <v>11</v>
      </c>
    </row>
    <row r="220" spans="1:2" x14ac:dyDescent="0.35">
      <c r="A220">
        <v>2042</v>
      </c>
      <c r="B220">
        <v>12</v>
      </c>
    </row>
    <row r="221" spans="1:2" x14ac:dyDescent="0.35">
      <c r="A221">
        <v>2043</v>
      </c>
      <c r="B221">
        <v>1</v>
      </c>
    </row>
    <row r="222" spans="1:2" x14ac:dyDescent="0.35">
      <c r="A222">
        <v>2043</v>
      </c>
      <c r="B222">
        <v>2</v>
      </c>
    </row>
    <row r="223" spans="1:2" x14ac:dyDescent="0.35">
      <c r="A223">
        <v>2043</v>
      </c>
      <c r="B223">
        <v>3</v>
      </c>
    </row>
    <row r="224" spans="1:2" x14ac:dyDescent="0.35">
      <c r="A224">
        <v>2043</v>
      </c>
      <c r="B224">
        <v>4</v>
      </c>
    </row>
    <row r="225" spans="1:2" x14ac:dyDescent="0.35">
      <c r="A225">
        <v>2043</v>
      </c>
      <c r="B225">
        <v>5</v>
      </c>
    </row>
    <row r="226" spans="1:2" x14ac:dyDescent="0.35">
      <c r="A226">
        <v>2043</v>
      </c>
      <c r="B226">
        <v>6</v>
      </c>
    </row>
    <row r="227" spans="1:2" x14ac:dyDescent="0.35">
      <c r="A227">
        <v>2043</v>
      </c>
      <c r="B227">
        <v>7</v>
      </c>
    </row>
    <row r="228" spans="1:2" x14ac:dyDescent="0.35">
      <c r="A228">
        <v>2043</v>
      </c>
      <c r="B228">
        <v>8</v>
      </c>
    </row>
    <row r="229" spans="1:2" x14ac:dyDescent="0.35">
      <c r="A229">
        <v>2043</v>
      </c>
      <c r="B229">
        <v>9</v>
      </c>
    </row>
    <row r="230" spans="1:2" x14ac:dyDescent="0.35">
      <c r="A230">
        <v>2043</v>
      </c>
      <c r="B230">
        <v>10</v>
      </c>
    </row>
    <row r="231" spans="1:2" x14ac:dyDescent="0.35">
      <c r="A231">
        <v>2043</v>
      </c>
      <c r="B231">
        <v>11</v>
      </c>
    </row>
    <row r="232" spans="1:2" x14ac:dyDescent="0.35">
      <c r="A232">
        <v>2043</v>
      </c>
      <c r="B232">
        <v>12</v>
      </c>
    </row>
    <row r="233" spans="1:2" x14ac:dyDescent="0.35">
      <c r="A233">
        <v>2044</v>
      </c>
      <c r="B233">
        <v>1</v>
      </c>
    </row>
    <row r="234" spans="1:2" x14ac:dyDescent="0.35">
      <c r="A234">
        <v>2044</v>
      </c>
      <c r="B234">
        <v>2</v>
      </c>
    </row>
    <row r="235" spans="1:2" x14ac:dyDescent="0.35">
      <c r="A235">
        <v>2044</v>
      </c>
      <c r="B235">
        <v>3</v>
      </c>
    </row>
    <row r="236" spans="1:2" x14ac:dyDescent="0.35">
      <c r="A236">
        <v>2044</v>
      </c>
      <c r="B236">
        <v>4</v>
      </c>
    </row>
    <row r="237" spans="1:2" x14ac:dyDescent="0.35">
      <c r="A237">
        <v>2044</v>
      </c>
      <c r="B237">
        <v>5</v>
      </c>
    </row>
    <row r="238" spans="1:2" x14ac:dyDescent="0.35">
      <c r="A238">
        <v>2044</v>
      </c>
      <c r="B238">
        <v>6</v>
      </c>
    </row>
    <row r="239" spans="1:2" x14ac:dyDescent="0.35">
      <c r="A239">
        <v>2044</v>
      </c>
      <c r="B239">
        <v>7</v>
      </c>
    </row>
    <row r="240" spans="1:2" x14ac:dyDescent="0.35">
      <c r="A240">
        <v>2044</v>
      </c>
      <c r="B240">
        <v>8</v>
      </c>
    </row>
    <row r="241" spans="1:2" x14ac:dyDescent="0.35">
      <c r="A241">
        <v>2044</v>
      </c>
      <c r="B241">
        <v>9</v>
      </c>
    </row>
    <row r="242" spans="1:2" x14ac:dyDescent="0.35">
      <c r="A242">
        <v>2044</v>
      </c>
      <c r="B242">
        <v>10</v>
      </c>
    </row>
    <row r="243" spans="1:2" x14ac:dyDescent="0.35">
      <c r="A243">
        <v>2044</v>
      </c>
      <c r="B243">
        <v>11</v>
      </c>
    </row>
    <row r="244" spans="1:2" x14ac:dyDescent="0.35">
      <c r="A244">
        <v>2044</v>
      </c>
      <c r="B244">
        <v>12</v>
      </c>
    </row>
    <row r="245" spans="1:2" x14ac:dyDescent="0.35">
      <c r="A245">
        <v>2045</v>
      </c>
      <c r="B245">
        <v>1</v>
      </c>
    </row>
    <row r="246" spans="1:2" x14ac:dyDescent="0.35">
      <c r="A246">
        <v>2045</v>
      </c>
      <c r="B246">
        <v>2</v>
      </c>
    </row>
    <row r="247" spans="1:2" x14ac:dyDescent="0.35">
      <c r="A247">
        <v>2045</v>
      </c>
      <c r="B247">
        <v>3</v>
      </c>
    </row>
    <row r="248" spans="1:2" x14ac:dyDescent="0.35">
      <c r="A248">
        <v>2045</v>
      </c>
      <c r="B248">
        <v>4</v>
      </c>
    </row>
    <row r="249" spans="1:2" x14ac:dyDescent="0.35">
      <c r="A249">
        <v>2045</v>
      </c>
      <c r="B249">
        <v>5</v>
      </c>
    </row>
    <row r="250" spans="1:2" x14ac:dyDescent="0.35">
      <c r="A250">
        <v>2045</v>
      </c>
      <c r="B250">
        <v>6</v>
      </c>
    </row>
    <row r="251" spans="1:2" x14ac:dyDescent="0.35">
      <c r="A251">
        <v>2045</v>
      </c>
      <c r="B251">
        <v>7</v>
      </c>
    </row>
    <row r="252" spans="1:2" x14ac:dyDescent="0.35">
      <c r="A252">
        <v>2045</v>
      </c>
      <c r="B252">
        <v>8</v>
      </c>
    </row>
    <row r="253" spans="1:2" x14ac:dyDescent="0.35">
      <c r="A253">
        <v>2045</v>
      </c>
      <c r="B253">
        <v>9</v>
      </c>
    </row>
    <row r="254" spans="1:2" x14ac:dyDescent="0.35">
      <c r="A254">
        <v>2045</v>
      </c>
      <c r="B254">
        <v>10</v>
      </c>
    </row>
    <row r="255" spans="1:2" x14ac:dyDescent="0.35">
      <c r="A255">
        <v>2045</v>
      </c>
      <c r="B255">
        <v>11</v>
      </c>
    </row>
    <row r="256" spans="1:2" x14ac:dyDescent="0.35">
      <c r="A256">
        <v>2045</v>
      </c>
      <c r="B256">
        <v>12</v>
      </c>
    </row>
    <row r="257" spans="1:2" x14ac:dyDescent="0.35">
      <c r="A257">
        <v>2046</v>
      </c>
      <c r="B257">
        <v>1</v>
      </c>
    </row>
    <row r="258" spans="1:2" x14ac:dyDescent="0.35">
      <c r="A258">
        <v>2046</v>
      </c>
      <c r="B258">
        <v>2</v>
      </c>
    </row>
    <row r="259" spans="1:2" x14ac:dyDescent="0.35">
      <c r="A259">
        <v>2046</v>
      </c>
      <c r="B259">
        <v>3</v>
      </c>
    </row>
    <row r="260" spans="1:2" x14ac:dyDescent="0.35">
      <c r="A260">
        <v>2046</v>
      </c>
      <c r="B260">
        <v>4</v>
      </c>
    </row>
    <row r="261" spans="1:2" x14ac:dyDescent="0.35">
      <c r="A261">
        <v>2046</v>
      </c>
      <c r="B261">
        <v>5</v>
      </c>
    </row>
    <row r="262" spans="1:2" x14ac:dyDescent="0.35">
      <c r="A262">
        <v>2046</v>
      </c>
      <c r="B262">
        <v>6</v>
      </c>
    </row>
    <row r="263" spans="1:2" x14ac:dyDescent="0.35">
      <c r="A263">
        <v>2046</v>
      </c>
      <c r="B263">
        <v>7</v>
      </c>
    </row>
    <row r="264" spans="1:2" x14ac:dyDescent="0.35">
      <c r="A264">
        <v>2046</v>
      </c>
      <c r="B264">
        <v>8</v>
      </c>
    </row>
    <row r="265" spans="1:2" x14ac:dyDescent="0.35">
      <c r="A265">
        <v>2046</v>
      </c>
      <c r="B265">
        <v>9</v>
      </c>
    </row>
    <row r="266" spans="1:2" x14ac:dyDescent="0.35">
      <c r="A266">
        <v>2046</v>
      </c>
      <c r="B266">
        <v>10</v>
      </c>
    </row>
    <row r="267" spans="1:2" x14ac:dyDescent="0.35">
      <c r="A267">
        <v>2046</v>
      </c>
      <c r="B267">
        <v>11</v>
      </c>
    </row>
    <row r="268" spans="1:2" x14ac:dyDescent="0.35">
      <c r="A268">
        <v>2046</v>
      </c>
      <c r="B268">
        <v>12</v>
      </c>
    </row>
    <row r="269" spans="1:2" x14ac:dyDescent="0.35">
      <c r="A269">
        <v>2047</v>
      </c>
      <c r="B269">
        <v>1</v>
      </c>
    </row>
    <row r="270" spans="1:2" x14ac:dyDescent="0.35">
      <c r="A270">
        <v>2047</v>
      </c>
      <c r="B270">
        <v>2</v>
      </c>
    </row>
    <row r="271" spans="1:2" x14ac:dyDescent="0.35">
      <c r="A271">
        <v>2047</v>
      </c>
      <c r="B271">
        <v>3</v>
      </c>
    </row>
    <row r="272" spans="1:2" x14ac:dyDescent="0.35">
      <c r="A272">
        <v>2047</v>
      </c>
      <c r="B272">
        <v>4</v>
      </c>
    </row>
    <row r="273" spans="1:2" x14ac:dyDescent="0.35">
      <c r="A273">
        <v>2047</v>
      </c>
      <c r="B273">
        <v>5</v>
      </c>
    </row>
    <row r="274" spans="1:2" x14ac:dyDescent="0.35">
      <c r="A274">
        <v>2047</v>
      </c>
      <c r="B274">
        <v>6</v>
      </c>
    </row>
    <row r="275" spans="1:2" x14ac:dyDescent="0.35">
      <c r="A275">
        <v>2047</v>
      </c>
      <c r="B275">
        <v>7</v>
      </c>
    </row>
    <row r="276" spans="1:2" x14ac:dyDescent="0.35">
      <c r="A276">
        <v>2047</v>
      </c>
      <c r="B276">
        <v>8</v>
      </c>
    </row>
    <row r="277" spans="1:2" x14ac:dyDescent="0.35">
      <c r="A277">
        <v>2047</v>
      </c>
      <c r="B277">
        <v>9</v>
      </c>
    </row>
    <row r="278" spans="1:2" x14ac:dyDescent="0.35">
      <c r="A278">
        <v>2047</v>
      </c>
      <c r="B278">
        <v>10</v>
      </c>
    </row>
    <row r="279" spans="1:2" x14ac:dyDescent="0.35">
      <c r="A279">
        <v>2047</v>
      </c>
      <c r="B279">
        <v>11</v>
      </c>
    </row>
    <row r="280" spans="1:2" x14ac:dyDescent="0.35">
      <c r="A280">
        <v>2047</v>
      </c>
      <c r="B280">
        <v>12</v>
      </c>
    </row>
    <row r="281" spans="1:2" x14ac:dyDescent="0.35">
      <c r="A281">
        <v>2048</v>
      </c>
      <c r="B281">
        <v>1</v>
      </c>
    </row>
    <row r="282" spans="1:2" x14ac:dyDescent="0.35">
      <c r="A282">
        <v>2048</v>
      </c>
      <c r="B282">
        <v>2</v>
      </c>
    </row>
    <row r="283" spans="1:2" x14ac:dyDescent="0.35">
      <c r="A283">
        <v>2048</v>
      </c>
      <c r="B283">
        <v>3</v>
      </c>
    </row>
    <row r="284" spans="1:2" x14ac:dyDescent="0.35">
      <c r="A284">
        <v>2048</v>
      </c>
      <c r="B284">
        <v>4</v>
      </c>
    </row>
    <row r="285" spans="1:2" x14ac:dyDescent="0.35">
      <c r="A285">
        <v>2048</v>
      </c>
      <c r="B285">
        <v>5</v>
      </c>
    </row>
    <row r="286" spans="1:2" x14ac:dyDescent="0.35">
      <c r="A286">
        <v>2048</v>
      </c>
      <c r="B286">
        <v>6</v>
      </c>
    </row>
    <row r="287" spans="1:2" x14ac:dyDescent="0.35">
      <c r="A287">
        <v>2048</v>
      </c>
      <c r="B287">
        <v>7</v>
      </c>
    </row>
    <row r="288" spans="1:2" x14ac:dyDescent="0.35">
      <c r="A288">
        <v>2048</v>
      </c>
      <c r="B288">
        <v>8</v>
      </c>
    </row>
    <row r="289" spans="1:2" x14ac:dyDescent="0.35">
      <c r="A289">
        <v>2048</v>
      </c>
      <c r="B289">
        <v>9</v>
      </c>
    </row>
    <row r="290" spans="1:2" x14ac:dyDescent="0.35">
      <c r="A290">
        <v>2048</v>
      </c>
      <c r="B290">
        <v>10</v>
      </c>
    </row>
    <row r="291" spans="1:2" x14ac:dyDescent="0.35">
      <c r="A291">
        <v>2048</v>
      </c>
      <c r="B291">
        <v>11</v>
      </c>
    </row>
    <row r="292" spans="1:2" x14ac:dyDescent="0.35">
      <c r="A292">
        <v>2048</v>
      </c>
      <c r="B292">
        <v>12</v>
      </c>
    </row>
    <row r="293" spans="1:2" x14ac:dyDescent="0.35">
      <c r="A293">
        <v>2049</v>
      </c>
      <c r="B293">
        <v>1</v>
      </c>
    </row>
    <row r="294" spans="1:2" x14ac:dyDescent="0.35">
      <c r="A294">
        <v>2049</v>
      </c>
      <c r="B294">
        <v>2</v>
      </c>
    </row>
    <row r="295" spans="1:2" x14ac:dyDescent="0.35">
      <c r="A295">
        <v>2049</v>
      </c>
      <c r="B295">
        <v>3</v>
      </c>
    </row>
    <row r="296" spans="1:2" x14ac:dyDescent="0.35">
      <c r="A296">
        <v>2049</v>
      </c>
      <c r="B296">
        <v>4</v>
      </c>
    </row>
    <row r="297" spans="1:2" x14ac:dyDescent="0.35">
      <c r="A297">
        <v>2049</v>
      </c>
      <c r="B297">
        <v>5</v>
      </c>
    </row>
    <row r="298" spans="1:2" x14ac:dyDescent="0.35">
      <c r="A298">
        <v>2049</v>
      </c>
      <c r="B298">
        <v>6</v>
      </c>
    </row>
    <row r="299" spans="1:2" x14ac:dyDescent="0.35">
      <c r="A299">
        <v>2049</v>
      </c>
      <c r="B299">
        <v>7</v>
      </c>
    </row>
    <row r="300" spans="1:2" x14ac:dyDescent="0.35">
      <c r="A300">
        <v>2049</v>
      </c>
      <c r="B300">
        <v>8</v>
      </c>
    </row>
    <row r="301" spans="1:2" x14ac:dyDescent="0.35">
      <c r="A301">
        <v>2049</v>
      </c>
      <c r="B301">
        <v>9</v>
      </c>
    </row>
    <row r="302" spans="1:2" x14ac:dyDescent="0.35">
      <c r="A302">
        <v>2049</v>
      </c>
      <c r="B302">
        <v>10</v>
      </c>
    </row>
    <row r="303" spans="1:2" x14ac:dyDescent="0.35">
      <c r="A303">
        <v>2049</v>
      </c>
      <c r="B303">
        <v>11</v>
      </c>
    </row>
    <row r="304" spans="1:2" x14ac:dyDescent="0.35">
      <c r="A304">
        <v>2049</v>
      </c>
      <c r="B304">
        <v>12</v>
      </c>
    </row>
    <row r="305" spans="1:2" x14ac:dyDescent="0.35">
      <c r="A305">
        <v>2050</v>
      </c>
      <c r="B305">
        <v>1</v>
      </c>
    </row>
    <row r="306" spans="1:2" x14ac:dyDescent="0.35">
      <c r="A306">
        <v>2050</v>
      </c>
      <c r="B306">
        <v>2</v>
      </c>
    </row>
    <row r="307" spans="1:2" x14ac:dyDescent="0.35">
      <c r="A307">
        <v>2050</v>
      </c>
      <c r="B307">
        <v>3</v>
      </c>
    </row>
    <row r="308" spans="1:2" x14ac:dyDescent="0.35">
      <c r="A308">
        <v>2050</v>
      </c>
      <c r="B308">
        <v>4</v>
      </c>
    </row>
    <row r="309" spans="1:2" x14ac:dyDescent="0.35">
      <c r="A309">
        <v>2050</v>
      </c>
      <c r="B309">
        <v>5</v>
      </c>
    </row>
    <row r="310" spans="1:2" x14ac:dyDescent="0.35">
      <c r="A310">
        <v>2050</v>
      </c>
      <c r="B310">
        <v>6</v>
      </c>
    </row>
    <row r="311" spans="1:2" x14ac:dyDescent="0.35">
      <c r="A311">
        <v>2050</v>
      </c>
      <c r="B311">
        <v>7</v>
      </c>
    </row>
    <row r="312" spans="1:2" x14ac:dyDescent="0.35">
      <c r="A312">
        <v>2050</v>
      </c>
      <c r="B312">
        <v>8</v>
      </c>
    </row>
    <row r="313" spans="1:2" x14ac:dyDescent="0.35">
      <c r="A313">
        <v>2050</v>
      </c>
      <c r="B313">
        <v>9</v>
      </c>
    </row>
    <row r="314" spans="1:2" x14ac:dyDescent="0.35">
      <c r="A314">
        <v>2050</v>
      </c>
      <c r="B314">
        <v>10</v>
      </c>
    </row>
    <row r="315" spans="1:2" x14ac:dyDescent="0.35">
      <c r="A315">
        <v>2050</v>
      </c>
      <c r="B315">
        <v>11</v>
      </c>
    </row>
    <row r="316" spans="1:2" x14ac:dyDescent="0.35">
      <c r="A316">
        <v>2050</v>
      </c>
      <c r="B316">
        <v>12</v>
      </c>
    </row>
    <row r="317" spans="1:2" x14ac:dyDescent="0.35">
      <c r="A317">
        <v>2051</v>
      </c>
      <c r="B317">
        <v>1</v>
      </c>
    </row>
    <row r="318" spans="1:2" x14ac:dyDescent="0.35">
      <c r="A318">
        <v>2051</v>
      </c>
      <c r="B318">
        <v>2</v>
      </c>
    </row>
    <row r="319" spans="1:2" x14ac:dyDescent="0.35">
      <c r="A319">
        <v>2051</v>
      </c>
      <c r="B319">
        <v>3</v>
      </c>
    </row>
    <row r="320" spans="1:2" x14ac:dyDescent="0.35">
      <c r="A320">
        <v>2051</v>
      </c>
      <c r="B320">
        <v>4</v>
      </c>
    </row>
    <row r="321" spans="1:2" x14ac:dyDescent="0.35">
      <c r="A321">
        <v>2051</v>
      </c>
      <c r="B321">
        <v>5</v>
      </c>
    </row>
    <row r="322" spans="1:2" x14ac:dyDescent="0.35">
      <c r="A322">
        <v>2051</v>
      </c>
      <c r="B322">
        <v>6</v>
      </c>
    </row>
    <row r="323" spans="1:2" x14ac:dyDescent="0.35">
      <c r="A323">
        <v>2051</v>
      </c>
      <c r="B323">
        <v>7</v>
      </c>
    </row>
    <row r="324" spans="1:2" x14ac:dyDescent="0.35">
      <c r="A324">
        <v>2051</v>
      </c>
      <c r="B324">
        <v>8</v>
      </c>
    </row>
    <row r="325" spans="1:2" x14ac:dyDescent="0.35">
      <c r="A325">
        <v>2051</v>
      </c>
      <c r="B325">
        <v>9</v>
      </c>
    </row>
    <row r="326" spans="1:2" x14ac:dyDescent="0.35">
      <c r="A326">
        <v>2051</v>
      </c>
      <c r="B326">
        <v>10</v>
      </c>
    </row>
    <row r="327" spans="1:2" x14ac:dyDescent="0.35">
      <c r="A327">
        <v>2051</v>
      </c>
      <c r="B327">
        <v>11</v>
      </c>
    </row>
    <row r="328" spans="1:2" x14ac:dyDescent="0.35">
      <c r="A328">
        <v>2051</v>
      </c>
      <c r="B328">
        <v>12</v>
      </c>
    </row>
    <row r="329" spans="1:2" x14ac:dyDescent="0.35">
      <c r="A329">
        <v>2052</v>
      </c>
      <c r="B329">
        <v>1</v>
      </c>
    </row>
    <row r="330" spans="1:2" x14ac:dyDescent="0.35">
      <c r="A330">
        <v>2052</v>
      </c>
      <c r="B330">
        <v>2</v>
      </c>
    </row>
    <row r="331" spans="1:2" x14ac:dyDescent="0.35">
      <c r="A331">
        <v>2052</v>
      </c>
      <c r="B331">
        <v>3</v>
      </c>
    </row>
    <row r="332" spans="1:2" x14ac:dyDescent="0.35">
      <c r="A332">
        <v>2052</v>
      </c>
      <c r="B332">
        <v>4</v>
      </c>
    </row>
    <row r="333" spans="1:2" x14ac:dyDescent="0.35">
      <c r="A333">
        <v>2052</v>
      </c>
      <c r="B333">
        <v>5</v>
      </c>
    </row>
    <row r="334" spans="1:2" x14ac:dyDescent="0.35">
      <c r="A334">
        <v>2052</v>
      </c>
      <c r="B334">
        <v>6</v>
      </c>
    </row>
    <row r="335" spans="1:2" x14ac:dyDescent="0.35">
      <c r="A335">
        <v>2052</v>
      </c>
      <c r="B335">
        <v>7</v>
      </c>
    </row>
    <row r="336" spans="1:2" x14ac:dyDescent="0.35">
      <c r="A336">
        <v>2052</v>
      </c>
      <c r="B336">
        <v>8</v>
      </c>
    </row>
    <row r="337" spans="1:2" x14ac:dyDescent="0.35">
      <c r="A337">
        <v>2052</v>
      </c>
      <c r="B337">
        <v>9</v>
      </c>
    </row>
    <row r="338" spans="1:2" x14ac:dyDescent="0.35">
      <c r="A338">
        <v>2052</v>
      </c>
      <c r="B338">
        <v>10</v>
      </c>
    </row>
    <row r="339" spans="1:2" x14ac:dyDescent="0.35">
      <c r="A339">
        <v>2052</v>
      </c>
      <c r="B339">
        <v>11</v>
      </c>
    </row>
    <row r="340" spans="1:2" x14ac:dyDescent="0.35">
      <c r="A340">
        <v>2052</v>
      </c>
      <c r="B340">
        <v>12</v>
      </c>
    </row>
    <row r="341" spans="1:2" x14ac:dyDescent="0.35">
      <c r="A341">
        <v>2053</v>
      </c>
      <c r="B341">
        <v>1</v>
      </c>
    </row>
    <row r="342" spans="1:2" x14ac:dyDescent="0.35">
      <c r="A342">
        <v>2053</v>
      </c>
      <c r="B342">
        <v>2</v>
      </c>
    </row>
    <row r="343" spans="1:2" x14ac:dyDescent="0.35">
      <c r="A343">
        <v>2053</v>
      </c>
      <c r="B343">
        <v>3</v>
      </c>
    </row>
    <row r="344" spans="1:2" x14ac:dyDescent="0.35">
      <c r="A344">
        <v>2053</v>
      </c>
      <c r="B344">
        <v>4</v>
      </c>
    </row>
    <row r="345" spans="1:2" x14ac:dyDescent="0.35">
      <c r="A345">
        <v>2053</v>
      </c>
      <c r="B345">
        <v>5</v>
      </c>
    </row>
    <row r="346" spans="1:2" x14ac:dyDescent="0.35">
      <c r="A346">
        <v>2053</v>
      </c>
      <c r="B346">
        <v>6</v>
      </c>
    </row>
    <row r="347" spans="1:2" x14ac:dyDescent="0.35">
      <c r="A347">
        <v>2053</v>
      </c>
      <c r="B347">
        <v>7</v>
      </c>
    </row>
    <row r="348" spans="1:2" x14ac:dyDescent="0.35">
      <c r="A348">
        <v>2053</v>
      </c>
      <c r="B348">
        <v>8</v>
      </c>
    </row>
    <row r="349" spans="1:2" x14ac:dyDescent="0.35">
      <c r="A349">
        <v>2053</v>
      </c>
      <c r="B349">
        <v>9</v>
      </c>
    </row>
    <row r="350" spans="1:2" x14ac:dyDescent="0.35">
      <c r="A350">
        <v>2053</v>
      </c>
      <c r="B350">
        <v>10</v>
      </c>
    </row>
    <row r="351" spans="1:2" x14ac:dyDescent="0.35">
      <c r="A351">
        <v>2053</v>
      </c>
      <c r="B351">
        <v>11</v>
      </c>
    </row>
    <row r="352" spans="1:2" x14ac:dyDescent="0.35">
      <c r="A352">
        <v>2053</v>
      </c>
      <c r="B352">
        <v>12</v>
      </c>
    </row>
    <row r="353" spans="1:2" x14ac:dyDescent="0.35">
      <c r="A353">
        <v>2054</v>
      </c>
      <c r="B353">
        <v>1</v>
      </c>
    </row>
    <row r="354" spans="1:2" x14ac:dyDescent="0.35">
      <c r="A354">
        <v>2054</v>
      </c>
      <c r="B354">
        <v>2</v>
      </c>
    </row>
    <row r="355" spans="1:2" x14ac:dyDescent="0.35">
      <c r="A355">
        <v>2054</v>
      </c>
      <c r="B355">
        <v>3</v>
      </c>
    </row>
    <row r="356" spans="1:2" x14ac:dyDescent="0.35">
      <c r="A356">
        <v>2054</v>
      </c>
      <c r="B356">
        <v>4</v>
      </c>
    </row>
    <row r="357" spans="1:2" x14ac:dyDescent="0.35">
      <c r="A357">
        <v>2054</v>
      </c>
      <c r="B357">
        <v>5</v>
      </c>
    </row>
    <row r="358" spans="1:2" x14ac:dyDescent="0.35">
      <c r="A358">
        <v>2054</v>
      </c>
      <c r="B358">
        <v>6</v>
      </c>
    </row>
    <row r="359" spans="1:2" x14ac:dyDescent="0.35">
      <c r="A359">
        <v>2054</v>
      </c>
      <c r="B359">
        <v>7</v>
      </c>
    </row>
    <row r="360" spans="1:2" x14ac:dyDescent="0.35">
      <c r="A360">
        <v>2054</v>
      </c>
      <c r="B360">
        <v>8</v>
      </c>
    </row>
    <row r="361" spans="1:2" x14ac:dyDescent="0.35">
      <c r="A361">
        <v>2054</v>
      </c>
      <c r="B361">
        <v>9</v>
      </c>
    </row>
    <row r="362" spans="1:2" x14ac:dyDescent="0.35">
      <c r="A362">
        <v>2054</v>
      </c>
      <c r="B362">
        <v>10</v>
      </c>
    </row>
    <row r="363" spans="1:2" x14ac:dyDescent="0.35">
      <c r="A363">
        <v>2054</v>
      </c>
      <c r="B363">
        <v>11</v>
      </c>
    </row>
  </sheetData>
  <mergeCells count="2">
    <mergeCell ref="A2:M2"/>
    <mergeCell ref="N2:S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CFB91-84B8-4522-9EC5-F14D491B94E7}">
  <sheetPr>
    <tabColor rgb="FF000000"/>
  </sheetPr>
  <dimension ref="A1:S368"/>
  <sheetViews>
    <sheetView workbookViewId="0">
      <selection activeCell="E11" sqref="E11"/>
    </sheetView>
  </sheetViews>
  <sheetFormatPr defaultRowHeight="14.5" x14ac:dyDescent="0.35"/>
  <cols>
    <col min="4" max="4" width="12.26953125" customWidth="1"/>
    <col min="5" max="5" width="14.7265625" customWidth="1"/>
  </cols>
  <sheetData>
    <row r="1" spans="1:19" x14ac:dyDescent="0.35">
      <c r="A1" s="128" t="str">
        <f>HYPERLINK("#'Configuration Data'!A1", "Return to Main")</f>
        <v>Return to Main</v>
      </c>
      <c r="N1" t="s">
        <v>218</v>
      </c>
    </row>
    <row r="2" spans="1:19" ht="30" customHeight="1" x14ac:dyDescent="0.35">
      <c r="A2" s="184" t="s">
        <v>84</v>
      </c>
      <c r="B2" s="184"/>
      <c r="C2" s="184"/>
      <c r="D2" s="184"/>
      <c r="E2" s="184"/>
      <c r="F2" s="184"/>
      <c r="G2" s="184"/>
      <c r="H2" s="184"/>
      <c r="I2" s="184"/>
      <c r="J2" s="184"/>
      <c r="K2" s="184"/>
      <c r="L2" s="184"/>
      <c r="M2" s="184"/>
      <c r="N2" s="185" t="s">
        <v>220</v>
      </c>
      <c r="O2" s="185"/>
      <c r="P2" s="185"/>
      <c r="Q2" s="185"/>
      <c r="R2" s="185"/>
      <c r="S2" s="185"/>
    </row>
    <row r="4" spans="1:19" x14ac:dyDescent="0.35">
      <c r="A4" t="s">
        <v>21</v>
      </c>
      <c r="B4" t="s">
        <v>180</v>
      </c>
      <c r="C4" t="s">
        <v>221</v>
      </c>
      <c r="D4" t="s">
        <v>222</v>
      </c>
      <c r="E4" t="s">
        <v>187</v>
      </c>
    </row>
    <row r="5" spans="1:19" x14ac:dyDescent="0.35">
      <c r="A5">
        <v>2025</v>
      </c>
      <c r="B5">
        <v>1</v>
      </c>
      <c r="C5">
        <v>1</v>
      </c>
      <c r="D5" t="s">
        <v>223</v>
      </c>
    </row>
    <row r="6" spans="1:19" x14ac:dyDescent="0.35">
      <c r="A6">
        <v>2025</v>
      </c>
      <c r="B6">
        <v>1</v>
      </c>
      <c r="C6">
        <v>2</v>
      </c>
      <c r="D6" t="s">
        <v>223</v>
      </c>
    </row>
    <row r="7" spans="1:19" x14ac:dyDescent="0.35">
      <c r="A7">
        <v>2025</v>
      </c>
      <c r="B7">
        <v>1</v>
      </c>
      <c r="C7">
        <v>3</v>
      </c>
      <c r="D7" t="s">
        <v>224</v>
      </c>
    </row>
    <row r="8" spans="1:19" x14ac:dyDescent="0.35">
      <c r="A8">
        <v>2025</v>
      </c>
      <c r="B8">
        <v>1</v>
      </c>
      <c r="C8">
        <v>4</v>
      </c>
      <c r="D8" t="s">
        <v>224</v>
      </c>
    </row>
    <row r="9" spans="1:19" x14ac:dyDescent="0.35">
      <c r="A9">
        <v>2025</v>
      </c>
      <c r="B9">
        <v>1</v>
      </c>
      <c r="C9">
        <v>5</v>
      </c>
      <c r="D9" t="s">
        <v>223</v>
      </c>
    </row>
    <row r="10" spans="1:19" x14ac:dyDescent="0.35">
      <c r="A10">
        <v>2025</v>
      </c>
      <c r="B10">
        <v>1</v>
      </c>
      <c r="C10">
        <v>6</v>
      </c>
      <c r="D10" t="s">
        <v>223</v>
      </c>
    </row>
    <row r="11" spans="1:19" x14ac:dyDescent="0.35">
      <c r="A11">
        <v>2025</v>
      </c>
      <c r="B11">
        <v>1</v>
      </c>
      <c r="C11">
        <v>7</v>
      </c>
      <c r="D11" t="s">
        <v>223</v>
      </c>
    </row>
    <row r="12" spans="1:19" x14ac:dyDescent="0.35">
      <c r="A12">
        <v>2025</v>
      </c>
      <c r="B12">
        <v>1</v>
      </c>
      <c r="C12">
        <v>8</v>
      </c>
      <c r="D12" t="s">
        <v>223</v>
      </c>
    </row>
    <row r="13" spans="1:19" x14ac:dyDescent="0.35">
      <c r="A13">
        <v>2025</v>
      </c>
      <c r="B13">
        <v>1</v>
      </c>
      <c r="C13">
        <v>9</v>
      </c>
      <c r="D13" t="s">
        <v>223</v>
      </c>
    </row>
    <row r="14" spans="1:19" x14ac:dyDescent="0.35">
      <c r="A14">
        <v>2025</v>
      </c>
      <c r="B14">
        <v>1</v>
      </c>
      <c r="C14">
        <v>10</v>
      </c>
      <c r="D14" t="s">
        <v>224</v>
      </c>
    </row>
    <row r="15" spans="1:19" x14ac:dyDescent="0.35">
      <c r="A15">
        <v>2025</v>
      </c>
      <c r="B15">
        <v>1</v>
      </c>
      <c r="C15">
        <v>11</v>
      </c>
      <c r="D15" t="s">
        <v>224</v>
      </c>
    </row>
    <row r="16" spans="1:19" x14ac:dyDescent="0.35">
      <c r="A16">
        <v>2025</v>
      </c>
      <c r="B16">
        <v>1</v>
      </c>
      <c r="C16">
        <v>12</v>
      </c>
      <c r="D16" t="s">
        <v>223</v>
      </c>
    </row>
    <row r="17" spans="1:4" x14ac:dyDescent="0.35">
      <c r="A17">
        <v>2025</v>
      </c>
      <c r="B17">
        <v>1</v>
      </c>
      <c r="C17">
        <v>13</v>
      </c>
      <c r="D17" t="s">
        <v>223</v>
      </c>
    </row>
    <row r="18" spans="1:4" x14ac:dyDescent="0.35">
      <c r="A18">
        <v>2025</v>
      </c>
      <c r="B18">
        <v>1</v>
      </c>
      <c r="C18">
        <v>14</v>
      </c>
      <c r="D18" t="s">
        <v>223</v>
      </c>
    </row>
    <row r="19" spans="1:4" x14ac:dyDescent="0.35">
      <c r="A19">
        <v>2025</v>
      </c>
      <c r="B19">
        <v>1</v>
      </c>
      <c r="C19">
        <v>15</v>
      </c>
      <c r="D19" t="s">
        <v>223</v>
      </c>
    </row>
    <row r="20" spans="1:4" x14ac:dyDescent="0.35">
      <c r="A20">
        <v>2025</v>
      </c>
      <c r="B20">
        <v>1</v>
      </c>
      <c r="C20">
        <v>16</v>
      </c>
      <c r="D20" t="s">
        <v>223</v>
      </c>
    </row>
    <row r="21" spans="1:4" x14ac:dyDescent="0.35">
      <c r="A21">
        <v>2025</v>
      </c>
      <c r="B21">
        <v>1</v>
      </c>
      <c r="C21">
        <v>17</v>
      </c>
      <c r="D21" t="s">
        <v>224</v>
      </c>
    </row>
    <row r="22" spans="1:4" x14ac:dyDescent="0.35">
      <c r="A22">
        <v>2025</v>
      </c>
      <c r="B22">
        <v>1</v>
      </c>
      <c r="C22">
        <v>18</v>
      </c>
      <c r="D22" t="s">
        <v>224</v>
      </c>
    </row>
    <row r="23" spans="1:4" x14ac:dyDescent="0.35">
      <c r="A23">
        <v>2025</v>
      </c>
      <c r="B23">
        <v>1</v>
      </c>
      <c r="C23">
        <v>19</v>
      </c>
      <c r="D23" t="s">
        <v>223</v>
      </c>
    </row>
    <row r="24" spans="1:4" x14ac:dyDescent="0.35">
      <c r="A24">
        <v>2025</v>
      </c>
      <c r="B24">
        <v>1</v>
      </c>
      <c r="C24">
        <v>20</v>
      </c>
      <c r="D24" t="s">
        <v>223</v>
      </c>
    </row>
    <row r="25" spans="1:4" x14ac:dyDescent="0.35">
      <c r="A25">
        <v>2025</v>
      </c>
      <c r="B25">
        <v>1</v>
      </c>
      <c r="C25">
        <v>21</v>
      </c>
      <c r="D25" t="s">
        <v>223</v>
      </c>
    </row>
    <row r="26" spans="1:4" x14ac:dyDescent="0.35">
      <c r="A26">
        <v>2025</v>
      </c>
      <c r="B26">
        <v>1</v>
      </c>
      <c r="C26">
        <v>22</v>
      </c>
      <c r="D26" t="s">
        <v>223</v>
      </c>
    </row>
    <row r="27" spans="1:4" x14ac:dyDescent="0.35">
      <c r="A27">
        <v>2025</v>
      </c>
      <c r="B27">
        <v>1</v>
      </c>
      <c r="C27">
        <v>23</v>
      </c>
      <c r="D27" t="s">
        <v>223</v>
      </c>
    </row>
    <row r="28" spans="1:4" x14ac:dyDescent="0.35">
      <c r="A28">
        <v>2025</v>
      </c>
      <c r="B28">
        <v>1</v>
      </c>
      <c r="C28">
        <v>24</v>
      </c>
      <c r="D28" t="s">
        <v>224</v>
      </c>
    </row>
    <row r="29" spans="1:4" x14ac:dyDescent="0.35">
      <c r="A29">
        <v>2025</v>
      </c>
      <c r="B29">
        <v>1</v>
      </c>
      <c r="C29">
        <v>25</v>
      </c>
      <c r="D29" t="s">
        <v>224</v>
      </c>
    </row>
    <row r="30" spans="1:4" x14ac:dyDescent="0.35">
      <c r="A30">
        <v>2025</v>
      </c>
      <c r="B30">
        <v>1</v>
      </c>
      <c r="C30">
        <v>26</v>
      </c>
      <c r="D30" t="s">
        <v>223</v>
      </c>
    </row>
    <row r="31" spans="1:4" x14ac:dyDescent="0.35">
      <c r="A31">
        <v>2025</v>
      </c>
      <c r="B31">
        <v>1</v>
      </c>
      <c r="C31">
        <v>27</v>
      </c>
      <c r="D31" t="s">
        <v>223</v>
      </c>
    </row>
    <row r="32" spans="1:4" x14ac:dyDescent="0.35">
      <c r="A32">
        <v>2025</v>
      </c>
      <c r="B32">
        <v>1</v>
      </c>
      <c r="C32">
        <v>28</v>
      </c>
      <c r="D32" t="s">
        <v>223</v>
      </c>
    </row>
    <row r="33" spans="1:4" x14ac:dyDescent="0.35">
      <c r="A33">
        <v>2025</v>
      </c>
      <c r="B33">
        <v>1</v>
      </c>
      <c r="C33">
        <v>29</v>
      </c>
      <c r="D33" t="s">
        <v>223</v>
      </c>
    </row>
    <row r="34" spans="1:4" x14ac:dyDescent="0.35">
      <c r="A34">
        <v>2025</v>
      </c>
      <c r="B34">
        <v>1</v>
      </c>
      <c r="C34">
        <v>30</v>
      </c>
      <c r="D34" t="s">
        <v>223</v>
      </c>
    </row>
    <row r="35" spans="1:4" x14ac:dyDescent="0.35">
      <c r="A35">
        <v>2025</v>
      </c>
      <c r="B35">
        <v>2</v>
      </c>
      <c r="C35">
        <v>31</v>
      </c>
      <c r="D35" t="s">
        <v>224</v>
      </c>
    </row>
    <row r="36" spans="1:4" x14ac:dyDescent="0.35">
      <c r="A36">
        <v>2025</v>
      </c>
      <c r="B36">
        <v>2</v>
      </c>
      <c r="C36">
        <v>32</v>
      </c>
      <c r="D36" t="s">
        <v>223</v>
      </c>
    </row>
    <row r="37" spans="1:4" x14ac:dyDescent="0.35">
      <c r="A37">
        <v>2025</v>
      </c>
      <c r="B37">
        <v>2</v>
      </c>
      <c r="C37">
        <v>33</v>
      </c>
      <c r="D37" t="s">
        <v>223</v>
      </c>
    </row>
    <row r="38" spans="1:4" x14ac:dyDescent="0.35">
      <c r="A38">
        <v>2025</v>
      </c>
      <c r="B38">
        <v>2</v>
      </c>
      <c r="C38">
        <v>34</v>
      </c>
      <c r="D38" t="s">
        <v>223</v>
      </c>
    </row>
    <row r="39" spans="1:4" x14ac:dyDescent="0.35">
      <c r="A39">
        <v>2025</v>
      </c>
      <c r="B39">
        <v>2</v>
      </c>
      <c r="C39">
        <v>35</v>
      </c>
      <c r="D39" t="s">
        <v>223</v>
      </c>
    </row>
    <row r="40" spans="1:4" x14ac:dyDescent="0.35">
      <c r="A40">
        <v>2025</v>
      </c>
      <c r="B40">
        <v>2</v>
      </c>
      <c r="C40">
        <v>36</v>
      </c>
      <c r="D40" t="s">
        <v>223</v>
      </c>
    </row>
    <row r="41" spans="1:4" x14ac:dyDescent="0.35">
      <c r="A41">
        <v>2025</v>
      </c>
      <c r="B41">
        <v>2</v>
      </c>
      <c r="C41">
        <v>37</v>
      </c>
      <c r="D41" t="s">
        <v>224</v>
      </c>
    </row>
    <row r="42" spans="1:4" x14ac:dyDescent="0.35">
      <c r="A42">
        <v>2025</v>
      </c>
      <c r="B42">
        <v>2</v>
      </c>
      <c r="C42">
        <v>38</v>
      </c>
      <c r="D42" t="s">
        <v>224</v>
      </c>
    </row>
    <row r="43" spans="1:4" x14ac:dyDescent="0.35">
      <c r="A43">
        <v>2025</v>
      </c>
      <c r="B43">
        <v>2</v>
      </c>
      <c r="C43">
        <v>39</v>
      </c>
      <c r="D43" t="s">
        <v>223</v>
      </c>
    </row>
    <row r="44" spans="1:4" x14ac:dyDescent="0.35">
      <c r="A44">
        <v>2025</v>
      </c>
      <c r="B44">
        <v>2</v>
      </c>
      <c r="C44">
        <v>40</v>
      </c>
      <c r="D44" t="s">
        <v>223</v>
      </c>
    </row>
    <row r="45" spans="1:4" x14ac:dyDescent="0.35">
      <c r="A45">
        <v>2025</v>
      </c>
      <c r="B45">
        <v>2</v>
      </c>
      <c r="C45">
        <v>41</v>
      </c>
      <c r="D45" t="s">
        <v>223</v>
      </c>
    </row>
    <row r="46" spans="1:4" x14ac:dyDescent="0.35">
      <c r="A46">
        <v>2025</v>
      </c>
      <c r="B46">
        <v>2</v>
      </c>
      <c r="C46">
        <v>42</v>
      </c>
      <c r="D46" t="s">
        <v>223</v>
      </c>
    </row>
    <row r="47" spans="1:4" x14ac:dyDescent="0.35">
      <c r="A47">
        <v>2025</v>
      </c>
      <c r="B47">
        <v>2</v>
      </c>
      <c r="C47">
        <v>43</v>
      </c>
      <c r="D47" t="s">
        <v>223</v>
      </c>
    </row>
    <row r="48" spans="1:4" x14ac:dyDescent="0.35">
      <c r="A48">
        <v>2025</v>
      </c>
      <c r="B48">
        <v>2</v>
      </c>
      <c r="C48">
        <v>44</v>
      </c>
      <c r="D48" t="s">
        <v>224</v>
      </c>
    </row>
    <row r="49" spans="1:4" x14ac:dyDescent="0.35">
      <c r="A49">
        <v>2025</v>
      </c>
      <c r="B49">
        <v>2</v>
      </c>
      <c r="C49">
        <v>45</v>
      </c>
      <c r="D49" t="s">
        <v>224</v>
      </c>
    </row>
    <row r="50" spans="1:4" x14ac:dyDescent="0.35">
      <c r="A50">
        <v>2025</v>
      </c>
      <c r="B50">
        <v>2</v>
      </c>
      <c r="C50">
        <v>46</v>
      </c>
      <c r="D50" t="s">
        <v>223</v>
      </c>
    </row>
    <row r="51" spans="1:4" x14ac:dyDescent="0.35">
      <c r="A51">
        <v>2025</v>
      </c>
      <c r="B51">
        <v>2</v>
      </c>
      <c r="C51">
        <v>47</v>
      </c>
      <c r="D51" t="s">
        <v>223</v>
      </c>
    </row>
    <row r="52" spans="1:4" x14ac:dyDescent="0.35">
      <c r="A52">
        <v>2025</v>
      </c>
      <c r="B52">
        <v>2</v>
      </c>
      <c r="C52">
        <v>48</v>
      </c>
      <c r="D52" t="s">
        <v>223</v>
      </c>
    </row>
    <row r="53" spans="1:4" x14ac:dyDescent="0.35">
      <c r="A53">
        <v>2025</v>
      </c>
      <c r="B53">
        <v>2</v>
      </c>
      <c r="C53">
        <v>49</v>
      </c>
      <c r="D53" t="s">
        <v>223</v>
      </c>
    </row>
    <row r="54" spans="1:4" x14ac:dyDescent="0.35">
      <c r="A54">
        <v>2025</v>
      </c>
      <c r="B54">
        <v>2</v>
      </c>
      <c r="C54">
        <v>50</v>
      </c>
      <c r="D54" t="s">
        <v>223</v>
      </c>
    </row>
    <row r="55" spans="1:4" x14ac:dyDescent="0.35">
      <c r="A55">
        <v>2025</v>
      </c>
      <c r="B55">
        <v>2</v>
      </c>
      <c r="C55">
        <v>51</v>
      </c>
      <c r="D55" t="s">
        <v>224</v>
      </c>
    </row>
    <row r="56" spans="1:4" x14ac:dyDescent="0.35">
      <c r="A56">
        <v>2025</v>
      </c>
      <c r="B56">
        <v>2</v>
      </c>
      <c r="C56">
        <v>52</v>
      </c>
      <c r="D56" t="s">
        <v>224</v>
      </c>
    </row>
    <row r="57" spans="1:4" x14ac:dyDescent="0.35">
      <c r="A57">
        <v>2025</v>
      </c>
      <c r="B57">
        <v>2</v>
      </c>
      <c r="C57">
        <v>53</v>
      </c>
      <c r="D57" t="s">
        <v>223</v>
      </c>
    </row>
    <row r="58" spans="1:4" x14ac:dyDescent="0.35">
      <c r="A58">
        <v>2025</v>
      </c>
      <c r="B58">
        <v>2</v>
      </c>
      <c r="C58">
        <v>54</v>
      </c>
      <c r="D58" t="s">
        <v>223</v>
      </c>
    </row>
    <row r="59" spans="1:4" x14ac:dyDescent="0.35">
      <c r="A59">
        <v>2025</v>
      </c>
      <c r="B59">
        <v>2</v>
      </c>
      <c r="C59">
        <v>55</v>
      </c>
      <c r="D59" t="s">
        <v>223</v>
      </c>
    </row>
    <row r="60" spans="1:4" x14ac:dyDescent="0.35">
      <c r="A60">
        <v>2025</v>
      </c>
      <c r="B60">
        <v>2</v>
      </c>
      <c r="C60">
        <v>56</v>
      </c>
      <c r="D60" t="s">
        <v>223</v>
      </c>
    </row>
    <row r="61" spans="1:4" x14ac:dyDescent="0.35">
      <c r="A61">
        <v>2025</v>
      </c>
      <c r="B61">
        <v>2</v>
      </c>
      <c r="C61">
        <v>57</v>
      </c>
      <c r="D61" t="s">
        <v>223</v>
      </c>
    </row>
    <row r="62" spans="1:4" x14ac:dyDescent="0.35">
      <c r="A62">
        <v>2025</v>
      </c>
      <c r="B62">
        <v>2</v>
      </c>
      <c r="C62">
        <v>58</v>
      </c>
      <c r="D62" t="s">
        <v>224</v>
      </c>
    </row>
    <row r="63" spans="1:4" x14ac:dyDescent="0.35">
      <c r="A63">
        <v>2025</v>
      </c>
      <c r="B63">
        <v>2</v>
      </c>
      <c r="C63">
        <v>59</v>
      </c>
      <c r="D63" t="s">
        <v>224</v>
      </c>
    </row>
    <row r="64" spans="1:4" x14ac:dyDescent="0.35">
      <c r="A64">
        <v>2025</v>
      </c>
      <c r="B64">
        <v>2</v>
      </c>
      <c r="C64">
        <v>60</v>
      </c>
      <c r="D64" t="s">
        <v>224</v>
      </c>
    </row>
    <row r="65" spans="1:4" x14ac:dyDescent="0.35">
      <c r="A65">
        <v>2025</v>
      </c>
      <c r="B65">
        <v>2</v>
      </c>
      <c r="C65">
        <v>61</v>
      </c>
      <c r="D65" t="s">
        <v>224</v>
      </c>
    </row>
    <row r="66" spans="1:4" x14ac:dyDescent="0.35">
      <c r="A66">
        <v>2025</v>
      </c>
      <c r="B66">
        <v>3</v>
      </c>
      <c r="C66">
        <v>62</v>
      </c>
      <c r="D66" t="s">
        <v>223</v>
      </c>
    </row>
    <row r="67" spans="1:4" x14ac:dyDescent="0.35">
      <c r="A67">
        <v>2025</v>
      </c>
      <c r="B67">
        <v>3</v>
      </c>
      <c r="C67">
        <v>63</v>
      </c>
      <c r="D67" t="s">
        <v>223</v>
      </c>
    </row>
    <row r="68" spans="1:4" x14ac:dyDescent="0.35">
      <c r="A68">
        <v>2025</v>
      </c>
      <c r="B68">
        <v>3</v>
      </c>
      <c r="C68">
        <v>64</v>
      </c>
      <c r="D68" t="s">
        <v>223</v>
      </c>
    </row>
    <row r="69" spans="1:4" x14ac:dyDescent="0.35">
      <c r="A69">
        <v>2025</v>
      </c>
      <c r="B69">
        <v>3</v>
      </c>
      <c r="C69">
        <v>65</v>
      </c>
      <c r="D69" t="s">
        <v>223</v>
      </c>
    </row>
    <row r="70" spans="1:4" x14ac:dyDescent="0.35">
      <c r="A70">
        <v>2025</v>
      </c>
      <c r="B70">
        <v>3</v>
      </c>
      <c r="C70">
        <v>66</v>
      </c>
      <c r="D70" t="s">
        <v>223</v>
      </c>
    </row>
    <row r="71" spans="1:4" x14ac:dyDescent="0.35">
      <c r="A71">
        <v>2025</v>
      </c>
      <c r="B71">
        <v>3</v>
      </c>
      <c r="C71">
        <v>67</v>
      </c>
      <c r="D71" t="s">
        <v>224</v>
      </c>
    </row>
    <row r="72" spans="1:4" x14ac:dyDescent="0.35">
      <c r="A72">
        <v>2025</v>
      </c>
      <c r="B72">
        <v>3</v>
      </c>
      <c r="C72">
        <v>68</v>
      </c>
      <c r="D72" t="s">
        <v>224</v>
      </c>
    </row>
    <row r="73" spans="1:4" x14ac:dyDescent="0.35">
      <c r="A73">
        <v>2025</v>
      </c>
      <c r="B73">
        <v>3</v>
      </c>
      <c r="C73">
        <v>69</v>
      </c>
      <c r="D73" t="s">
        <v>223</v>
      </c>
    </row>
    <row r="74" spans="1:4" x14ac:dyDescent="0.35">
      <c r="A74">
        <v>2025</v>
      </c>
      <c r="B74">
        <v>3</v>
      </c>
      <c r="C74">
        <v>70</v>
      </c>
      <c r="D74" t="s">
        <v>223</v>
      </c>
    </row>
    <row r="75" spans="1:4" x14ac:dyDescent="0.35">
      <c r="A75">
        <v>2025</v>
      </c>
      <c r="B75">
        <v>3</v>
      </c>
      <c r="C75">
        <v>71</v>
      </c>
      <c r="D75" t="s">
        <v>223</v>
      </c>
    </row>
    <row r="76" spans="1:4" x14ac:dyDescent="0.35">
      <c r="A76">
        <v>2025</v>
      </c>
      <c r="B76">
        <v>3</v>
      </c>
      <c r="C76">
        <v>72</v>
      </c>
      <c r="D76" t="s">
        <v>223</v>
      </c>
    </row>
    <row r="77" spans="1:4" x14ac:dyDescent="0.35">
      <c r="A77">
        <v>2025</v>
      </c>
      <c r="B77">
        <v>3</v>
      </c>
      <c r="C77">
        <v>73</v>
      </c>
      <c r="D77" t="s">
        <v>223</v>
      </c>
    </row>
    <row r="78" spans="1:4" x14ac:dyDescent="0.35">
      <c r="A78">
        <v>2025</v>
      </c>
      <c r="B78">
        <v>3</v>
      </c>
      <c r="C78">
        <v>74</v>
      </c>
      <c r="D78" t="s">
        <v>224</v>
      </c>
    </row>
    <row r="79" spans="1:4" x14ac:dyDescent="0.35">
      <c r="A79">
        <v>2025</v>
      </c>
      <c r="B79">
        <v>3</v>
      </c>
      <c r="C79">
        <v>75</v>
      </c>
      <c r="D79" t="s">
        <v>224</v>
      </c>
    </row>
    <row r="80" spans="1:4" x14ac:dyDescent="0.35">
      <c r="A80">
        <v>2025</v>
      </c>
      <c r="B80">
        <v>3</v>
      </c>
      <c r="C80">
        <v>76</v>
      </c>
      <c r="D80" t="s">
        <v>223</v>
      </c>
    </row>
    <row r="81" spans="1:4" x14ac:dyDescent="0.35">
      <c r="A81">
        <v>2025</v>
      </c>
      <c r="B81">
        <v>3</v>
      </c>
      <c r="C81">
        <v>77</v>
      </c>
      <c r="D81" t="s">
        <v>223</v>
      </c>
    </row>
    <row r="82" spans="1:4" x14ac:dyDescent="0.35">
      <c r="A82">
        <v>2025</v>
      </c>
      <c r="B82">
        <v>3</v>
      </c>
      <c r="C82">
        <v>78</v>
      </c>
      <c r="D82" t="s">
        <v>223</v>
      </c>
    </row>
    <row r="83" spans="1:4" x14ac:dyDescent="0.35">
      <c r="A83">
        <v>2025</v>
      </c>
      <c r="B83">
        <v>3</v>
      </c>
      <c r="C83">
        <v>79</v>
      </c>
      <c r="D83" t="s">
        <v>223</v>
      </c>
    </row>
    <row r="84" spans="1:4" x14ac:dyDescent="0.35">
      <c r="A84">
        <v>2025</v>
      </c>
      <c r="B84">
        <v>3</v>
      </c>
      <c r="C84">
        <v>80</v>
      </c>
      <c r="D84" t="s">
        <v>223</v>
      </c>
    </row>
    <row r="85" spans="1:4" x14ac:dyDescent="0.35">
      <c r="A85">
        <v>2025</v>
      </c>
      <c r="B85">
        <v>3</v>
      </c>
      <c r="C85">
        <v>81</v>
      </c>
      <c r="D85" t="s">
        <v>224</v>
      </c>
    </row>
    <row r="86" spans="1:4" x14ac:dyDescent="0.35">
      <c r="A86">
        <v>2025</v>
      </c>
      <c r="B86">
        <v>3</v>
      </c>
      <c r="C86">
        <v>82</v>
      </c>
      <c r="D86" t="s">
        <v>224</v>
      </c>
    </row>
    <row r="87" spans="1:4" x14ac:dyDescent="0.35">
      <c r="A87">
        <v>2025</v>
      </c>
      <c r="B87">
        <v>3</v>
      </c>
      <c r="C87">
        <v>83</v>
      </c>
      <c r="D87" t="s">
        <v>223</v>
      </c>
    </row>
    <row r="88" spans="1:4" x14ac:dyDescent="0.35">
      <c r="A88">
        <v>2025</v>
      </c>
      <c r="B88">
        <v>3</v>
      </c>
      <c r="C88">
        <v>84</v>
      </c>
      <c r="D88" t="s">
        <v>223</v>
      </c>
    </row>
    <row r="89" spans="1:4" x14ac:dyDescent="0.35">
      <c r="A89">
        <v>2025</v>
      </c>
      <c r="B89">
        <v>3</v>
      </c>
      <c r="C89">
        <v>85</v>
      </c>
      <c r="D89" t="s">
        <v>223</v>
      </c>
    </row>
    <row r="90" spans="1:4" x14ac:dyDescent="0.35">
      <c r="A90">
        <v>2025</v>
      </c>
      <c r="B90">
        <v>3</v>
      </c>
      <c r="C90">
        <v>86</v>
      </c>
      <c r="D90" t="s">
        <v>223</v>
      </c>
    </row>
    <row r="91" spans="1:4" x14ac:dyDescent="0.35">
      <c r="A91">
        <v>2025</v>
      </c>
      <c r="B91">
        <v>3</v>
      </c>
      <c r="C91">
        <v>87</v>
      </c>
      <c r="D91" t="s">
        <v>223</v>
      </c>
    </row>
    <row r="92" spans="1:4" x14ac:dyDescent="0.35">
      <c r="A92">
        <v>2025</v>
      </c>
      <c r="B92">
        <v>3</v>
      </c>
      <c r="C92">
        <v>88</v>
      </c>
      <c r="D92" t="s">
        <v>224</v>
      </c>
    </row>
    <row r="93" spans="1:4" x14ac:dyDescent="0.35">
      <c r="A93">
        <v>2025</v>
      </c>
      <c r="B93">
        <v>3</v>
      </c>
      <c r="C93">
        <v>89</v>
      </c>
      <c r="D93" t="s">
        <v>224</v>
      </c>
    </row>
    <row r="94" spans="1:4" x14ac:dyDescent="0.35">
      <c r="A94">
        <v>2025</v>
      </c>
      <c r="B94">
        <v>3</v>
      </c>
      <c r="C94">
        <v>90</v>
      </c>
      <c r="D94" t="s">
        <v>224</v>
      </c>
    </row>
    <row r="95" spans="1:4" x14ac:dyDescent="0.35">
      <c r="A95">
        <v>2025</v>
      </c>
      <c r="B95">
        <v>3</v>
      </c>
      <c r="C95">
        <v>91</v>
      </c>
      <c r="D95" t="s">
        <v>224</v>
      </c>
    </row>
    <row r="96" spans="1:4" x14ac:dyDescent="0.35">
      <c r="A96">
        <v>2025</v>
      </c>
      <c r="B96">
        <v>4</v>
      </c>
      <c r="C96">
        <v>92</v>
      </c>
      <c r="D96" t="s">
        <v>223</v>
      </c>
    </row>
    <row r="97" spans="1:4" x14ac:dyDescent="0.35">
      <c r="A97">
        <v>2025</v>
      </c>
      <c r="B97">
        <v>4</v>
      </c>
      <c r="C97">
        <v>93</v>
      </c>
      <c r="D97" t="s">
        <v>223</v>
      </c>
    </row>
    <row r="98" spans="1:4" x14ac:dyDescent="0.35">
      <c r="A98">
        <v>2025</v>
      </c>
      <c r="B98">
        <v>4</v>
      </c>
      <c r="C98">
        <v>94</v>
      </c>
      <c r="D98" t="s">
        <v>224</v>
      </c>
    </row>
    <row r="99" spans="1:4" x14ac:dyDescent="0.35">
      <c r="A99">
        <v>2025</v>
      </c>
      <c r="B99">
        <v>4</v>
      </c>
      <c r="C99">
        <v>95</v>
      </c>
      <c r="D99" t="s">
        <v>224</v>
      </c>
    </row>
    <row r="100" spans="1:4" x14ac:dyDescent="0.35">
      <c r="A100">
        <v>2025</v>
      </c>
      <c r="B100">
        <v>4</v>
      </c>
      <c r="C100">
        <v>96</v>
      </c>
      <c r="D100" t="s">
        <v>223</v>
      </c>
    </row>
    <row r="101" spans="1:4" x14ac:dyDescent="0.35">
      <c r="A101">
        <v>2025</v>
      </c>
      <c r="B101">
        <v>4</v>
      </c>
      <c r="C101">
        <v>97</v>
      </c>
      <c r="D101" t="s">
        <v>223</v>
      </c>
    </row>
    <row r="102" spans="1:4" x14ac:dyDescent="0.35">
      <c r="A102">
        <v>2025</v>
      </c>
      <c r="B102">
        <v>4</v>
      </c>
      <c r="C102">
        <v>98</v>
      </c>
      <c r="D102" t="s">
        <v>223</v>
      </c>
    </row>
    <row r="103" spans="1:4" x14ac:dyDescent="0.35">
      <c r="A103">
        <v>2025</v>
      </c>
      <c r="B103">
        <v>4</v>
      </c>
      <c r="C103">
        <v>99</v>
      </c>
      <c r="D103" t="s">
        <v>223</v>
      </c>
    </row>
    <row r="104" spans="1:4" x14ac:dyDescent="0.35">
      <c r="A104">
        <v>2025</v>
      </c>
      <c r="B104">
        <v>4</v>
      </c>
      <c r="C104">
        <v>100</v>
      </c>
      <c r="D104" t="s">
        <v>223</v>
      </c>
    </row>
    <row r="105" spans="1:4" x14ac:dyDescent="0.35">
      <c r="A105">
        <v>2025</v>
      </c>
      <c r="B105">
        <v>4</v>
      </c>
      <c r="C105">
        <v>101</v>
      </c>
      <c r="D105" t="s">
        <v>224</v>
      </c>
    </row>
    <row r="106" spans="1:4" x14ac:dyDescent="0.35">
      <c r="A106">
        <v>2025</v>
      </c>
      <c r="B106">
        <v>4</v>
      </c>
      <c r="C106">
        <v>102</v>
      </c>
      <c r="D106" t="s">
        <v>224</v>
      </c>
    </row>
    <row r="107" spans="1:4" x14ac:dyDescent="0.35">
      <c r="A107">
        <v>2025</v>
      </c>
      <c r="B107">
        <v>4</v>
      </c>
      <c r="C107">
        <v>103</v>
      </c>
      <c r="D107" t="s">
        <v>223</v>
      </c>
    </row>
    <row r="108" spans="1:4" x14ac:dyDescent="0.35">
      <c r="A108">
        <v>2025</v>
      </c>
      <c r="B108">
        <v>4</v>
      </c>
      <c r="C108">
        <v>104</v>
      </c>
      <c r="D108" t="s">
        <v>223</v>
      </c>
    </row>
    <row r="109" spans="1:4" x14ac:dyDescent="0.35">
      <c r="A109">
        <v>2025</v>
      </c>
      <c r="B109">
        <v>4</v>
      </c>
      <c r="C109">
        <v>105</v>
      </c>
      <c r="D109" t="s">
        <v>223</v>
      </c>
    </row>
    <row r="110" spans="1:4" x14ac:dyDescent="0.35">
      <c r="A110">
        <v>2025</v>
      </c>
      <c r="B110">
        <v>4</v>
      </c>
      <c r="C110">
        <v>106</v>
      </c>
      <c r="D110" t="s">
        <v>223</v>
      </c>
    </row>
    <row r="111" spans="1:4" x14ac:dyDescent="0.35">
      <c r="A111">
        <v>2025</v>
      </c>
      <c r="B111">
        <v>4</v>
      </c>
      <c r="C111">
        <v>107</v>
      </c>
      <c r="D111" t="s">
        <v>223</v>
      </c>
    </row>
    <row r="112" spans="1:4" x14ac:dyDescent="0.35">
      <c r="A112">
        <v>2025</v>
      </c>
      <c r="B112">
        <v>4</v>
      </c>
      <c r="C112">
        <v>108</v>
      </c>
      <c r="D112" t="s">
        <v>224</v>
      </c>
    </row>
    <row r="113" spans="1:4" x14ac:dyDescent="0.35">
      <c r="A113">
        <v>2025</v>
      </c>
      <c r="B113">
        <v>4</v>
      </c>
      <c r="C113">
        <v>109</v>
      </c>
      <c r="D113" t="s">
        <v>224</v>
      </c>
    </row>
    <row r="114" spans="1:4" x14ac:dyDescent="0.35">
      <c r="A114">
        <v>2025</v>
      </c>
      <c r="B114">
        <v>4</v>
      </c>
      <c r="C114">
        <v>110</v>
      </c>
      <c r="D114" t="s">
        <v>223</v>
      </c>
    </row>
    <row r="115" spans="1:4" x14ac:dyDescent="0.35">
      <c r="A115">
        <v>2025</v>
      </c>
      <c r="B115">
        <v>4</v>
      </c>
      <c r="C115">
        <v>111</v>
      </c>
      <c r="D115" t="s">
        <v>223</v>
      </c>
    </row>
    <row r="116" spans="1:4" x14ac:dyDescent="0.35">
      <c r="A116">
        <v>2025</v>
      </c>
      <c r="B116">
        <v>4</v>
      </c>
      <c r="C116">
        <v>112</v>
      </c>
      <c r="D116" t="s">
        <v>223</v>
      </c>
    </row>
    <row r="117" spans="1:4" x14ac:dyDescent="0.35">
      <c r="A117">
        <v>2025</v>
      </c>
      <c r="B117">
        <v>4</v>
      </c>
      <c r="C117">
        <v>113</v>
      </c>
      <c r="D117" t="s">
        <v>223</v>
      </c>
    </row>
    <row r="118" spans="1:4" x14ac:dyDescent="0.35">
      <c r="A118">
        <v>2025</v>
      </c>
      <c r="B118">
        <v>4</v>
      </c>
      <c r="C118">
        <v>114</v>
      </c>
      <c r="D118" t="s">
        <v>223</v>
      </c>
    </row>
    <row r="119" spans="1:4" x14ac:dyDescent="0.35">
      <c r="A119">
        <v>2025</v>
      </c>
      <c r="B119">
        <v>4</v>
      </c>
      <c r="C119">
        <v>115</v>
      </c>
      <c r="D119" t="s">
        <v>224</v>
      </c>
    </row>
    <row r="120" spans="1:4" x14ac:dyDescent="0.35">
      <c r="A120">
        <v>2025</v>
      </c>
      <c r="B120">
        <v>4</v>
      </c>
      <c r="C120">
        <v>116</v>
      </c>
      <c r="D120" t="s">
        <v>224</v>
      </c>
    </row>
    <row r="121" spans="1:4" x14ac:dyDescent="0.35">
      <c r="A121">
        <v>2025</v>
      </c>
      <c r="B121">
        <v>4</v>
      </c>
      <c r="C121">
        <v>117</v>
      </c>
      <c r="D121" t="s">
        <v>223</v>
      </c>
    </row>
    <row r="122" spans="1:4" x14ac:dyDescent="0.35">
      <c r="A122">
        <v>2025</v>
      </c>
      <c r="B122">
        <v>4</v>
      </c>
      <c r="C122">
        <v>118</v>
      </c>
      <c r="D122" t="s">
        <v>223</v>
      </c>
    </row>
    <row r="123" spans="1:4" x14ac:dyDescent="0.35">
      <c r="A123">
        <v>2025</v>
      </c>
      <c r="B123">
        <v>4</v>
      </c>
      <c r="C123">
        <v>119</v>
      </c>
      <c r="D123" t="s">
        <v>223</v>
      </c>
    </row>
    <row r="124" spans="1:4" x14ac:dyDescent="0.35">
      <c r="A124">
        <v>2025</v>
      </c>
      <c r="B124">
        <v>4</v>
      </c>
      <c r="C124">
        <v>120</v>
      </c>
      <c r="D124" t="s">
        <v>223</v>
      </c>
    </row>
    <row r="125" spans="1:4" x14ac:dyDescent="0.35">
      <c r="A125">
        <v>2025</v>
      </c>
      <c r="B125">
        <v>4</v>
      </c>
      <c r="C125">
        <v>121</v>
      </c>
      <c r="D125" t="s">
        <v>223</v>
      </c>
    </row>
    <row r="126" spans="1:4" x14ac:dyDescent="0.35">
      <c r="A126">
        <v>2025</v>
      </c>
      <c r="B126">
        <v>4</v>
      </c>
      <c r="C126">
        <v>122</v>
      </c>
      <c r="D126" t="s">
        <v>223</v>
      </c>
    </row>
    <row r="127" spans="1:4" x14ac:dyDescent="0.35">
      <c r="A127">
        <v>2025</v>
      </c>
      <c r="B127">
        <v>5</v>
      </c>
      <c r="C127">
        <v>123</v>
      </c>
      <c r="D127" t="s">
        <v>224</v>
      </c>
    </row>
    <row r="128" spans="1:4" x14ac:dyDescent="0.35">
      <c r="A128">
        <v>2025</v>
      </c>
      <c r="B128">
        <v>5</v>
      </c>
      <c r="C128">
        <v>124</v>
      </c>
      <c r="D128" t="s">
        <v>223</v>
      </c>
    </row>
    <row r="129" spans="1:4" x14ac:dyDescent="0.35">
      <c r="A129">
        <v>2025</v>
      </c>
      <c r="B129">
        <v>5</v>
      </c>
      <c r="C129">
        <v>125</v>
      </c>
      <c r="D129" t="s">
        <v>223</v>
      </c>
    </row>
    <row r="130" spans="1:4" x14ac:dyDescent="0.35">
      <c r="A130">
        <v>2025</v>
      </c>
      <c r="B130">
        <v>5</v>
      </c>
      <c r="C130">
        <v>126</v>
      </c>
      <c r="D130" t="s">
        <v>223</v>
      </c>
    </row>
    <row r="131" spans="1:4" x14ac:dyDescent="0.35">
      <c r="A131">
        <v>2025</v>
      </c>
      <c r="B131">
        <v>5</v>
      </c>
      <c r="C131">
        <v>127</v>
      </c>
      <c r="D131" t="s">
        <v>223</v>
      </c>
    </row>
    <row r="132" spans="1:4" x14ac:dyDescent="0.35">
      <c r="A132">
        <v>2025</v>
      </c>
      <c r="B132">
        <v>5</v>
      </c>
      <c r="C132">
        <v>128</v>
      </c>
      <c r="D132" t="s">
        <v>223</v>
      </c>
    </row>
    <row r="133" spans="1:4" x14ac:dyDescent="0.35">
      <c r="A133">
        <v>2025</v>
      </c>
      <c r="B133">
        <v>5</v>
      </c>
      <c r="C133">
        <v>129</v>
      </c>
      <c r="D133" t="s">
        <v>224</v>
      </c>
    </row>
    <row r="134" spans="1:4" x14ac:dyDescent="0.35">
      <c r="A134">
        <v>2025</v>
      </c>
      <c r="B134">
        <v>5</v>
      </c>
      <c r="C134">
        <v>130</v>
      </c>
      <c r="D134" t="s">
        <v>224</v>
      </c>
    </row>
    <row r="135" spans="1:4" x14ac:dyDescent="0.35">
      <c r="A135">
        <v>2025</v>
      </c>
      <c r="B135">
        <v>5</v>
      </c>
      <c r="C135">
        <v>131</v>
      </c>
      <c r="D135" t="s">
        <v>223</v>
      </c>
    </row>
    <row r="136" spans="1:4" x14ac:dyDescent="0.35">
      <c r="A136">
        <v>2025</v>
      </c>
      <c r="B136">
        <v>5</v>
      </c>
      <c r="C136">
        <v>132</v>
      </c>
      <c r="D136" t="s">
        <v>223</v>
      </c>
    </row>
    <row r="137" spans="1:4" x14ac:dyDescent="0.35">
      <c r="A137">
        <v>2025</v>
      </c>
      <c r="B137">
        <v>5</v>
      </c>
      <c r="C137">
        <v>133</v>
      </c>
      <c r="D137" t="s">
        <v>223</v>
      </c>
    </row>
    <row r="138" spans="1:4" x14ac:dyDescent="0.35">
      <c r="A138">
        <v>2025</v>
      </c>
      <c r="B138">
        <v>5</v>
      </c>
      <c r="C138">
        <v>134</v>
      </c>
      <c r="D138" t="s">
        <v>223</v>
      </c>
    </row>
    <row r="139" spans="1:4" x14ac:dyDescent="0.35">
      <c r="A139">
        <v>2025</v>
      </c>
      <c r="B139">
        <v>5</v>
      </c>
      <c r="C139">
        <v>135</v>
      </c>
      <c r="D139" t="s">
        <v>223</v>
      </c>
    </row>
    <row r="140" spans="1:4" x14ac:dyDescent="0.35">
      <c r="A140">
        <v>2025</v>
      </c>
      <c r="B140">
        <v>5</v>
      </c>
      <c r="C140">
        <v>136</v>
      </c>
      <c r="D140" t="s">
        <v>224</v>
      </c>
    </row>
    <row r="141" spans="1:4" x14ac:dyDescent="0.35">
      <c r="A141">
        <v>2025</v>
      </c>
      <c r="B141">
        <v>5</v>
      </c>
      <c r="C141">
        <v>137</v>
      </c>
      <c r="D141" t="s">
        <v>224</v>
      </c>
    </row>
    <row r="142" spans="1:4" x14ac:dyDescent="0.35">
      <c r="A142">
        <v>2025</v>
      </c>
      <c r="B142">
        <v>5</v>
      </c>
      <c r="C142">
        <v>138</v>
      </c>
      <c r="D142" t="s">
        <v>223</v>
      </c>
    </row>
    <row r="143" spans="1:4" x14ac:dyDescent="0.35">
      <c r="A143">
        <v>2025</v>
      </c>
      <c r="B143">
        <v>5</v>
      </c>
      <c r="C143">
        <v>139</v>
      </c>
      <c r="D143" t="s">
        <v>223</v>
      </c>
    </row>
    <row r="144" spans="1:4" x14ac:dyDescent="0.35">
      <c r="A144">
        <v>2025</v>
      </c>
      <c r="B144">
        <v>5</v>
      </c>
      <c r="C144">
        <v>140</v>
      </c>
      <c r="D144" t="s">
        <v>223</v>
      </c>
    </row>
    <row r="145" spans="1:4" x14ac:dyDescent="0.35">
      <c r="A145">
        <v>2025</v>
      </c>
      <c r="B145">
        <v>5</v>
      </c>
      <c r="C145">
        <v>141</v>
      </c>
      <c r="D145" t="s">
        <v>223</v>
      </c>
    </row>
    <row r="146" spans="1:4" x14ac:dyDescent="0.35">
      <c r="A146">
        <v>2025</v>
      </c>
      <c r="B146">
        <v>5</v>
      </c>
      <c r="C146">
        <v>142</v>
      </c>
      <c r="D146" t="s">
        <v>223</v>
      </c>
    </row>
    <row r="147" spans="1:4" x14ac:dyDescent="0.35">
      <c r="A147">
        <v>2025</v>
      </c>
      <c r="B147">
        <v>5</v>
      </c>
      <c r="C147">
        <v>143</v>
      </c>
      <c r="D147" t="s">
        <v>224</v>
      </c>
    </row>
    <row r="148" spans="1:4" x14ac:dyDescent="0.35">
      <c r="A148">
        <v>2025</v>
      </c>
      <c r="B148">
        <v>5</v>
      </c>
      <c r="C148">
        <v>144</v>
      </c>
      <c r="D148" t="s">
        <v>224</v>
      </c>
    </row>
    <row r="149" spans="1:4" x14ac:dyDescent="0.35">
      <c r="A149">
        <v>2025</v>
      </c>
      <c r="B149">
        <v>5</v>
      </c>
      <c r="C149">
        <v>145</v>
      </c>
      <c r="D149" t="s">
        <v>223</v>
      </c>
    </row>
    <row r="150" spans="1:4" x14ac:dyDescent="0.35">
      <c r="A150">
        <v>2025</v>
      </c>
      <c r="B150">
        <v>5</v>
      </c>
      <c r="C150">
        <v>146</v>
      </c>
      <c r="D150" t="s">
        <v>223</v>
      </c>
    </row>
    <row r="151" spans="1:4" x14ac:dyDescent="0.35">
      <c r="A151">
        <v>2025</v>
      </c>
      <c r="B151">
        <v>5</v>
      </c>
      <c r="C151">
        <v>147</v>
      </c>
      <c r="D151" t="s">
        <v>223</v>
      </c>
    </row>
    <row r="152" spans="1:4" x14ac:dyDescent="0.35">
      <c r="A152">
        <v>2025</v>
      </c>
      <c r="B152">
        <v>5</v>
      </c>
      <c r="C152">
        <v>148</v>
      </c>
      <c r="D152" t="s">
        <v>223</v>
      </c>
    </row>
    <row r="153" spans="1:4" x14ac:dyDescent="0.35">
      <c r="A153">
        <v>2025</v>
      </c>
      <c r="B153">
        <v>5</v>
      </c>
      <c r="C153">
        <v>149</v>
      </c>
      <c r="D153" t="s">
        <v>223</v>
      </c>
    </row>
    <row r="154" spans="1:4" x14ac:dyDescent="0.35">
      <c r="A154">
        <v>2025</v>
      </c>
      <c r="B154">
        <v>5</v>
      </c>
      <c r="C154">
        <v>150</v>
      </c>
      <c r="D154" t="s">
        <v>223</v>
      </c>
    </row>
    <row r="155" spans="1:4" x14ac:dyDescent="0.35">
      <c r="A155">
        <v>2025</v>
      </c>
      <c r="B155">
        <v>5</v>
      </c>
      <c r="C155">
        <v>151</v>
      </c>
      <c r="D155" t="s">
        <v>223</v>
      </c>
    </row>
    <row r="156" spans="1:4" x14ac:dyDescent="0.35">
      <c r="A156">
        <v>2025</v>
      </c>
      <c r="B156">
        <v>5</v>
      </c>
      <c r="C156">
        <v>152</v>
      </c>
      <c r="D156" t="s">
        <v>224</v>
      </c>
    </row>
    <row r="157" spans="1:4" x14ac:dyDescent="0.35">
      <c r="A157">
        <v>2025</v>
      </c>
      <c r="B157">
        <v>6</v>
      </c>
      <c r="C157">
        <v>153</v>
      </c>
      <c r="D157" t="s">
        <v>223</v>
      </c>
    </row>
    <row r="158" spans="1:4" x14ac:dyDescent="0.35">
      <c r="A158">
        <v>2025</v>
      </c>
      <c r="B158">
        <v>6</v>
      </c>
      <c r="C158">
        <v>154</v>
      </c>
      <c r="D158" t="s">
        <v>223</v>
      </c>
    </row>
    <row r="159" spans="1:4" x14ac:dyDescent="0.35">
      <c r="A159">
        <v>2025</v>
      </c>
      <c r="B159">
        <v>6</v>
      </c>
      <c r="C159">
        <v>155</v>
      </c>
      <c r="D159" t="s">
        <v>223</v>
      </c>
    </row>
    <row r="160" spans="1:4" x14ac:dyDescent="0.35">
      <c r="A160">
        <v>2025</v>
      </c>
      <c r="B160">
        <v>6</v>
      </c>
      <c r="C160">
        <v>156</v>
      </c>
      <c r="D160" t="s">
        <v>224</v>
      </c>
    </row>
    <row r="161" spans="1:4" x14ac:dyDescent="0.35">
      <c r="A161">
        <v>2025</v>
      </c>
      <c r="B161">
        <v>6</v>
      </c>
      <c r="C161">
        <v>157</v>
      </c>
      <c r="D161" t="s">
        <v>224</v>
      </c>
    </row>
    <row r="162" spans="1:4" x14ac:dyDescent="0.35">
      <c r="A162">
        <v>2025</v>
      </c>
      <c r="B162">
        <v>6</v>
      </c>
      <c r="C162">
        <v>158</v>
      </c>
      <c r="D162" t="s">
        <v>223</v>
      </c>
    </row>
    <row r="163" spans="1:4" x14ac:dyDescent="0.35">
      <c r="A163">
        <v>2025</v>
      </c>
      <c r="B163">
        <v>6</v>
      </c>
      <c r="C163">
        <v>159</v>
      </c>
      <c r="D163" t="s">
        <v>223</v>
      </c>
    </row>
    <row r="164" spans="1:4" x14ac:dyDescent="0.35">
      <c r="A164">
        <v>2025</v>
      </c>
      <c r="B164">
        <v>6</v>
      </c>
      <c r="C164">
        <v>160</v>
      </c>
      <c r="D164" t="s">
        <v>223</v>
      </c>
    </row>
    <row r="165" spans="1:4" x14ac:dyDescent="0.35">
      <c r="A165">
        <v>2025</v>
      </c>
      <c r="B165">
        <v>6</v>
      </c>
      <c r="C165">
        <v>161</v>
      </c>
      <c r="D165" t="s">
        <v>223</v>
      </c>
    </row>
    <row r="166" spans="1:4" x14ac:dyDescent="0.35">
      <c r="A166">
        <v>2025</v>
      </c>
      <c r="B166">
        <v>6</v>
      </c>
      <c r="C166">
        <v>162</v>
      </c>
      <c r="D166" t="s">
        <v>223</v>
      </c>
    </row>
    <row r="167" spans="1:4" x14ac:dyDescent="0.35">
      <c r="A167">
        <v>2025</v>
      </c>
      <c r="B167">
        <v>6</v>
      </c>
      <c r="C167">
        <v>163</v>
      </c>
      <c r="D167" t="s">
        <v>224</v>
      </c>
    </row>
    <row r="168" spans="1:4" x14ac:dyDescent="0.35">
      <c r="A168">
        <v>2025</v>
      </c>
      <c r="B168">
        <v>6</v>
      </c>
      <c r="C168">
        <v>164</v>
      </c>
      <c r="D168" t="s">
        <v>224</v>
      </c>
    </row>
    <row r="169" spans="1:4" x14ac:dyDescent="0.35">
      <c r="A169">
        <v>2025</v>
      </c>
      <c r="B169">
        <v>6</v>
      </c>
      <c r="C169">
        <v>165</v>
      </c>
      <c r="D169" t="s">
        <v>223</v>
      </c>
    </row>
    <row r="170" spans="1:4" x14ac:dyDescent="0.35">
      <c r="A170">
        <v>2025</v>
      </c>
      <c r="B170">
        <v>6</v>
      </c>
      <c r="C170">
        <v>166</v>
      </c>
      <c r="D170" t="s">
        <v>223</v>
      </c>
    </row>
    <row r="171" spans="1:4" x14ac:dyDescent="0.35">
      <c r="A171">
        <v>2025</v>
      </c>
      <c r="B171">
        <v>6</v>
      </c>
      <c r="C171">
        <v>167</v>
      </c>
      <c r="D171" t="s">
        <v>223</v>
      </c>
    </row>
    <row r="172" spans="1:4" x14ac:dyDescent="0.35">
      <c r="A172">
        <v>2025</v>
      </c>
      <c r="B172">
        <v>6</v>
      </c>
      <c r="C172">
        <v>168</v>
      </c>
      <c r="D172" t="s">
        <v>223</v>
      </c>
    </row>
    <row r="173" spans="1:4" x14ac:dyDescent="0.35">
      <c r="A173">
        <v>2025</v>
      </c>
      <c r="B173">
        <v>6</v>
      </c>
      <c r="C173">
        <v>169</v>
      </c>
      <c r="D173" t="s">
        <v>223</v>
      </c>
    </row>
    <row r="174" spans="1:4" x14ac:dyDescent="0.35">
      <c r="A174">
        <v>2025</v>
      </c>
      <c r="B174">
        <v>6</v>
      </c>
      <c r="C174">
        <v>170</v>
      </c>
      <c r="D174" t="s">
        <v>224</v>
      </c>
    </row>
    <row r="175" spans="1:4" x14ac:dyDescent="0.35">
      <c r="A175">
        <v>2025</v>
      </c>
      <c r="B175">
        <v>6</v>
      </c>
      <c r="C175">
        <v>171</v>
      </c>
      <c r="D175" t="s">
        <v>224</v>
      </c>
    </row>
    <row r="176" spans="1:4" x14ac:dyDescent="0.35">
      <c r="A176">
        <v>2025</v>
      </c>
      <c r="B176">
        <v>6</v>
      </c>
      <c r="C176">
        <v>172</v>
      </c>
      <c r="D176" t="s">
        <v>223</v>
      </c>
    </row>
    <row r="177" spans="1:4" x14ac:dyDescent="0.35">
      <c r="A177">
        <v>2025</v>
      </c>
      <c r="B177">
        <v>6</v>
      </c>
      <c r="C177">
        <v>173</v>
      </c>
      <c r="D177" t="s">
        <v>223</v>
      </c>
    </row>
    <row r="178" spans="1:4" x14ac:dyDescent="0.35">
      <c r="A178">
        <v>2025</v>
      </c>
      <c r="B178">
        <v>6</v>
      </c>
      <c r="C178">
        <v>174</v>
      </c>
      <c r="D178" t="s">
        <v>223</v>
      </c>
    </row>
    <row r="179" spans="1:4" x14ac:dyDescent="0.35">
      <c r="A179">
        <v>2025</v>
      </c>
      <c r="B179">
        <v>6</v>
      </c>
      <c r="C179">
        <v>175</v>
      </c>
      <c r="D179" t="s">
        <v>223</v>
      </c>
    </row>
    <row r="180" spans="1:4" x14ac:dyDescent="0.35">
      <c r="A180">
        <v>2025</v>
      </c>
      <c r="B180">
        <v>6</v>
      </c>
      <c r="C180">
        <v>176</v>
      </c>
      <c r="D180" t="s">
        <v>223</v>
      </c>
    </row>
    <row r="181" spans="1:4" x14ac:dyDescent="0.35">
      <c r="A181">
        <v>2025</v>
      </c>
      <c r="B181">
        <v>6</v>
      </c>
      <c r="C181">
        <v>177</v>
      </c>
      <c r="D181" t="s">
        <v>224</v>
      </c>
    </row>
    <row r="182" spans="1:4" x14ac:dyDescent="0.35">
      <c r="A182">
        <v>2025</v>
      </c>
      <c r="B182">
        <v>6</v>
      </c>
      <c r="C182">
        <v>178</v>
      </c>
      <c r="D182" t="s">
        <v>224</v>
      </c>
    </row>
    <row r="183" spans="1:4" x14ac:dyDescent="0.35">
      <c r="A183">
        <v>2025</v>
      </c>
      <c r="B183">
        <v>6</v>
      </c>
      <c r="C183">
        <v>179</v>
      </c>
      <c r="D183" t="s">
        <v>223</v>
      </c>
    </row>
    <row r="184" spans="1:4" x14ac:dyDescent="0.35">
      <c r="A184">
        <v>2025</v>
      </c>
      <c r="B184">
        <v>6</v>
      </c>
      <c r="C184">
        <v>180</v>
      </c>
      <c r="D184" t="s">
        <v>224</v>
      </c>
    </row>
    <row r="185" spans="1:4" x14ac:dyDescent="0.35">
      <c r="A185">
        <v>2025</v>
      </c>
      <c r="B185">
        <v>6</v>
      </c>
      <c r="C185">
        <v>181</v>
      </c>
      <c r="D185" t="s">
        <v>223</v>
      </c>
    </row>
    <row r="186" spans="1:4" x14ac:dyDescent="0.35">
      <c r="A186">
        <v>2025</v>
      </c>
      <c r="B186">
        <v>6</v>
      </c>
      <c r="C186">
        <v>182</v>
      </c>
      <c r="D186" t="s">
        <v>223</v>
      </c>
    </row>
    <row r="187" spans="1:4" x14ac:dyDescent="0.35">
      <c r="A187">
        <v>2025</v>
      </c>
      <c r="B187">
        <v>6</v>
      </c>
      <c r="C187">
        <v>183</v>
      </c>
      <c r="D187" t="s">
        <v>223</v>
      </c>
    </row>
    <row r="188" spans="1:4" x14ac:dyDescent="0.35">
      <c r="A188">
        <v>2025</v>
      </c>
      <c r="B188">
        <v>7</v>
      </c>
      <c r="C188">
        <v>184</v>
      </c>
      <c r="D188" t="s">
        <v>224</v>
      </c>
    </row>
    <row r="189" spans="1:4" x14ac:dyDescent="0.35">
      <c r="A189">
        <v>2025</v>
      </c>
      <c r="B189">
        <v>7</v>
      </c>
      <c r="C189">
        <v>185</v>
      </c>
      <c r="D189" t="s">
        <v>224</v>
      </c>
    </row>
    <row r="190" spans="1:4" x14ac:dyDescent="0.35">
      <c r="A190">
        <v>2025</v>
      </c>
      <c r="B190">
        <v>7</v>
      </c>
      <c r="C190">
        <v>186</v>
      </c>
      <c r="D190" t="s">
        <v>223</v>
      </c>
    </row>
    <row r="191" spans="1:4" x14ac:dyDescent="0.35">
      <c r="A191">
        <v>2025</v>
      </c>
      <c r="B191">
        <v>7</v>
      </c>
      <c r="C191">
        <v>187</v>
      </c>
      <c r="D191" t="s">
        <v>223</v>
      </c>
    </row>
    <row r="192" spans="1:4" x14ac:dyDescent="0.35">
      <c r="A192">
        <v>2025</v>
      </c>
      <c r="B192">
        <v>7</v>
      </c>
      <c r="C192">
        <v>188</v>
      </c>
      <c r="D192" t="s">
        <v>223</v>
      </c>
    </row>
    <row r="193" spans="1:4" x14ac:dyDescent="0.35">
      <c r="A193">
        <v>2025</v>
      </c>
      <c r="B193">
        <v>7</v>
      </c>
      <c r="C193">
        <v>189</v>
      </c>
      <c r="D193" t="s">
        <v>223</v>
      </c>
    </row>
    <row r="194" spans="1:4" x14ac:dyDescent="0.35">
      <c r="A194">
        <v>2025</v>
      </c>
      <c r="B194">
        <v>7</v>
      </c>
      <c r="C194">
        <v>190</v>
      </c>
      <c r="D194" t="s">
        <v>223</v>
      </c>
    </row>
    <row r="195" spans="1:4" x14ac:dyDescent="0.35">
      <c r="A195">
        <v>2025</v>
      </c>
      <c r="B195">
        <v>7</v>
      </c>
      <c r="C195">
        <v>191</v>
      </c>
      <c r="D195" t="s">
        <v>224</v>
      </c>
    </row>
    <row r="196" spans="1:4" x14ac:dyDescent="0.35">
      <c r="A196">
        <v>2025</v>
      </c>
      <c r="B196">
        <v>7</v>
      </c>
      <c r="C196">
        <v>192</v>
      </c>
      <c r="D196" t="s">
        <v>224</v>
      </c>
    </row>
    <row r="197" spans="1:4" x14ac:dyDescent="0.35">
      <c r="A197">
        <v>2025</v>
      </c>
      <c r="B197">
        <v>7</v>
      </c>
      <c r="C197">
        <v>193</v>
      </c>
      <c r="D197" t="s">
        <v>223</v>
      </c>
    </row>
    <row r="198" spans="1:4" x14ac:dyDescent="0.35">
      <c r="A198">
        <v>2025</v>
      </c>
      <c r="B198">
        <v>7</v>
      </c>
      <c r="C198">
        <v>194</v>
      </c>
      <c r="D198" t="s">
        <v>223</v>
      </c>
    </row>
    <row r="199" spans="1:4" x14ac:dyDescent="0.35">
      <c r="A199">
        <v>2025</v>
      </c>
      <c r="B199">
        <v>7</v>
      </c>
      <c r="C199">
        <v>195</v>
      </c>
      <c r="D199" t="s">
        <v>223</v>
      </c>
    </row>
    <row r="200" spans="1:4" x14ac:dyDescent="0.35">
      <c r="A200">
        <v>2025</v>
      </c>
      <c r="B200">
        <v>7</v>
      </c>
      <c r="C200">
        <v>196</v>
      </c>
      <c r="D200" t="s">
        <v>223</v>
      </c>
    </row>
    <row r="201" spans="1:4" x14ac:dyDescent="0.35">
      <c r="A201">
        <v>2025</v>
      </c>
      <c r="B201">
        <v>7</v>
      </c>
      <c r="C201">
        <v>197</v>
      </c>
      <c r="D201" t="s">
        <v>223</v>
      </c>
    </row>
    <row r="202" spans="1:4" x14ac:dyDescent="0.35">
      <c r="A202">
        <v>2025</v>
      </c>
      <c r="B202">
        <v>7</v>
      </c>
      <c r="C202">
        <v>198</v>
      </c>
      <c r="D202" t="s">
        <v>224</v>
      </c>
    </row>
    <row r="203" spans="1:4" x14ac:dyDescent="0.35">
      <c r="A203">
        <v>2025</v>
      </c>
      <c r="B203">
        <v>7</v>
      </c>
      <c r="C203">
        <v>199</v>
      </c>
      <c r="D203" t="s">
        <v>224</v>
      </c>
    </row>
    <row r="204" spans="1:4" x14ac:dyDescent="0.35">
      <c r="A204">
        <v>2025</v>
      </c>
      <c r="B204">
        <v>7</v>
      </c>
      <c r="C204">
        <v>200</v>
      </c>
      <c r="D204" t="s">
        <v>223</v>
      </c>
    </row>
    <row r="205" spans="1:4" x14ac:dyDescent="0.35">
      <c r="A205">
        <v>2025</v>
      </c>
      <c r="B205">
        <v>7</v>
      </c>
      <c r="C205">
        <v>201</v>
      </c>
      <c r="D205" t="s">
        <v>223</v>
      </c>
    </row>
    <row r="206" spans="1:4" x14ac:dyDescent="0.35">
      <c r="A206">
        <v>2025</v>
      </c>
      <c r="B206">
        <v>7</v>
      </c>
      <c r="C206">
        <v>202</v>
      </c>
      <c r="D206" t="s">
        <v>223</v>
      </c>
    </row>
    <row r="207" spans="1:4" x14ac:dyDescent="0.35">
      <c r="A207">
        <v>2025</v>
      </c>
      <c r="B207">
        <v>7</v>
      </c>
      <c r="C207">
        <v>203</v>
      </c>
      <c r="D207" t="s">
        <v>223</v>
      </c>
    </row>
    <row r="208" spans="1:4" x14ac:dyDescent="0.35">
      <c r="A208">
        <v>2025</v>
      </c>
      <c r="B208">
        <v>7</v>
      </c>
      <c r="C208">
        <v>204</v>
      </c>
      <c r="D208" t="s">
        <v>223</v>
      </c>
    </row>
    <row r="209" spans="1:4" x14ac:dyDescent="0.35">
      <c r="A209">
        <v>2025</v>
      </c>
      <c r="B209">
        <v>7</v>
      </c>
      <c r="C209">
        <v>205</v>
      </c>
      <c r="D209" t="s">
        <v>224</v>
      </c>
    </row>
    <row r="210" spans="1:4" x14ac:dyDescent="0.35">
      <c r="A210">
        <v>2025</v>
      </c>
      <c r="B210">
        <v>7</v>
      </c>
      <c r="C210">
        <v>206</v>
      </c>
      <c r="D210" t="s">
        <v>224</v>
      </c>
    </row>
    <row r="211" spans="1:4" x14ac:dyDescent="0.35">
      <c r="A211">
        <v>2025</v>
      </c>
      <c r="B211">
        <v>7</v>
      </c>
      <c r="C211">
        <v>207</v>
      </c>
      <c r="D211" t="s">
        <v>223</v>
      </c>
    </row>
    <row r="212" spans="1:4" x14ac:dyDescent="0.35">
      <c r="A212">
        <v>2025</v>
      </c>
      <c r="B212">
        <v>7</v>
      </c>
      <c r="C212">
        <v>208</v>
      </c>
      <c r="D212" t="s">
        <v>223</v>
      </c>
    </row>
    <row r="213" spans="1:4" x14ac:dyDescent="0.35">
      <c r="A213">
        <v>2025</v>
      </c>
      <c r="B213">
        <v>7</v>
      </c>
      <c r="C213">
        <v>209</v>
      </c>
      <c r="D213" t="s">
        <v>223</v>
      </c>
    </row>
    <row r="214" spans="1:4" x14ac:dyDescent="0.35">
      <c r="A214">
        <v>2025</v>
      </c>
      <c r="B214">
        <v>7</v>
      </c>
      <c r="C214">
        <v>210</v>
      </c>
      <c r="D214" t="s">
        <v>223</v>
      </c>
    </row>
    <row r="215" spans="1:4" x14ac:dyDescent="0.35">
      <c r="A215">
        <v>2025</v>
      </c>
      <c r="B215">
        <v>7</v>
      </c>
      <c r="C215">
        <v>211</v>
      </c>
      <c r="D215" t="s">
        <v>223</v>
      </c>
    </row>
    <row r="216" spans="1:4" x14ac:dyDescent="0.35">
      <c r="A216">
        <v>2025</v>
      </c>
      <c r="B216">
        <v>7</v>
      </c>
      <c r="C216">
        <v>212</v>
      </c>
      <c r="D216" t="s">
        <v>223</v>
      </c>
    </row>
    <row r="217" spans="1:4" x14ac:dyDescent="0.35">
      <c r="A217">
        <v>2025</v>
      </c>
      <c r="B217">
        <v>7</v>
      </c>
      <c r="C217">
        <v>213</v>
      </c>
      <c r="D217" t="s">
        <v>223</v>
      </c>
    </row>
    <row r="218" spans="1:4" x14ac:dyDescent="0.35">
      <c r="A218">
        <v>2025</v>
      </c>
      <c r="B218">
        <v>8</v>
      </c>
      <c r="C218">
        <v>214</v>
      </c>
      <c r="D218" t="s">
        <v>223</v>
      </c>
    </row>
    <row r="219" spans="1:4" x14ac:dyDescent="0.35">
      <c r="A219">
        <v>2025</v>
      </c>
      <c r="B219">
        <v>8</v>
      </c>
      <c r="C219">
        <v>215</v>
      </c>
      <c r="D219" t="s">
        <v>223</v>
      </c>
    </row>
    <row r="220" spans="1:4" x14ac:dyDescent="0.35">
      <c r="A220">
        <v>2025</v>
      </c>
      <c r="B220">
        <v>8</v>
      </c>
      <c r="C220">
        <v>216</v>
      </c>
      <c r="D220" t="s">
        <v>223</v>
      </c>
    </row>
    <row r="221" spans="1:4" x14ac:dyDescent="0.35">
      <c r="A221">
        <v>2025</v>
      </c>
      <c r="B221">
        <v>8</v>
      </c>
      <c r="C221">
        <v>217</v>
      </c>
      <c r="D221" t="s">
        <v>223</v>
      </c>
    </row>
    <row r="222" spans="1:4" x14ac:dyDescent="0.35">
      <c r="A222">
        <v>2025</v>
      </c>
      <c r="B222">
        <v>8</v>
      </c>
      <c r="C222">
        <v>218</v>
      </c>
      <c r="D222" t="s">
        <v>224</v>
      </c>
    </row>
    <row r="223" spans="1:4" x14ac:dyDescent="0.35">
      <c r="A223">
        <v>2025</v>
      </c>
      <c r="B223">
        <v>8</v>
      </c>
      <c r="C223">
        <v>219</v>
      </c>
      <c r="D223" t="s">
        <v>224</v>
      </c>
    </row>
    <row r="224" spans="1:4" x14ac:dyDescent="0.35">
      <c r="A224">
        <v>2025</v>
      </c>
      <c r="B224">
        <v>8</v>
      </c>
      <c r="C224">
        <v>220</v>
      </c>
      <c r="D224" t="s">
        <v>223</v>
      </c>
    </row>
    <row r="225" spans="1:4" x14ac:dyDescent="0.35">
      <c r="A225">
        <v>2025</v>
      </c>
      <c r="B225">
        <v>8</v>
      </c>
      <c r="C225">
        <v>221</v>
      </c>
      <c r="D225" t="s">
        <v>223</v>
      </c>
    </row>
    <row r="226" spans="1:4" x14ac:dyDescent="0.35">
      <c r="A226">
        <v>2025</v>
      </c>
      <c r="B226">
        <v>8</v>
      </c>
      <c r="C226">
        <v>222</v>
      </c>
      <c r="D226" t="s">
        <v>223</v>
      </c>
    </row>
    <row r="227" spans="1:4" x14ac:dyDescent="0.35">
      <c r="A227">
        <v>2025</v>
      </c>
      <c r="B227">
        <v>8</v>
      </c>
      <c r="C227">
        <v>223</v>
      </c>
      <c r="D227" t="s">
        <v>223</v>
      </c>
    </row>
    <row r="228" spans="1:4" x14ac:dyDescent="0.35">
      <c r="A228">
        <v>2025</v>
      </c>
      <c r="B228">
        <v>8</v>
      </c>
      <c r="C228">
        <v>224</v>
      </c>
      <c r="D228" t="s">
        <v>223</v>
      </c>
    </row>
    <row r="229" spans="1:4" x14ac:dyDescent="0.35">
      <c r="A229">
        <v>2025</v>
      </c>
      <c r="B229">
        <v>8</v>
      </c>
      <c r="C229">
        <v>225</v>
      </c>
      <c r="D229" t="s">
        <v>224</v>
      </c>
    </row>
    <row r="230" spans="1:4" x14ac:dyDescent="0.35">
      <c r="A230">
        <v>2025</v>
      </c>
      <c r="B230">
        <v>8</v>
      </c>
      <c r="C230">
        <v>226</v>
      </c>
      <c r="D230" t="s">
        <v>224</v>
      </c>
    </row>
    <row r="231" spans="1:4" x14ac:dyDescent="0.35">
      <c r="A231">
        <v>2025</v>
      </c>
      <c r="B231">
        <v>8</v>
      </c>
      <c r="C231">
        <v>227</v>
      </c>
      <c r="D231" t="s">
        <v>223</v>
      </c>
    </row>
    <row r="232" spans="1:4" x14ac:dyDescent="0.35">
      <c r="A232">
        <v>2025</v>
      </c>
      <c r="B232">
        <v>8</v>
      </c>
      <c r="C232">
        <v>228</v>
      </c>
      <c r="D232" t="s">
        <v>223</v>
      </c>
    </row>
    <row r="233" spans="1:4" x14ac:dyDescent="0.35">
      <c r="A233">
        <v>2025</v>
      </c>
      <c r="B233">
        <v>8</v>
      </c>
      <c r="C233">
        <v>229</v>
      </c>
      <c r="D233" t="s">
        <v>223</v>
      </c>
    </row>
    <row r="234" spans="1:4" x14ac:dyDescent="0.35">
      <c r="A234">
        <v>2025</v>
      </c>
      <c r="B234">
        <v>8</v>
      </c>
      <c r="C234">
        <v>230</v>
      </c>
      <c r="D234" t="s">
        <v>223</v>
      </c>
    </row>
    <row r="235" spans="1:4" x14ac:dyDescent="0.35">
      <c r="A235">
        <v>2025</v>
      </c>
      <c r="B235">
        <v>8</v>
      </c>
      <c r="C235">
        <v>231</v>
      </c>
      <c r="D235" t="s">
        <v>223</v>
      </c>
    </row>
    <row r="236" spans="1:4" x14ac:dyDescent="0.35">
      <c r="A236">
        <v>2025</v>
      </c>
      <c r="B236">
        <v>8</v>
      </c>
      <c r="C236">
        <v>232</v>
      </c>
      <c r="D236" t="s">
        <v>224</v>
      </c>
    </row>
    <row r="237" spans="1:4" x14ac:dyDescent="0.35">
      <c r="A237">
        <v>2025</v>
      </c>
      <c r="B237">
        <v>8</v>
      </c>
      <c r="C237">
        <v>233</v>
      </c>
      <c r="D237" t="s">
        <v>224</v>
      </c>
    </row>
    <row r="238" spans="1:4" x14ac:dyDescent="0.35">
      <c r="A238">
        <v>2025</v>
      </c>
      <c r="B238">
        <v>8</v>
      </c>
      <c r="C238">
        <v>234</v>
      </c>
      <c r="D238" t="s">
        <v>223</v>
      </c>
    </row>
    <row r="239" spans="1:4" x14ac:dyDescent="0.35">
      <c r="A239">
        <v>2025</v>
      </c>
      <c r="B239">
        <v>8</v>
      </c>
      <c r="C239">
        <v>235</v>
      </c>
      <c r="D239" t="s">
        <v>223</v>
      </c>
    </row>
    <row r="240" spans="1:4" x14ac:dyDescent="0.35">
      <c r="A240">
        <v>2025</v>
      </c>
      <c r="B240">
        <v>8</v>
      </c>
      <c r="C240">
        <v>236</v>
      </c>
      <c r="D240" t="s">
        <v>223</v>
      </c>
    </row>
    <row r="241" spans="1:4" x14ac:dyDescent="0.35">
      <c r="A241">
        <v>2025</v>
      </c>
      <c r="B241">
        <v>8</v>
      </c>
      <c r="C241">
        <v>237</v>
      </c>
      <c r="D241" t="s">
        <v>223</v>
      </c>
    </row>
    <row r="242" spans="1:4" x14ac:dyDescent="0.35">
      <c r="A242">
        <v>2025</v>
      </c>
      <c r="B242">
        <v>8</v>
      </c>
      <c r="C242">
        <v>238</v>
      </c>
      <c r="D242" t="s">
        <v>223</v>
      </c>
    </row>
    <row r="243" spans="1:4" x14ac:dyDescent="0.35">
      <c r="A243">
        <v>2025</v>
      </c>
      <c r="B243">
        <v>8</v>
      </c>
      <c r="C243">
        <v>239</v>
      </c>
      <c r="D243" t="s">
        <v>224</v>
      </c>
    </row>
    <row r="244" spans="1:4" x14ac:dyDescent="0.35">
      <c r="A244">
        <v>2025</v>
      </c>
      <c r="B244">
        <v>8</v>
      </c>
      <c r="C244">
        <v>240</v>
      </c>
      <c r="D244" t="s">
        <v>223</v>
      </c>
    </row>
    <row r="245" spans="1:4" x14ac:dyDescent="0.35">
      <c r="A245">
        <v>2025</v>
      </c>
      <c r="B245">
        <v>8</v>
      </c>
      <c r="C245">
        <v>241</v>
      </c>
      <c r="D245" t="s">
        <v>224</v>
      </c>
    </row>
    <row r="246" spans="1:4" x14ac:dyDescent="0.35">
      <c r="A246">
        <v>2025</v>
      </c>
      <c r="B246">
        <v>8</v>
      </c>
      <c r="C246">
        <v>242</v>
      </c>
      <c r="D246" t="s">
        <v>224</v>
      </c>
    </row>
    <row r="247" spans="1:4" x14ac:dyDescent="0.35">
      <c r="A247">
        <v>2025</v>
      </c>
      <c r="B247">
        <v>8</v>
      </c>
      <c r="C247">
        <v>243</v>
      </c>
      <c r="D247" t="s">
        <v>223</v>
      </c>
    </row>
    <row r="248" spans="1:4" x14ac:dyDescent="0.35">
      <c r="A248">
        <v>2025</v>
      </c>
      <c r="B248">
        <v>8</v>
      </c>
      <c r="C248">
        <v>244</v>
      </c>
      <c r="D248" t="s">
        <v>223</v>
      </c>
    </row>
    <row r="249" spans="1:4" x14ac:dyDescent="0.35">
      <c r="A249">
        <v>2025</v>
      </c>
      <c r="B249">
        <v>9</v>
      </c>
      <c r="C249">
        <v>245</v>
      </c>
      <c r="D249" t="s">
        <v>224</v>
      </c>
    </row>
    <row r="250" spans="1:4" x14ac:dyDescent="0.35">
      <c r="A250">
        <v>2025</v>
      </c>
      <c r="B250">
        <v>9</v>
      </c>
      <c r="C250">
        <v>246</v>
      </c>
      <c r="D250" t="s">
        <v>224</v>
      </c>
    </row>
    <row r="251" spans="1:4" x14ac:dyDescent="0.35">
      <c r="A251">
        <v>2025</v>
      </c>
      <c r="B251">
        <v>9</v>
      </c>
      <c r="C251">
        <v>247</v>
      </c>
      <c r="D251" t="s">
        <v>223</v>
      </c>
    </row>
    <row r="252" spans="1:4" x14ac:dyDescent="0.35">
      <c r="A252">
        <v>2025</v>
      </c>
      <c r="B252">
        <v>9</v>
      </c>
      <c r="C252">
        <v>248</v>
      </c>
      <c r="D252" t="s">
        <v>223</v>
      </c>
    </row>
    <row r="253" spans="1:4" x14ac:dyDescent="0.35">
      <c r="A253">
        <v>2025</v>
      </c>
      <c r="B253">
        <v>9</v>
      </c>
      <c r="C253">
        <v>249</v>
      </c>
      <c r="D253" t="s">
        <v>223</v>
      </c>
    </row>
    <row r="254" spans="1:4" x14ac:dyDescent="0.35">
      <c r="A254">
        <v>2025</v>
      </c>
      <c r="B254">
        <v>9</v>
      </c>
      <c r="C254">
        <v>250</v>
      </c>
      <c r="D254" t="s">
        <v>223</v>
      </c>
    </row>
    <row r="255" spans="1:4" x14ac:dyDescent="0.35">
      <c r="A255">
        <v>2025</v>
      </c>
      <c r="B255">
        <v>9</v>
      </c>
      <c r="C255">
        <v>251</v>
      </c>
      <c r="D255" t="s">
        <v>223</v>
      </c>
    </row>
    <row r="256" spans="1:4" x14ac:dyDescent="0.35">
      <c r="A256">
        <v>2025</v>
      </c>
      <c r="B256">
        <v>9</v>
      </c>
      <c r="C256">
        <v>252</v>
      </c>
      <c r="D256" t="s">
        <v>224</v>
      </c>
    </row>
    <row r="257" spans="1:4" x14ac:dyDescent="0.35">
      <c r="A257">
        <v>2025</v>
      </c>
      <c r="B257">
        <v>9</v>
      </c>
      <c r="C257">
        <v>253</v>
      </c>
      <c r="D257" t="s">
        <v>224</v>
      </c>
    </row>
    <row r="258" spans="1:4" x14ac:dyDescent="0.35">
      <c r="A258">
        <v>2025</v>
      </c>
      <c r="B258">
        <v>9</v>
      </c>
      <c r="C258">
        <v>254</v>
      </c>
      <c r="D258" t="s">
        <v>223</v>
      </c>
    </row>
    <row r="259" spans="1:4" x14ac:dyDescent="0.35">
      <c r="A259">
        <v>2025</v>
      </c>
      <c r="B259">
        <v>9</v>
      </c>
      <c r="C259">
        <v>255</v>
      </c>
      <c r="D259" t="s">
        <v>223</v>
      </c>
    </row>
    <row r="260" spans="1:4" x14ac:dyDescent="0.35">
      <c r="A260">
        <v>2025</v>
      </c>
      <c r="B260">
        <v>9</v>
      </c>
      <c r="C260">
        <v>256</v>
      </c>
      <c r="D260" t="s">
        <v>223</v>
      </c>
    </row>
    <row r="261" spans="1:4" x14ac:dyDescent="0.35">
      <c r="A261">
        <v>2025</v>
      </c>
      <c r="B261">
        <v>9</v>
      </c>
      <c r="C261">
        <v>257</v>
      </c>
      <c r="D261" t="s">
        <v>223</v>
      </c>
    </row>
    <row r="262" spans="1:4" x14ac:dyDescent="0.35">
      <c r="A262">
        <v>2025</v>
      </c>
      <c r="B262">
        <v>9</v>
      </c>
      <c r="C262">
        <v>258</v>
      </c>
      <c r="D262" t="s">
        <v>223</v>
      </c>
    </row>
    <row r="263" spans="1:4" x14ac:dyDescent="0.35">
      <c r="A263">
        <v>2025</v>
      </c>
      <c r="B263">
        <v>9</v>
      </c>
      <c r="C263">
        <v>259</v>
      </c>
      <c r="D263" t="s">
        <v>224</v>
      </c>
    </row>
    <row r="264" spans="1:4" x14ac:dyDescent="0.35">
      <c r="A264">
        <v>2025</v>
      </c>
      <c r="B264">
        <v>9</v>
      </c>
      <c r="C264">
        <v>260</v>
      </c>
      <c r="D264" t="s">
        <v>224</v>
      </c>
    </row>
    <row r="265" spans="1:4" x14ac:dyDescent="0.35">
      <c r="A265">
        <v>2025</v>
      </c>
      <c r="B265">
        <v>9</v>
      </c>
      <c r="C265">
        <v>261</v>
      </c>
      <c r="D265" t="s">
        <v>223</v>
      </c>
    </row>
    <row r="266" spans="1:4" x14ac:dyDescent="0.35">
      <c r="A266">
        <v>2025</v>
      </c>
      <c r="B266">
        <v>9</v>
      </c>
      <c r="C266">
        <v>262</v>
      </c>
      <c r="D266" t="s">
        <v>223</v>
      </c>
    </row>
    <row r="267" spans="1:4" x14ac:dyDescent="0.35">
      <c r="A267">
        <v>2025</v>
      </c>
      <c r="B267">
        <v>9</v>
      </c>
      <c r="C267">
        <v>263</v>
      </c>
      <c r="D267" t="s">
        <v>223</v>
      </c>
    </row>
    <row r="268" spans="1:4" x14ac:dyDescent="0.35">
      <c r="A268">
        <v>2025</v>
      </c>
      <c r="B268">
        <v>9</v>
      </c>
      <c r="C268">
        <v>264</v>
      </c>
      <c r="D268" t="s">
        <v>223</v>
      </c>
    </row>
    <row r="269" spans="1:4" x14ac:dyDescent="0.35">
      <c r="A269">
        <v>2025</v>
      </c>
      <c r="B269">
        <v>9</v>
      </c>
      <c r="C269">
        <v>265</v>
      </c>
      <c r="D269" t="s">
        <v>223</v>
      </c>
    </row>
    <row r="270" spans="1:4" x14ac:dyDescent="0.35">
      <c r="A270">
        <v>2025</v>
      </c>
      <c r="B270">
        <v>9</v>
      </c>
      <c r="C270">
        <v>266</v>
      </c>
      <c r="D270" t="s">
        <v>224</v>
      </c>
    </row>
    <row r="271" spans="1:4" x14ac:dyDescent="0.35">
      <c r="A271">
        <v>2025</v>
      </c>
      <c r="B271">
        <v>9</v>
      </c>
      <c r="C271">
        <v>267</v>
      </c>
      <c r="D271" t="s">
        <v>224</v>
      </c>
    </row>
    <row r="272" spans="1:4" x14ac:dyDescent="0.35">
      <c r="A272">
        <v>2025</v>
      </c>
      <c r="B272">
        <v>9</v>
      </c>
      <c r="C272">
        <v>268</v>
      </c>
      <c r="D272" t="s">
        <v>223</v>
      </c>
    </row>
    <row r="273" spans="1:4" x14ac:dyDescent="0.35">
      <c r="A273">
        <v>2025</v>
      </c>
      <c r="B273">
        <v>9</v>
      </c>
      <c r="C273">
        <v>269</v>
      </c>
      <c r="D273" t="s">
        <v>223</v>
      </c>
    </row>
    <row r="274" spans="1:4" x14ac:dyDescent="0.35">
      <c r="A274">
        <v>2025</v>
      </c>
      <c r="B274">
        <v>9</v>
      </c>
      <c r="C274">
        <v>270</v>
      </c>
      <c r="D274" t="s">
        <v>223</v>
      </c>
    </row>
    <row r="275" spans="1:4" x14ac:dyDescent="0.35">
      <c r="A275">
        <v>2025</v>
      </c>
      <c r="B275">
        <v>9</v>
      </c>
      <c r="C275">
        <v>271</v>
      </c>
      <c r="D275" t="s">
        <v>223</v>
      </c>
    </row>
    <row r="276" spans="1:4" x14ac:dyDescent="0.35">
      <c r="A276">
        <v>2025</v>
      </c>
      <c r="B276">
        <v>9</v>
      </c>
      <c r="C276">
        <v>272</v>
      </c>
      <c r="D276" t="s">
        <v>223</v>
      </c>
    </row>
    <row r="277" spans="1:4" x14ac:dyDescent="0.35">
      <c r="A277">
        <v>2025</v>
      </c>
      <c r="B277">
        <v>9</v>
      </c>
      <c r="C277">
        <v>273</v>
      </c>
      <c r="D277" t="s">
        <v>223</v>
      </c>
    </row>
    <row r="278" spans="1:4" x14ac:dyDescent="0.35">
      <c r="A278">
        <v>2025</v>
      </c>
      <c r="B278">
        <v>9</v>
      </c>
      <c r="C278">
        <v>274</v>
      </c>
      <c r="D278" t="s">
        <v>223</v>
      </c>
    </row>
    <row r="279" spans="1:4" x14ac:dyDescent="0.35">
      <c r="A279">
        <v>2025</v>
      </c>
      <c r="B279">
        <v>10</v>
      </c>
      <c r="C279">
        <v>275</v>
      </c>
      <c r="D279" t="s">
        <v>223</v>
      </c>
    </row>
    <row r="280" spans="1:4" x14ac:dyDescent="0.35">
      <c r="A280">
        <v>2025</v>
      </c>
      <c r="B280">
        <v>10</v>
      </c>
      <c r="C280">
        <v>276</v>
      </c>
      <c r="D280" t="s">
        <v>223</v>
      </c>
    </row>
    <row r="281" spans="1:4" x14ac:dyDescent="0.35">
      <c r="A281">
        <v>2025</v>
      </c>
      <c r="B281">
        <v>10</v>
      </c>
      <c r="C281">
        <v>277</v>
      </c>
      <c r="D281" t="s">
        <v>223</v>
      </c>
    </row>
    <row r="282" spans="1:4" x14ac:dyDescent="0.35">
      <c r="A282">
        <v>2025</v>
      </c>
      <c r="B282">
        <v>10</v>
      </c>
      <c r="C282">
        <v>278</v>
      </c>
      <c r="D282" t="s">
        <v>223</v>
      </c>
    </row>
    <row r="283" spans="1:4" x14ac:dyDescent="0.35">
      <c r="A283">
        <v>2025</v>
      </c>
      <c r="B283">
        <v>10</v>
      </c>
      <c r="C283">
        <v>279</v>
      </c>
      <c r="D283" t="s">
        <v>223</v>
      </c>
    </row>
    <row r="284" spans="1:4" x14ac:dyDescent="0.35">
      <c r="A284">
        <v>2025</v>
      </c>
      <c r="B284">
        <v>10</v>
      </c>
      <c r="C284">
        <v>280</v>
      </c>
      <c r="D284" t="s">
        <v>224</v>
      </c>
    </row>
    <row r="285" spans="1:4" x14ac:dyDescent="0.35">
      <c r="A285">
        <v>2025</v>
      </c>
      <c r="B285">
        <v>10</v>
      </c>
      <c r="C285">
        <v>281</v>
      </c>
      <c r="D285" t="s">
        <v>224</v>
      </c>
    </row>
    <row r="286" spans="1:4" x14ac:dyDescent="0.35">
      <c r="A286">
        <v>2025</v>
      </c>
      <c r="B286">
        <v>10</v>
      </c>
      <c r="C286">
        <v>282</v>
      </c>
      <c r="D286" t="s">
        <v>223</v>
      </c>
    </row>
    <row r="287" spans="1:4" x14ac:dyDescent="0.35">
      <c r="A287">
        <v>2025</v>
      </c>
      <c r="B287">
        <v>10</v>
      </c>
      <c r="C287">
        <v>283</v>
      </c>
      <c r="D287" t="s">
        <v>223</v>
      </c>
    </row>
    <row r="288" spans="1:4" x14ac:dyDescent="0.35">
      <c r="A288">
        <v>2025</v>
      </c>
      <c r="B288">
        <v>10</v>
      </c>
      <c r="C288">
        <v>284</v>
      </c>
      <c r="D288" t="s">
        <v>223</v>
      </c>
    </row>
    <row r="289" spans="1:4" x14ac:dyDescent="0.35">
      <c r="A289">
        <v>2025</v>
      </c>
      <c r="B289">
        <v>10</v>
      </c>
      <c r="C289">
        <v>285</v>
      </c>
      <c r="D289" t="s">
        <v>223</v>
      </c>
    </row>
    <row r="290" spans="1:4" x14ac:dyDescent="0.35">
      <c r="A290">
        <v>2025</v>
      </c>
      <c r="B290">
        <v>10</v>
      </c>
      <c r="C290">
        <v>286</v>
      </c>
      <c r="D290" t="s">
        <v>223</v>
      </c>
    </row>
    <row r="291" spans="1:4" x14ac:dyDescent="0.35">
      <c r="A291">
        <v>2025</v>
      </c>
      <c r="B291">
        <v>10</v>
      </c>
      <c r="C291">
        <v>287</v>
      </c>
      <c r="D291" t="s">
        <v>224</v>
      </c>
    </row>
    <row r="292" spans="1:4" x14ac:dyDescent="0.35">
      <c r="A292">
        <v>2025</v>
      </c>
      <c r="B292">
        <v>10</v>
      </c>
      <c r="C292">
        <v>288</v>
      </c>
      <c r="D292" t="s">
        <v>224</v>
      </c>
    </row>
    <row r="293" spans="1:4" x14ac:dyDescent="0.35">
      <c r="A293">
        <v>2025</v>
      </c>
      <c r="B293">
        <v>10</v>
      </c>
      <c r="C293">
        <v>289</v>
      </c>
      <c r="D293" t="s">
        <v>223</v>
      </c>
    </row>
    <row r="294" spans="1:4" x14ac:dyDescent="0.35">
      <c r="A294">
        <v>2025</v>
      </c>
      <c r="B294">
        <v>10</v>
      </c>
      <c r="C294">
        <v>290</v>
      </c>
      <c r="D294" t="s">
        <v>223</v>
      </c>
    </row>
    <row r="295" spans="1:4" x14ac:dyDescent="0.35">
      <c r="A295">
        <v>2025</v>
      </c>
      <c r="B295">
        <v>10</v>
      </c>
      <c r="C295">
        <v>291</v>
      </c>
      <c r="D295" t="s">
        <v>223</v>
      </c>
    </row>
    <row r="296" spans="1:4" x14ac:dyDescent="0.35">
      <c r="A296">
        <v>2025</v>
      </c>
      <c r="B296">
        <v>10</v>
      </c>
      <c r="C296">
        <v>292</v>
      </c>
      <c r="D296" t="s">
        <v>223</v>
      </c>
    </row>
    <row r="297" spans="1:4" x14ac:dyDescent="0.35">
      <c r="A297">
        <v>2025</v>
      </c>
      <c r="B297">
        <v>10</v>
      </c>
      <c r="C297">
        <v>293</v>
      </c>
      <c r="D297" t="s">
        <v>223</v>
      </c>
    </row>
    <row r="298" spans="1:4" x14ac:dyDescent="0.35">
      <c r="A298">
        <v>2025</v>
      </c>
      <c r="B298">
        <v>10</v>
      </c>
      <c r="C298">
        <v>294</v>
      </c>
      <c r="D298" t="s">
        <v>224</v>
      </c>
    </row>
    <row r="299" spans="1:4" x14ac:dyDescent="0.35">
      <c r="A299">
        <v>2025</v>
      </c>
      <c r="B299">
        <v>10</v>
      </c>
      <c r="C299">
        <v>295</v>
      </c>
      <c r="D299" t="s">
        <v>224</v>
      </c>
    </row>
    <row r="300" spans="1:4" x14ac:dyDescent="0.35">
      <c r="A300">
        <v>2025</v>
      </c>
      <c r="B300">
        <v>10</v>
      </c>
      <c r="C300">
        <v>296</v>
      </c>
      <c r="D300" t="s">
        <v>223</v>
      </c>
    </row>
    <row r="301" spans="1:4" x14ac:dyDescent="0.35">
      <c r="A301">
        <v>2025</v>
      </c>
      <c r="B301">
        <v>10</v>
      </c>
      <c r="C301">
        <v>297</v>
      </c>
      <c r="D301" t="s">
        <v>223</v>
      </c>
    </row>
    <row r="302" spans="1:4" x14ac:dyDescent="0.35">
      <c r="A302">
        <v>2025</v>
      </c>
      <c r="B302">
        <v>10</v>
      </c>
      <c r="C302">
        <v>298</v>
      </c>
      <c r="D302" t="s">
        <v>223</v>
      </c>
    </row>
    <row r="303" spans="1:4" x14ac:dyDescent="0.35">
      <c r="A303">
        <v>2025</v>
      </c>
      <c r="B303">
        <v>10</v>
      </c>
      <c r="C303">
        <v>299</v>
      </c>
      <c r="D303" t="s">
        <v>223</v>
      </c>
    </row>
    <row r="304" spans="1:4" x14ac:dyDescent="0.35">
      <c r="A304">
        <v>2025</v>
      </c>
      <c r="B304">
        <v>10</v>
      </c>
      <c r="C304">
        <v>300</v>
      </c>
      <c r="D304" t="s">
        <v>223</v>
      </c>
    </row>
    <row r="305" spans="1:4" x14ac:dyDescent="0.35">
      <c r="A305">
        <v>2025</v>
      </c>
      <c r="B305">
        <v>10</v>
      </c>
      <c r="C305">
        <v>301</v>
      </c>
      <c r="D305" t="s">
        <v>223</v>
      </c>
    </row>
    <row r="306" spans="1:4" x14ac:dyDescent="0.35">
      <c r="A306">
        <v>2025</v>
      </c>
      <c r="B306">
        <v>10</v>
      </c>
      <c r="C306">
        <v>302</v>
      </c>
      <c r="D306" t="s">
        <v>223</v>
      </c>
    </row>
    <row r="307" spans="1:4" x14ac:dyDescent="0.35">
      <c r="A307">
        <v>2025</v>
      </c>
      <c r="B307">
        <v>10</v>
      </c>
      <c r="C307">
        <v>303</v>
      </c>
      <c r="D307" t="s">
        <v>224</v>
      </c>
    </row>
    <row r="308" spans="1:4" x14ac:dyDescent="0.35">
      <c r="A308">
        <v>2025</v>
      </c>
      <c r="B308">
        <v>10</v>
      </c>
      <c r="C308">
        <v>304</v>
      </c>
      <c r="D308" t="s">
        <v>224</v>
      </c>
    </row>
    <row r="309" spans="1:4" x14ac:dyDescent="0.35">
      <c r="A309">
        <v>2025</v>
      </c>
      <c r="B309">
        <v>10</v>
      </c>
      <c r="C309">
        <v>305</v>
      </c>
      <c r="D309" t="s">
        <v>223</v>
      </c>
    </row>
    <row r="310" spans="1:4" x14ac:dyDescent="0.35">
      <c r="A310">
        <v>2025</v>
      </c>
      <c r="B310">
        <v>11</v>
      </c>
      <c r="C310">
        <v>306</v>
      </c>
      <c r="D310" t="s">
        <v>223</v>
      </c>
    </row>
    <row r="311" spans="1:4" x14ac:dyDescent="0.35">
      <c r="A311">
        <v>2025</v>
      </c>
      <c r="B311">
        <v>11</v>
      </c>
      <c r="C311">
        <v>307</v>
      </c>
      <c r="D311" t="s">
        <v>224</v>
      </c>
    </row>
    <row r="312" spans="1:4" x14ac:dyDescent="0.35">
      <c r="A312">
        <v>2025</v>
      </c>
      <c r="B312">
        <v>11</v>
      </c>
      <c r="C312">
        <v>308</v>
      </c>
      <c r="D312" t="s">
        <v>224</v>
      </c>
    </row>
    <row r="313" spans="1:4" x14ac:dyDescent="0.35">
      <c r="A313">
        <v>2025</v>
      </c>
      <c r="B313">
        <v>11</v>
      </c>
      <c r="C313">
        <v>309</v>
      </c>
      <c r="D313" t="s">
        <v>223</v>
      </c>
    </row>
    <row r="314" spans="1:4" x14ac:dyDescent="0.35">
      <c r="A314">
        <v>2025</v>
      </c>
      <c r="B314">
        <v>11</v>
      </c>
      <c r="C314">
        <v>310</v>
      </c>
      <c r="D314" t="s">
        <v>223</v>
      </c>
    </row>
    <row r="315" spans="1:4" x14ac:dyDescent="0.35">
      <c r="A315">
        <v>2025</v>
      </c>
      <c r="B315">
        <v>11</v>
      </c>
      <c r="C315">
        <v>311</v>
      </c>
      <c r="D315" t="s">
        <v>223</v>
      </c>
    </row>
    <row r="316" spans="1:4" x14ac:dyDescent="0.35">
      <c r="A316">
        <v>2025</v>
      </c>
      <c r="B316">
        <v>11</v>
      </c>
      <c r="C316">
        <v>312</v>
      </c>
      <c r="D316" t="s">
        <v>223</v>
      </c>
    </row>
    <row r="317" spans="1:4" x14ac:dyDescent="0.35">
      <c r="A317">
        <v>2025</v>
      </c>
      <c r="B317">
        <v>11</v>
      </c>
      <c r="C317">
        <v>313</v>
      </c>
      <c r="D317" t="s">
        <v>223</v>
      </c>
    </row>
    <row r="318" spans="1:4" x14ac:dyDescent="0.35">
      <c r="A318">
        <v>2025</v>
      </c>
      <c r="B318">
        <v>11</v>
      </c>
      <c r="C318">
        <v>314</v>
      </c>
      <c r="D318" t="s">
        <v>224</v>
      </c>
    </row>
    <row r="319" spans="1:4" x14ac:dyDescent="0.35">
      <c r="A319">
        <v>2025</v>
      </c>
      <c r="B319">
        <v>11</v>
      </c>
      <c r="C319">
        <v>315</v>
      </c>
      <c r="D319" t="s">
        <v>224</v>
      </c>
    </row>
    <row r="320" spans="1:4" x14ac:dyDescent="0.35">
      <c r="A320">
        <v>2025</v>
      </c>
      <c r="B320">
        <v>11</v>
      </c>
      <c r="C320">
        <v>316</v>
      </c>
      <c r="D320" t="s">
        <v>223</v>
      </c>
    </row>
    <row r="321" spans="1:4" x14ac:dyDescent="0.35">
      <c r="A321">
        <v>2025</v>
      </c>
      <c r="B321">
        <v>11</v>
      </c>
      <c r="C321">
        <v>317</v>
      </c>
      <c r="D321" t="s">
        <v>223</v>
      </c>
    </row>
    <row r="322" spans="1:4" x14ac:dyDescent="0.35">
      <c r="A322">
        <v>2025</v>
      </c>
      <c r="B322">
        <v>11</v>
      </c>
      <c r="C322">
        <v>318</v>
      </c>
      <c r="D322" t="s">
        <v>223</v>
      </c>
    </row>
    <row r="323" spans="1:4" x14ac:dyDescent="0.35">
      <c r="A323">
        <v>2025</v>
      </c>
      <c r="B323">
        <v>11</v>
      </c>
      <c r="C323">
        <v>319</v>
      </c>
      <c r="D323" t="s">
        <v>223</v>
      </c>
    </row>
    <row r="324" spans="1:4" x14ac:dyDescent="0.35">
      <c r="A324">
        <v>2025</v>
      </c>
      <c r="B324">
        <v>11</v>
      </c>
      <c r="C324">
        <v>320</v>
      </c>
      <c r="D324" t="s">
        <v>223</v>
      </c>
    </row>
    <row r="325" spans="1:4" x14ac:dyDescent="0.35">
      <c r="A325">
        <v>2025</v>
      </c>
      <c r="B325">
        <v>11</v>
      </c>
      <c r="C325">
        <v>321</v>
      </c>
      <c r="D325" t="s">
        <v>224</v>
      </c>
    </row>
    <row r="326" spans="1:4" x14ac:dyDescent="0.35">
      <c r="A326">
        <v>2025</v>
      </c>
      <c r="B326">
        <v>11</v>
      </c>
      <c r="C326">
        <v>322</v>
      </c>
      <c r="D326" t="s">
        <v>224</v>
      </c>
    </row>
    <row r="327" spans="1:4" x14ac:dyDescent="0.35">
      <c r="A327">
        <v>2025</v>
      </c>
      <c r="B327">
        <v>11</v>
      </c>
      <c r="C327">
        <v>323</v>
      </c>
      <c r="D327" t="s">
        <v>223</v>
      </c>
    </row>
    <row r="328" spans="1:4" x14ac:dyDescent="0.35">
      <c r="A328">
        <v>2025</v>
      </c>
      <c r="B328">
        <v>11</v>
      </c>
      <c r="C328">
        <v>324</v>
      </c>
      <c r="D328" t="s">
        <v>223</v>
      </c>
    </row>
    <row r="329" spans="1:4" x14ac:dyDescent="0.35">
      <c r="A329">
        <v>2025</v>
      </c>
      <c r="B329">
        <v>11</v>
      </c>
      <c r="C329">
        <v>325</v>
      </c>
      <c r="D329" t="s">
        <v>223</v>
      </c>
    </row>
    <row r="330" spans="1:4" x14ac:dyDescent="0.35">
      <c r="A330">
        <v>2025</v>
      </c>
      <c r="B330">
        <v>11</v>
      </c>
      <c r="C330">
        <v>326</v>
      </c>
      <c r="D330" t="s">
        <v>223</v>
      </c>
    </row>
    <row r="331" spans="1:4" x14ac:dyDescent="0.35">
      <c r="A331">
        <v>2025</v>
      </c>
      <c r="B331">
        <v>11</v>
      </c>
      <c r="C331">
        <v>327</v>
      </c>
      <c r="D331" t="s">
        <v>223</v>
      </c>
    </row>
    <row r="332" spans="1:4" x14ac:dyDescent="0.35">
      <c r="A332">
        <v>2025</v>
      </c>
      <c r="B332">
        <v>11</v>
      </c>
      <c r="C332">
        <v>328</v>
      </c>
      <c r="D332" t="s">
        <v>224</v>
      </c>
    </row>
    <row r="333" spans="1:4" x14ac:dyDescent="0.35">
      <c r="A333">
        <v>2025</v>
      </c>
      <c r="B333">
        <v>11</v>
      </c>
      <c r="C333">
        <v>329</v>
      </c>
      <c r="D333" t="s">
        <v>224</v>
      </c>
    </row>
    <row r="334" spans="1:4" x14ac:dyDescent="0.35">
      <c r="A334">
        <v>2025</v>
      </c>
      <c r="B334">
        <v>11</v>
      </c>
      <c r="C334">
        <v>330</v>
      </c>
      <c r="D334" t="s">
        <v>224</v>
      </c>
    </row>
    <row r="335" spans="1:4" x14ac:dyDescent="0.35">
      <c r="A335">
        <v>2025</v>
      </c>
      <c r="B335">
        <v>11</v>
      </c>
      <c r="C335">
        <v>331</v>
      </c>
      <c r="D335" t="s">
        <v>224</v>
      </c>
    </row>
    <row r="336" spans="1:4" x14ac:dyDescent="0.35">
      <c r="A336">
        <v>2025</v>
      </c>
      <c r="B336">
        <v>11</v>
      </c>
      <c r="C336">
        <v>332</v>
      </c>
      <c r="D336" t="s">
        <v>223</v>
      </c>
    </row>
    <row r="337" spans="1:4" x14ac:dyDescent="0.35">
      <c r="A337">
        <v>2025</v>
      </c>
      <c r="B337">
        <v>11</v>
      </c>
      <c r="C337">
        <v>333</v>
      </c>
      <c r="D337" t="s">
        <v>223</v>
      </c>
    </row>
    <row r="338" spans="1:4" x14ac:dyDescent="0.35">
      <c r="A338">
        <v>2025</v>
      </c>
      <c r="B338">
        <v>11</v>
      </c>
      <c r="C338">
        <v>334</v>
      </c>
      <c r="D338" t="s">
        <v>223</v>
      </c>
    </row>
    <row r="339" spans="1:4" x14ac:dyDescent="0.35">
      <c r="A339">
        <v>2025</v>
      </c>
      <c r="B339">
        <v>11</v>
      </c>
      <c r="C339">
        <v>335</v>
      </c>
      <c r="D339" t="s">
        <v>223</v>
      </c>
    </row>
    <row r="340" spans="1:4" x14ac:dyDescent="0.35">
      <c r="A340">
        <v>2025</v>
      </c>
      <c r="B340">
        <v>12</v>
      </c>
      <c r="C340">
        <v>336</v>
      </c>
      <c r="D340" t="s">
        <v>224</v>
      </c>
    </row>
    <row r="341" spans="1:4" x14ac:dyDescent="0.35">
      <c r="A341">
        <v>2025</v>
      </c>
      <c r="B341">
        <v>12</v>
      </c>
      <c r="C341">
        <v>337</v>
      </c>
      <c r="D341" t="s">
        <v>223</v>
      </c>
    </row>
    <row r="342" spans="1:4" x14ac:dyDescent="0.35">
      <c r="A342">
        <v>2025</v>
      </c>
      <c r="B342">
        <v>12</v>
      </c>
      <c r="C342">
        <v>338</v>
      </c>
      <c r="D342" t="s">
        <v>223</v>
      </c>
    </row>
    <row r="343" spans="1:4" x14ac:dyDescent="0.35">
      <c r="A343">
        <v>2025</v>
      </c>
      <c r="B343">
        <v>12</v>
      </c>
      <c r="C343">
        <v>339</v>
      </c>
      <c r="D343" t="s">
        <v>223</v>
      </c>
    </row>
    <row r="344" spans="1:4" x14ac:dyDescent="0.35">
      <c r="A344">
        <v>2025</v>
      </c>
      <c r="B344">
        <v>12</v>
      </c>
      <c r="C344">
        <v>340</v>
      </c>
      <c r="D344" t="s">
        <v>223</v>
      </c>
    </row>
    <row r="345" spans="1:4" x14ac:dyDescent="0.35">
      <c r="A345">
        <v>2025</v>
      </c>
      <c r="B345">
        <v>12</v>
      </c>
      <c r="C345">
        <v>341</v>
      </c>
      <c r="D345" t="s">
        <v>223</v>
      </c>
    </row>
    <row r="346" spans="1:4" x14ac:dyDescent="0.35">
      <c r="A346">
        <v>2025</v>
      </c>
      <c r="B346">
        <v>12</v>
      </c>
      <c r="C346">
        <v>342</v>
      </c>
      <c r="D346" t="s">
        <v>224</v>
      </c>
    </row>
    <row r="347" spans="1:4" x14ac:dyDescent="0.35">
      <c r="A347">
        <v>2025</v>
      </c>
      <c r="B347">
        <v>12</v>
      </c>
      <c r="C347">
        <v>343</v>
      </c>
      <c r="D347" t="s">
        <v>224</v>
      </c>
    </row>
    <row r="348" spans="1:4" x14ac:dyDescent="0.35">
      <c r="A348">
        <v>2025</v>
      </c>
      <c r="B348">
        <v>12</v>
      </c>
      <c r="C348">
        <v>344</v>
      </c>
      <c r="D348" t="s">
        <v>223</v>
      </c>
    </row>
    <row r="349" spans="1:4" x14ac:dyDescent="0.35">
      <c r="A349">
        <v>2025</v>
      </c>
      <c r="B349">
        <v>12</v>
      </c>
      <c r="C349">
        <v>345</v>
      </c>
      <c r="D349" t="s">
        <v>223</v>
      </c>
    </row>
    <row r="350" spans="1:4" x14ac:dyDescent="0.35">
      <c r="A350">
        <v>2025</v>
      </c>
      <c r="B350">
        <v>12</v>
      </c>
      <c r="C350">
        <v>346</v>
      </c>
      <c r="D350" t="s">
        <v>223</v>
      </c>
    </row>
    <row r="351" spans="1:4" x14ac:dyDescent="0.35">
      <c r="A351">
        <v>2025</v>
      </c>
      <c r="B351">
        <v>12</v>
      </c>
      <c r="C351">
        <v>347</v>
      </c>
      <c r="D351" t="s">
        <v>223</v>
      </c>
    </row>
    <row r="352" spans="1:4" x14ac:dyDescent="0.35">
      <c r="A352">
        <v>2025</v>
      </c>
      <c r="B352">
        <v>12</v>
      </c>
      <c r="C352">
        <v>348</v>
      </c>
      <c r="D352" t="s">
        <v>223</v>
      </c>
    </row>
    <row r="353" spans="1:4" x14ac:dyDescent="0.35">
      <c r="A353">
        <v>2025</v>
      </c>
      <c r="B353">
        <v>12</v>
      </c>
      <c r="C353">
        <v>349</v>
      </c>
      <c r="D353" t="s">
        <v>224</v>
      </c>
    </row>
    <row r="354" spans="1:4" x14ac:dyDescent="0.35">
      <c r="A354">
        <v>2025</v>
      </c>
      <c r="B354">
        <v>12</v>
      </c>
      <c r="C354">
        <v>350</v>
      </c>
      <c r="D354" t="s">
        <v>224</v>
      </c>
    </row>
    <row r="355" spans="1:4" x14ac:dyDescent="0.35">
      <c r="A355">
        <v>2025</v>
      </c>
      <c r="B355">
        <v>12</v>
      </c>
      <c r="C355">
        <v>351</v>
      </c>
      <c r="D355" t="s">
        <v>223</v>
      </c>
    </row>
    <row r="356" spans="1:4" x14ac:dyDescent="0.35">
      <c r="A356">
        <v>2025</v>
      </c>
      <c r="B356">
        <v>12</v>
      </c>
      <c r="C356">
        <v>352</v>
      </c>
      <c r="D356" t="s">
        <v>223</v>
      </c>
    </row>
    <row r="357" spans="1:4" x14ac:dyDescent="0.35">
      <c r="A357">
        <v>2025</v>
      </c>
      <c r="B357">
        <v>12</v>
      </c>
      <c r="C357">
        <v>353</v>
      </c>
      <c r="D357" t="s">
        <v>223</v>
      </c>
    </row>
    <row r="358" spans="1:4" x14ac:dyDescent="0.35">
      <c r="A358">
        <v>2025</v>
      </c>
      <c r="B358">
        <v>12</v>
      </c>
      <c r="C358">
        <v>354</v>
      </c>
      <c r="D358" t="s">
        <v>223</v>
      </c>
    </row>
    <row r="359" spans="1:4" x14ac:dyDescent="0.35">
      <c r="A359">
        <v>2025</v>
      </c>
      <c r="B359">
        <v>12</v>
      </c>
      <c r="C359">
        <v>355</v>
      </c>
      <c r="D359" t="s">
        <v>223</v>
      </c>
    </row>
    <row r="360" spans="1:4" x14ac:dyDescent="0.35">
      <c r="A360">
        <v>2025</v>
      </c>
      <c r="B360">
        <v>12</v>
      </c>
      <c r="C360">
        <v>356</v>
      </c>
      <c r="D360" t="s">
        <v>224</v>
      </c>
    </row>
    <row r="361" spans="1:4" x14ac:dyDescent="0.35">
      <c r="A361">
        <v>2025</v>
      </c>
      <c r="B361">
        <v>12</v>
      </c>
      <c r="C361">
        <v>357</v>
      </c>
      <c r="D361" t="s">
        <v>224</v>
      </c>
    </row>
    <row r="362" spans="1:4" x14ac:dyDescent="0.35">
      <c r="A362">
        <v>2025</v>
      </c>
      <c r="B362">
        <v>12</v>
      </c>
      <c r="C362">
        <v>358</v>
      </c>
      <c r="D362" t="s">
        <v>223</v>
      </c>
    </row>
    <row r="363" spans="1:4" x14ac:dyDescent="0.35">
      <c r="A363">
        <v>2025</v>
      </c>
      <c r="B363">
        <v>12</v>
      </c>
      <c r="C363">
        <v>359</v>
      </c>
      <c r="D363" t="s">
        <v>223</v>
      </c>
    </row>
    <row r="364" spans="1:4" x14ac:dyDescent="0.35">
      <c r="A364">
        <v>2025</v>
      </c>
      <c r="B364">
        <v>12</v>
      </c>
      <c r="C364">
        <v>360</v>
      </c>
      <c r="D364" t="s">
        <v>223</v>
      </c>
    </row>
    <row r="365" spans="1:4" x14ac:dyDescent="0.35">
      <c r="A365">
        <v>2025</v>
      </c>
      <c r="B365">
        <v>12</v>
      </c>
      <c r="C365">
        <v>361</v>
      </c>
      <c r="D365" t="s">
        <v>223</v>
      </c>
    </row>
    <row r="366" spans="1:4" x14ac:dyDescent="0.35">
      <c r="A366">
        <v>2025</v>
      </c>
      <c r="B366">
        <v>12</v>
      </c>
      <c r="C366">
        <v>362</v>
      </c>
      <c r="D366" t="s">
        <v>223</v>
      </c>
    </row>
    <row r="367" spans="1:4" x14ac:dyDescent="0.35">
      <c r="A367">
        <v>2025</v>
      </c>
      <c r="B367">
        <v>12</v>
      </c>
      <c r="C367">
        <v>363</v>
      </c>
      <c r="D367" t="s">
        <v>223</v>
      </c>
    </row>
    <row r="368" spans="1:4" x14ac:dyDescent="0.35">
      <c r="A368">
        <v>2025</v>
      </c>
      <c r="B368">
        <v>12</v>
      </c>
      <c r="C368">
        <v>364</v>
      </c>
      <c r="D368" t="s">
        <v>223</v>
      </c>
    </row>
  </sheetData>
  <mergeCells count="2">
    <mergeCell ref="A2:M2"/>
    <mergeCell ref="N2:S2"/>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03C18EB8DAB7840BDA4B7C087A71E86" ma:contentTypeVersion="11" ma:contentTypeDescription="Create a new document." ma:contentTypeScope="" ma:versionID="c385ee6626827eff31a893e8549e105a">
  <xsd:schema xmlns:xsd="http://www.w3.org/2001/XMLSchema" xmlns:xs="http://www.w3.org/2001/XMLSchema" xmlns:p="http://schemas.microsoft.com/office/2006/metadata/properties" xmlns:ns2="4724944d-d052-4dc6-ba96-b334b2cd88d4" xmlns:ns3="fba8dc25-c80a-45e7-8728-03162ad94bfc" targetNamespace="http://schemas.microsoft.com/office/2006/metadata/properties" ma:root="true" ma:fieldsID="efc1c5a003d74c25c5063cd6cc92a936" ns2:_="" ns3:_="">
    <xsd:import namespace="4724944d-d052-4dc6-ba96-b334b2cd88d4"/>
    <xsd:import namespace="fba8dc25-c80a-45e7-8728-03162ad94bf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24944d-d052-4dc6-ba96-b334b2cd88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6856f2ee-118d-42e8-91de-064c9a66b68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a8dc25-c80a-45e7-8728-03162ad94bfc"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fd3bf85-3e1c-43e9-a7cc-775ea9fee1d4}" ma:internalName="TaxCatchAll" ma:showField="CatchAllData" ma:web="fba8dc25-c80a-45e7-8728-03162ad94bf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724944d-d052-4dc6-ba96-b334b2cd88d4">
      <Terms xmlns="http://schemas.microsoft.com/office/infopath/2007/PartnerControls"/>
    </lcf76f155ced4ddcb4097134ff3c332f>
    <TaxCatchAll xmlns="fba8dc25-c80a-45e7-8728-03162ad94bfc" xsi:nil="true"/>
  </documentManagement>
</p:properties>
</file>

<file path=customXml/itemProps1.xml><?xml version="1.0" encoding="utf-8"?>
<ds:datastoreItem xmlns:ds="http://schemas.openxmlformats.org/officeDocument/2006/customXml" ds:itemID="{A3704A54-20BC-49F0-A447-0741F4E728F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724944d-d052-4dc6-ba96-b334b2cd88d4"/>
    <ds:schemaRef ds:uri="fba8dc25-c80a-45e7-8728-03162ad94b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4AC2FB7-05FC-4D60-92C4-8F9DEF07598D}">
  <ds:schemaRefs>
    <ds:schemaRef ds:uri="http://schemas.microsoft.com/sharepoint/v3/contenttype/forms"/>
  </ds:schemaRefs>
</ds:datastoreItem>
</file>

<file path=customXml/itemProps3.xml><?xml version="1.0" encoding="utf-8"?>
<ds:datastoreItem xmlns:ds="http://schemas.openxmlformats.org/officeDocument/2006/customXml" ds:itemID="{2B91EB3F-D0D6-414B-9D14-BD81A35011F7}">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4724944d-d052-4dc6-ba96-b334b2cd88d4"/>
    <ds:schemaRef ds:uri="fba8dc25-c80a-45e7-8728-03162ad94bfc"/>
    <ds:schemaRef ds:uri="http://schemas.microsoft.com/office/infopath/2007/PartnerControls"/>
    <ds:schemaRef ds:uri="http://www.w3.org/XML/1998/namespace"/>
    <ds:schemaRef ds:uri="http://purl.org/dc/dcmitype/"/>
  </ds:schemaRefs>
</ds:datastoreItem>
</file>

<file path=docMetadata/LabelInfo.xml><?xml version="1.0" encoding="utf-8"?>
<clbl:labelList xmlns:clbl="http://schemas.microsoft.com/office/2020/mipLabelMetadata">
  <clbl:label id="{cf90b97b-be46-4a00-9700-81ce4ff1b7f6}" enabled="0" method="" siteId="{cf90b97b-be46-4a00-9700-81ce4ff1b7f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Front Page</vt:lpstr>
      <vt:lpstr>Common Data</vt:lpstr>
      <vt:lpstr>Validations</vt:lpstr>
      <vt:lpstr>Dictionary</vt:lpstr>
      <vt:lpstr>Configuration Data</vt:lpstr>
      <vt:lpstr>Energy Generation (Electric)</vt:lpstr>
      <vt:lpstr>Generation Capacity (Electric)</vt:lpstr>
      <vt:lpstr>Transmission Capacity (Electric</vt:lpstr>
      <vt:lpstr>baseYear</vt:lpstr>
      <vt:lpstr>DefTable</vt:lpstr>
      <vt:lpstr>inflationRate</vt:lpstr>
      <vt:lpstr>periodTable</vt:lpstr>
      <vt:lpstr>progYear</vt:lpstr>
      <vt:lpstr>subsetNames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Nguyen, Fuong</dc:creator>
  <cp:keywords/>
  <dc:description/>
  <cp:lastModifiedBy>Kurup, Chithira R</cp:lastModifiedBy>
  <cp:revision/>
  <dcterms:created xsi:type="dcterms:W3CDTF">2025-06-03T22:17:23Z</dcterms:created>
  <dcterms:modified xsi:type="dcterms:W3CDTF">2025-09-11T08:46:30Z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0x010100303C18EB8DAB7840BDA4B7C087A71E86</vt:lpwstr>
  </property>
  <property fmtid="{D5CDD505-2E9C-101B-9397-08002B2CF9AE}" pid="3" name="MediaServiceImageTags">
    <vt:lpwstr/>
  </property>
</Properties>
</file>