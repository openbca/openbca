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codeName="ThisWorkbook"/>
  <mc:AlternateContent xmlns:mc="http://schemas.openxmlformats.org/markup-compatibility/2006">
    <mc:Choice Requires="x15">
      <x15ac:absPath xmlns:x15ac="http://schemas.microsoft.com/office/spreadsheetml/2010/11/ac" url="/Users/adam/Repos/openbca/ca_acc/raw_acc_files/"/>
    </mc:Choice>
  </mc:AlternateContent>
  <xr:revisionPtr revIDLastSave="0" documentId="13_ncr:1_{B3F1DC37-805B-0344-ABAE-1BADAC776106}" xr6:coauthVersionLast="47" xr6:coauthVersionMax="47" xr10:uidLastSave="{00000000-0000-0000-0000-000000000000}"/>
  <bookViews>
    <workbookView xWindow="60" yWindow="620" windowWidth="26980" windowHeight="13500" activeTab="1" xr2:uid="{83946E10-F42C-48AB-A445-1BAB4AC5B663}"/>
  </bookViews>
  <sheets>
    <sheet name="Cover" sheetId="11" r:id="rId1"/>
    <sheet name="User Dashboard" sheetId="3" r:id="rId2"/>
    <sheet name="Output" sheetId="8" r:id="rId3"/>
    <sheet name="Commodity" sheetId="6" r:id="rId4"/>
    <sheet name="Emissions" sheetId="5" r:id="rId5"/>
    <sheet name="T&amp;D" sheetId="2" r:id="rId6"/>
    <sheet name="Methane Leakage" sheetId="15" r:id="rId7"/>
    <sheet name="Other Inputs" sheetId="10" r:id="rId8"/>
    <sheet name="AGIC" sheetId="19" r:id="rId9"/>
    <sheet name="IEPR Gas Prices Nominal" sheetId="13" r:id="rId10"/>
    <sheet name="IEPR Gas Prices Real" sheetId="17" r:id="rId11"/>
    <sheet name="GDP Deflator" sheetId="20" r:id="rId12"/>
    <sheet name="References" sheetId="14" r:id="rId13"/>
    <sheet name="Lists" sheetId="4" r:id="rId14"/>
    <sheet name="Change Log" sheetId="16" r:id="rId15"/>
  </sheets>
  <externalReferences>
    <externalReference r:id="rId16"/>
    <externalReference r:id="rId17"/>
  </externalReferences>
  <definedNames>
    <definedName name="__123Graph_A" hidden="1">[1]Sheet1!#REF!</definedName>
    <definedName name="__123Graph_ADA" hidden="1">[1]Sheet1!#REF!</definedName>
    <definedName name="__123Graph_ADEPREC2" hidden="1">[1]Sheet1!#REF!</definedName>
    <definedName name="__123Graph_ATREND" hidden="1">[1]Sheet1!#REF!</definedName>
    <definedName name="__123Graph_B" hidden="1">[1]Sheet1!#REF!</definedName>
    <definedName name="__123Graph_BTREND" hidden="1">[1]Sheet1!#REF!</definedName>
    <definedName name="__123Graph_C" hidden="1">[1]Sheet1!#REF!</definedName>
    <definedName name="__123Graph_CTREND" hidden="1">[1]Sheet1!#REF!</definedName>
    <definedName name="__123Graph_X" hidden="1">[1]Sheet1!#REF!</definedName>
    <definedName name="__123Graph_XTREND" hidden="1">[1]Sheet1!#REF!</definedName>
    <definedName name="__FDS_HYPERLINK_TOGGLE_STATE__" hidden="1">"ON"</definedName>
    <definedName name="_1__123Graph_A_FABP_L.WK1_FAB" hidden="1">[1]Sheet1!#REF!</definedName>
    <definedName name="_2__123Graph_ADEPREC" hidden="1">[1]Sheet1!#REF!</definedName>
    <definedName name="_3__123Graph_B_FABP_L.WK1_FAB" hidden="1">[1]Sheet1!#REF!</definedName>
    <definedName name="_4__123Graph_C_FABP_L.WK1_FAB" hidden="1">[1]Sheet1!#REF!</definedName>
    <definedName name="_5__123Graph_X_FABP_L.WK1_FAB" hidden="1">[1]Sheet1!#REF!</definedName>
    <definedName name="_Fill" hidden="1">#REF!</definedName>
    <definedName name="_xlnm._FilterDatabase" localSheetId="9" hidden="1">'IEPR Gas Prices Nominal'!$A$5:$AO$93</definedName>
    <definedName name="_xlnm._FilterDatabase" localSheetId="10" hidden="1">'IEPR Gas Prices Real'!$A$5:$AO$93</definedName>
    <definedName name="_Key1" hidden="1">#REF!</definedName>
    <definedName name="_Key2" hidden="1">#REF!</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anscount" hidden="1">3</definedName>
    <definedName name="asd" hidden="1">[1]Sheet1!#REF!</definedName>
    <definedName name="asdf" hidden="1">[1]Sheet1!#REF!</definedName>
    <definedName name="BLPB1" hidden="1">'[2]One-Pager'!$A$5</definedName>
    <definedName name="BLPB2" hidden="1">'[2]One-Pager'!$B$5</definedName>
    <definedName name="BLPB3" hidden="1">'[2]One-Pager'!$A$6</definedName>
    <definedName name="BLPB4" hidden="1">'[2]One-Pager'!$A$2</definedName>
    <definedName name="BLPB5" hidden="1">'[2]One-Pager'!$Q$3</definedName>
    <definedName name="BLPB6" hidden="1">'[2]One-Pager'!$I$2</definedName>
    <definedName name="BLPB7" hidden="1">'[2]One-Pager'!$G$2</definedName>
    <definedName name="BLPB8" hidden="1">'[2]One-Pager'!$F$6</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P_0_1_aU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1_1_aS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Srv" hidden="1">#REF!</definedName>
    <definedName name="FDP_151_1_aUrv" hidden="1">#REF!</definedName>
    <definedName name="FDP_152_1_aSrv" hidden="1">#REF!</definedName>
    <definedName name="FDP_153_1_aUrv" hidden="1">#REF!</definedName>
    <definedName name="FDP_154_1_aSrv" hidden="1">#REF!</definedName>
    <definedName name="FDP_155_1_aUrv" hidden="1">#REF!</definedName>
    <definedName name="FDP_156_1_aSrv" hidden="1">#REF!</definedName>
    <definedName name="FDP_157_1_aUrv" hidden="1">#REF!</definedName>
    <definedName name="FDP_158_1_aSrv" hidden="1">#REF!</definedName>
    <definedName name="FDP_159_1_aUrv" hidden="1">#REF!</definedName>
    <definedName name="FDP_16_1_aUrv" hidden="1">#REF!</definedName>
    <definedName name="FDP_160_1_aSrv" hidden="1">#REF!</definedName>
    <definedName name="FDP_161_1_aDrv" hidden="1">#REF!</definedName>
    <definedName name="FDP_162_1_aDrv" hidden="1">#REF!</definedName>
    <definedName name="FDP_163_1_aDrv" hidden="1">#REF!</definedName>
    <definedName name="FDP_164_1_aDrv" hidden="1">#REF!</definedName>
    <definedName name="FDP_165_1_aD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4_1_aUrv" hidden="1">#REF!</definedName>
    <definedName name="FDP_175_1_aUrv" hidden="1">#REF!</definedName>
    <definedName name="FDP_176_1_aUrv" hidden="1">#REF!</definedName>
    <definedName name="FDP_177_1_aUrv" hidden="1">#REF!</definedName>
    <definedName name="FDP_178_1_aUrv" hidden="1">#REF!</definedName>
    <definedName name="FDP_179_1_aUrv" hidden="1">#REF!</definedName>
    <definedName name="FDP_18_1_aUrv" hidden="1">#REF!</definedName>
    <definedName name="FDP_180_1_aUdv" hidden="1">#REF!</definedName>
    <definedName name="FDP_181_1_aUdv" hidden="1">#REF!</definedName>
    <definedName name="FDP_182_1_aUdv" hidden="1">#REF!</definedName>
    <definedName name="FDP_183_1_aUd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U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6_1aUdv1" hidden="1">#REF!</definedName>
    <definedName name="FDP_197_1_aUdv" hidden="1">#REF!</definedName>
    <definedName name="FDP_198_1_aUdv" hidden="1">#REF!</definedName>
    <definedName name="FDP_199_1_aUdv" hidden="1">#REF!</definedName>
    <definedName name="FDP_2_1_aUrv" hidden="1">#REF!</definedName>
    <definedName name="FDP_20_1_aUrv" hidden="1">#REF!</definedName>
    <definedName name="FDP_21_1_aUrv" hidden="1">#REF!</definedName>
    <definedName name="FDP_22_1_aUrv" hidden="1">#REF!</definedName>
    <definedName name="FDP_23_1_aD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Drv" hidden="1">#REF!</definedName>
    <definedName name="FDP_3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S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Srv" hidden="1">#REF!</definedName>
    <definedName name="FDP_42_1_aSrv" hidden="1">#REF!</definedName>
    <definedName name="FDP_43_1_aUrv" hidden="1">#REF!</definedName>
    <definedName name="FDP_44_1_aUrv" hidden="1">#REF!</definedName>
    <definedName name="FDP_45_1_aUrv" hidden="1">#REF!</definedName>
    <definedName name="FDP_46_1_aUrv" hidden="1">#REF!</definedName>
    <definedName name="FDP_47_1_aUrv" hidden="1">#REF!</definedName>
    <definedName name="FDP_48_1_aSrv" hidden="1">#REF!</definedName>
    <definedName name="FDP_49_1_aUrv" hidden="1">#REF!</definedName>
    <definedName name="FDP_5_1_aU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Srv" hidden="1">#REF!</definedName>
    <definedName name="FDP_62_1_aSrv" hidden="1">#REF!</definedName>
    <definedName name="FDP_63_1_aUrv" hidden="1">#REF!</definedName>
    <definedName name="FDP_64_1_aSrv" hidden="1">#REF!</definedName>
    <definedName name="FDP_65_1_aS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Drv" hidden="1">#REF!</definedName>
    <definedName name="FDP_71_1_aUrv" hidden="1">#REF!</definedName>
    <definedName name="FDP_72_1_aDrv" hidden="1">#REF!</definedName>
    <definedName name="FDP_73_1_aUrv" hidden="1">#REF!</definedName>
    <definedName name="FDP_74_1_aUrv" hidden="1">#REF!</definedName>
    <definedName name="FDP_75_1_aSrv" hidden="1">#REF!</definedName>
    <definedName name="FDP_76_1_aUrv" hidden="1">#REF!</definedName>
    <definedName name="FDP_77_1_aUrv" hidden="1">#REF!</definedName>
    <definedName name="FDP_78_1_aUrv" hidden="1">#REF!</definedName>
    <definedName name="FDP_79_1_aUrv" hidden="1">#REF!</definedName>
    <definedName name="FDP_8_1_aDrv" hidden="1">#REF!</definedName>
    <definedName name="FDP_80_1_aUrv" hidden="1">#REF!</definedName>
    <definedName name="FDP_81_1_aSrv" hidden="1">#REF!</definedName>
    <definedName name="FDP_82_1_aUrv" hidden="1">#REF!</definedName>
    <definedName name="FDP_83_1_aSrv" hidden="1">#REF!</definedName>
    <definedName name="FDP_84_1_aUrv" hidden="1">#REF!</definedName>
    <definedName name="FDP_85_1_aUrv" hidden="1">#REF!</definedName>
    <definedName name="FDP_86_1_aUrv" hidden="1">#REF!</definedName>
    <definedName name="FDP_87_1_aSrv" hidden="1">#REF!</definedName>
    <definedName name="FDP_88_1_aUrv" hidden="1">#REF!</definedName>
    <definedName name="FDP_89_1_aSrv" hidden="1">#REF!</definedName>
    <definedName name="FDP_9_1_aDrv" hidden="1">#REF!</definedName>
    <definedName name="FDP_90_1_aUrv" hidden="1">#REF!</definedName>
    <definedName name="FDP_91_1_aUrv" hidden="1">#REF!</definedName>
    <definedName name="FDP_92_1_aSrv" hidden="1">#REF!</definedName>
    <definedName name="FDP_93_1_aD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HTML_CodePage" hidden="1">1252</definedName>
    <definedName name="HTML_Control" hidden="1">{"'Summary'!$A$1:$J$24"}</definedName>
    <definedName name="HTML_Description" hidden="1">""</definedName>
    <definedName name="HTML_Email" hidden="1">""</definedName>
    <definedName name="HTML_Header" hidden="1">""</definedName>
    <definedName name="HTML_LastUpdate" hidden="1">"10/13/1999"</definedName>
    <definedName name="HTML_LineAfter" hidden="1">FALSE</definedName>
    <definedName name="HTML_LineBefore" hidden="1">FALSE</definedName>
    <definedName name="HTML_Name" hidden="1">"Sharim Chaudhury"</definedName>
    <definedName name="HTML_OBDlg2" hidden="1">TRUE</definedName>
    <definedName name="HTML_OBDlg4" hidden="1">TRUE</definedName>
    <definedName name="HTML_OS" hidden="1">0</definedName>
    <definedName name="HTML_PathFile" hidden="1">"W:\19991013\default.htm"</definedName>
    <definedName name="HTML_Title" hidden="1">"Daily MTM  Report"</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"IQ_REVENUE_EST"</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39146.6970023148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limcount" hidden="1">3</definedName>
    <definedName name="sencount" hidden="1">1</definedName>
    <definedName name="solargraph" hidden="1">[1]Sheet1!#REF!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wrn.ALL." hidden="1">{#N/A,#N/A,FALSE,"ASSUMPTIONS";#N/A,#N/A,FALSE,"Valuation Summary";"page1",#N/A,FALSE,"PRESENTATION";"page2",#N/A,FALSE,"PRESENTATION";#N/A,#N/A,FALSE,"ORIGINAL_ROLLBACK"}</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llReport."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FY97SBP." hidden="1">{#N/A,#N/A,FALSE,"FY97";#N/A,#N/A,FALSE,"FY98";#N/A,#N/A,FALSE,"FY99";#N/A,#N/A,FALSE,"FY00";#N/A,#N/A,FALSE,"FY01"}</definedName>
    <definedName name="wrn.PRES_OUT." hidden="1">{"page1",#N/A,FALSE,"PRESENTATION";"page2",#N/A,FALSE,"PRESENTATION";#N/A,#N/A,FALSE,"Valuation Summary"}</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INT_CURRENT._.PAGE." hidden="1">{"CURRENT",#N/A,FALSE,"REGISTER"}</definedName>
    <definedName name="wrn.PRINT_HISTORY." hidden="1">{"HISTORY",#N/A,FALSE,"REGISTER"}</definedName>
    <definedName name="wrn.Print._.1_8." hidden="1">{"spreadsheet1-8","1",FALSE,"Scenarios 1-8";"spreadsheet1-8","2",FALSE,"Scenarios 1-8";"spreadsheet1-8","3",FALSE,"Scenarios 1-8";"spreadsheet1-8","4",FALSE,"Scenarios 1-8";"spreadsheet1-8","5",FALSE,"Scenarios 1-8";"spreadsheet1-8","6",FALSE,"Scenarios 1-8";"spreadsheet1-8","7",FALSE,"Scenarios 1-8";"spreadsheet1-8","8",FALSE,"Scenarios 1-8"}</definedName>
    <definedName name="wrn.Print._.9_16." hidden="1">{"Spreadsheet9-16","9",FALSE,"Scenarios 9-16";"Spreadsheet9-16","10",FALSE,"Scenarios 9-16";"Spreadsheet9-16","11",FALSE,"Scenarios 9-16";"Spreadsheet9-16","12",FALSE,"Scenarios 9-16";"Spreadsheet9-16","13",FALSE,"Scenarios 9-16";"Spreadsheet9-16","14",FALSE,"Scenarios 9-16";"Spreadsheet9-16","15",FALSE,"Scenarios 9-16";"Spreadsheet9-16","16",FALSE,"Scenarios 9-16"}</definedName>
    <definedName name="wrn.printall." hidden="1">{"page1",#N/A,FALSE,"DCM";"page2",#N/A,FALSE,"DCM";"page3",#N/A,FALSE,"DCM";"page4",#N/A,FALSE,"DCM";"page5",#N/A,FALSE,"DCM";"page6",#N/A,FALSE,"DCM";"page7",#N/A,FALSE,"DCM";"page8",#N/A,FALSE,"DCM"}</definedName>
    <definedName name="wrn.sum1." hidden="1">{"Summary","1",FALSE,"Summary"}</definedName>
    <definedName name="wrn.Summary." hidden="1">{"page1",#N/A,FALSE,"DCM";"page3",#N/A,FALSE,"DCM"}</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hidden="1">{#N/A,#N/A,FALSE,"Inputs And Assumptions";#N/A,#N/A,FALSE,"Revenue Allocation";#N/A,#N/A,FALSE,"RSP Surch Allocations";#N/A,#N/A,FALSE,"Generation Calculations";#N/A,#N/A,FALSE,"Test Year 2001 Sales and Revs."}</definedName>
    <definedName name="wrn1.fullreport" hidden="1">{#N/A,#N/A,TRUE,"Cover";#N/A,#N/A,TRUE,"SummPTB";#N/A,#N/A,TRUE,"Vaccover";#N/A,#N/A,TRUE,"VacPTB";#N/A,#N/A,TRUE,"VacSumm";#N/A,#N/A,TRUE,"Vacbrkpg";#N/A,#N/A,TRUE,"Opt105";#N/A,#N/A,TRUE,"Opt95";#N/A,#N/A,TRUE,"Opt85";#N/A,#N/A,TRUE,"Opt75";#N/A,#N/A,TRUE,"Opt55LT";#N/A,#N/A,TRUE,"WPVAccrual";#N/A,#N/A,TRUE,"Sikcover";#N/A,#N/A,TRUE,"SikPTB";#N/A,#N/A,TRUE,"SikSumm";#N/A,#N/A,TRUE,"SikPgB";#N/A,#N/A,TRUE,"BH";#N/A,#N/A,TRUE,"Res";#N/A,#N/A,TRUE,"WPSAccrual"}</definedName>
    <definedName name="wrn1.printall" hidden="1">{"page1",#N/A,FALSE,"DCM";"page2",#N/A,FALSE,"DCM";"page3",#N/A,FALSE,"DCM";"page4",#N/A,FALSE,"DCM";"page5",#N/A,FALSE,"DCM";"page6",#N/A,FALSE,"DCM";"page7",#N/A,FALSE,"DCM";"page8",#N/A,FALSE,"DCM"}</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 i="3" l="1"/>
  <c r="H107" i="3" s="1"/>
  <c r="F107" i="3"/>
  <c r="F53" i="3"/>
  <c r="F109" i="3"/>
  <c r="F135" i="3"/>
  <c r="F108" i="3"/>
  <c r="AL26" i="5"/>
  <c r="G50" i="3"/>
  <c r="G49" i="3"/>
  <c r="C105" i="3"/>
  <c r="D32" i="5"/>
  <c r="G105" i="3" l="1"/>
  <c r="D31" i="5"/>
  <c r="D18" i="10"/>
  <c r="E32" i="5"/>
  <c r="F32" i="5"/>
  <c r="G32" i="5"/>
  <c r="H32" i="5"/>
  <c r="I32" i="5"/>
  <c r="J32" i="5"/>
  <c r="K32" i="5"/>
  <c r="L32" i="5"/>
  <c r="M32" i="5"/>
  <c r="N32" i="5"/>
  <c r="O32" i="5"/>
  <c r="P32" i="5"/>
  <c r="Q32" i="5"/>
  <c r="R32" i="5"/>
  <c r="S32" i="5"/>
  <c r="T32" i="5"/>
  <c r="U32" i="5"/>
  <c r="V32" i="5"/>
  <c r="W32" i="5"/>
  <c r="X32" i="5"/>
  <c r="Y32" i="5"/>
  <c r="Z32" i="5"/>
  <c r="AA32" i="5"/>
  <c r="AB32" i="5"/>
  <c r="AC32" i="5"/>
  <c r="AD32" i="5"/>
  <c r="AE32" i="5"/>
  <c r="AF32" i="5"/>
  <c r="AG32" i="5"/>
  <c r="AH32" i="5"/>
  <c r="AI32" i="5"/>
  <c r="AJ32" i="5"/>
  <c r="AK32" i="5"/>
  <c r="AL32" i="5"/>
  <c r="D24" i="5" l="1"/>
  <c r="E49" i="3" l="1"/>
  <c r="P6" i="17"/>
  <c r="D33" i="5" l="1"/>
  <c r="D27" i="5"/>
  <c r="E25" i="5"/>
  <c r="H17" i="5"/>
  <c r="E48" i="3"/>
  <c r="AJ146" i="3"/>
  <c r="AI146" i="3"/>
  <c r="AH146" i="3"/>
  <c r="AG146" i="3"/>
  <c r="AF146" i="3"/>
  <c r="AE146" i="3"/>
  <c r="AD146" i="3"/>
  <c r="AC146" i="3"/>
  <c r="AB146" i="3"/>
  <c r="AA146" i="3"/>
  <c r="Z146" i="3"/>
  <c r="Y146" i="3"/>
  <c r="X146" i="3"/>
  <c r="W146" i="3"/>
  <c r="V146" i="3"/>
  <c r="U146" i="3"/>
  <c r="T146" i="3"/>
  <c r="S146" i="3"/>
  <c r="R146" i="3"/>
  <c r="Q146" i="3"/>
  <c r="P146" i="3"/>
  <c r="O146" i="3"/>
  <c r="N146" i="3"/>
  <c r="M146" i="3"/>
  <c r="L146" i="3"/>
  <c r="K146" i="3"/>
  <c r="J146" i="3"/>
  <c r="I146" i="3"/>
  <c r="H146" i="3"/>
  <c r="G146" i="3"/>
  <c r="F146" i="3"/>
  <c r="E146" i="3"/>
  <c r="AJ132" i="3"/>
  <c r="AI132" i="3"/>
  <c r="AH132" i="3"/>
  <c r="AG132" i="3"/>
  <c r="AF132" i="3"/>
  <c r="AE132" i="3"/>
  <c r="AD132" i="3"/>
  <c r="AC132" i="3"/>
  <c r="AB132" i="3"/>
  <c r="AA132" i="3"/>
  <c r="Z132" i="3"/>
  <c r="Y132" i="3"/>
  <c r="X132" i="3"/>
  <c r="W132" i="3"/>
  <c r="V132" i="3"/>
  <c r="U132" i="3"/>
  <c r="T132" i="3"/>
  <c r="S132" i="3"/>
  <c r="R132" i="3"/>
  <c r="Q132" i="3"/>
  <c r="P132" i="3"/>
  <c r="O132" i="3"/>
  <c r="N132" i="3"/>
  <c r="M132" i="3"/>
  <c r="L132" i="3"/>
  <c r="K132" i="3"/>
  <c r="J132" i="3"/>
  <c r="I132" i="3"/>
  <c r="H132" i="3"/>
  <c r="G132" i="3"/>
  <c r="F132" i="3"/>
  <c r="E132" i="3"/>
  <c r="AJ118" i="3"/>
  <c r="AI118" i="3"/>
  <c r="AH118" i="3"/>
  <c r="AG118" i="3"/>
  <c r="AF118" i="3"/>
  <c r="AE118" i="3"/>
  <c r="AD118" i="3"/>
  <c r="AC118" i="3"/>
  <c r="AB118" i="3"/>
  <c r="AA118" i="3"/>
  <c r="Z118" i="3"/>
  <c r="Y118" i="3"/>
  <c r="X118" i="3"/>
  <c r="W118" i="3"/>
  <c r="V118" i="3"/>
  <c r="U118" i="3"/>
  <c r="T118" i="3"/>
  <c r="S118" i="3"/>
  <c r="R118" i="3"/>
  <c r="Q118" i="3"/>
  <c r="P118" i="3"/>
  <c r="O118" i="3"/>
  <c r="N118" i="3"/>
  <c r="M118" i="3"/>
  <c r="L118" i="3"/>
  <c r="K118" i="3"/>
  <c r="J118" i="3"/>
  <c r="I118" i="3"/>
  <c r="H118" i="3"/>
  <c r="G118" i="3"/>
  <c r="F118" i="3"/>
  <c r="E118" i="3"/>
  <c r="AJ104" i="3"/>
  <c r="AI104" i="3"/>
  <c r="AH104" i="3"/>
  <c r="AG104" i="3"/>
  <c r="AF104" i="3"/>
  <c r="AE104" i="3"/>
  <c r="AD104" i="3"/>
  <c r="AC104" i="3"/>
  <c r="AB104" i="3"/>
  <c r="AA104" i="3"/>
  <c r="Z104" i="3"/>
  <c r="Y104" i="3"/>
  <c r="X104" i="3"/>
  <c r="W104" i="3"/>
  <c r="V104" i="3"/>
  <c r="U104" i="3"/>
  <c r="T104" i="3"/>
  <c r="S104" i="3"/>
  <c r="R104" i="3"/>
  <c r="Q104" i="3"/>
  <c r="P104" i="3"/>
  <c r="O104" i="3"/>
  <c r="N104" i="3"/>
  <c r="M104" i="3"/>
  <c r="L104" i="3"/>
  <c r="K104" i="3"/>
  <c r="J104" i="3"/>
  <c r="I104" i="3"/>
  <c r="H104" i="3"/>
  <c r="G104" i="3"/>
  <c r="F104" i="3"/>
  <c r="E104"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AJ76" i="3"/>
  <c r="AI76" i="3"/>
  <c r="AH76"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E76" i="3"/>
  <c r="F58" i="3"/>
  <c r="G58" i="3"/>
  <c r="H58" i="3"/>
  <c r="I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E58" i="3"/>
  <c r="H16" i="8" s="1"/>
  <c r="C12" i="8"/>
  <c r="C11" i="8"/>
  <c r="C6" i="8"/>
  <c r="C7" i="8"/>
  <c r="C8" i="8"/>
  <c r="C5" i="8"/>
  <c r="C45" i="2"/>
  <c r="Q7" i="17" l="1"/>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C5" i="15" l="1"/>
  <c r="C29" i="3"/>
  <c r="D28" i="5"/>
  <c r="C57" i="3" l="1"/>
  <c r="E23" i="5"/>
  <c r="F23" i="5" s="1"/>
  <c r="H22" i="5"/>
  <c r="I22" i="5" s="1"/>
  <c r="I28" i="5" l="1"/>
  <c r="I27" i="5"/>
  <c r="J22" i="5"/>
  <c r="K22" i="5" s="1"/>
  <c r="L22" i="5" s="1"/>
  <c r="M22" i="5" s="1"/>
  <c r="N22" i="5" s="1"/>
  <c r="E26" i="5"/>
  <c r="E24" i="5"/>
  <c r="G23" i="5"/>
  <c r="F24" i="5"/>
  <c r="J26" i="5" l="1"/>
  <c r="N28" i="5"/>
  <c r="N27" i="5"/>
  <c r="F26" i="5"/>
  <c r="E28" i="5"/>
  <c r="J25" i="5"/>
  <c r="F25" i="5"/>
  <c r="E27" i="5"/>
  <c r="O22" i="5"/>
  <c r="P22" i="5" s="1"/>
  <c r="Q22" i="5" s="1"/>
  <c r="R22" i="5" s="1"/>
  <c r="S22" i="5" s="1"/>
  <c r="H23" i="5"/>
  <c r="G24" i="5"/>
  <c r="S28" i="5" l="1"/>
  <c r="S27" i="5"/>
  <c r="G25" i="5"/>
  <c r="F27" i="5"/>
  <c r="K25" i="5"/>
  <c r="J27" i="5"/>
  <c r="K26" i="5"/>
  <c r="J28" i="5"/>
  <c r="G26" i="5"/>
  <c r="F28" i="5"/>
  <c r="O26" i="5"/>
  <c r="O25" i="5"/>
  <c r="T22" i="5"/>
  <c r="U22" i="5" s="1"/>
  <c r="V22" i="5" s="1"/>
  <c r="W22" i="5" s="1"/>
  <c r="X22" i="5" s="1"/>
  <c r="T26" i="5" s="1"/>
  <c r="I23" i="5"/>
  <c r="H24" i="5"/>
  <c r="Y22" i="5" l="1"/>
  <c r="Z22" i="5" s="1"/>
  <c r="AA22" i="5" s="1"/>
  <c r="AB22" i="5" s="1"/>
  <c r="AC22" i="5" s="1"/>
  <c r="AD26" i="5" s="1"/>
  <c r="X27" i="5"/>
  <c r="X28" i="5"/>
  <c r="P25" i="5"/>
  <c r="O27" i="5"/>
  <c r="L26" i="5"/>
  <c r="K28" i="5"/>
  <c r="P26" i="5"/>
  <c r="O28" i="5"/>
  <c r="L25" i="5"/>
  <c r="K27" i="5"/>
  <c r="H26" i="5"/>
  <c r="G28" i="5"/>
  <c r="U26" i="5"/>
  <c r="T28" i="5"/>
  <c r="H25" i="5"/>
  <c r="H27" i="5" s="1"/>
  <c r="G27" i="5"/>
  <c r="T25" i="5"/>
  <c r="J23" i="5"/>
  <c r="I24" i="5"/>
  <c r="Y25" i="5" l="1"/>
  <c r="AE26" i="5"/>
  <c r="Z25" i="5"/>
  <c r="Y27" i="5"/>
  <c r="V26" i="5"/>
  <c r="U28" i="5"/>
  <c r="AC27" i="5"/>
  <c r="AC28" i="5"/>
  <c r="AD22" i="5"/>
  <c r="AE22" i="5" s="1"/>
  <c r="AF22" i="5" s="1"/>
  <c r="U25" i="5"/>
  <c r="T27" i="5"/>
  <c r="Q26" i="5"/>
  <c r="P28" i="5"/>
  <c r="H28" i="5"/>
  <c r="M26" i="5"/>
  <c r="L28" i="5"/>
  <c r="Y26" i="5"/>
  <c r="M25" i="5"/>
  <c r="M27" i="5" s="1"/>
  <c r="L27" i="5"/>
  <c r="Q25" i="5"/>
  <c r="P27" i="5"/>
  <c r="AD25" i="5"/>
  <c r="K23" i="5"/>
  <c r="J24" i="5"/>
  <c r="AD28" i="5" l="1"/>
  <c r="Z26" i="5"/>
  <c r="Y28" i="5"/>
  <c r="R26" i="5"/>
  <c r="Q28" i="5"/>
  <c r="W26" i="5"/>
  <c r="V28" i="5"/>
  <c r="AE25" i="5"/>
  <c r="AD27" i="5"/>
  <c r="M28" i="5"/>
  <c r="V25" i="5"/>
  <c r="U27" i="5"/>
  <c r="AA25" i="5"/>
  <c r="Z27" i="5"/>
  <c r="R25" i="5"/>
  <c r="R27" i="5" s="1"/>
  <c r="Q27" i="5"/>
  <c r="AF26" i="5"/>
  <c r="AE28" i="5"/>
  <c r="L23" i="5"/>
  <c r="K24" i="5"/>
  <c r="AG26" i="5" l="1"/>
  <c r="AF28" i="5"/>
  <c r="R28" i="5"/>
  <c r="AF25" i="5"/>
  <c r="AE27" i="5"/>
  <c r="AB25" i="5"/>
  <c r="AB27" i="5" s="1"/>
  <c r="AA27" i="5"/>
  <c r="AA26" i="5"/>
  <c r="Z28" i="5"/>
  <c r="W28" i="5"/>
  <c r="W25" i="5"/>
  <c r="W27" i="5" s="1"/>
  <c r="V27" i="5"/>
  <c r="M23" i="5"/>
  <c r="L24" i="5"/>
  <c r="AH26" i="5" l="1"/>
  <c r="AG28" i="5"/>
  <c r="AB26" i="5"/>
  <c r="AA28" i="5"/>
  <c r="AG25" i="5"/>
  <c r="AF27" i="5"/>
  <c r="N23" i="5"/>
  <c r="M24" i="5"/>
  <c r="AI26" i="5" l="1"/>
  <c r="AH28" i="5"/>
  <c r="AH25" i="5"/>
  <c r="AG27" i="5"/>
  <c r="AB28" i="5"/>
  <c r="O23" i="5"/>
  <c r="N24" i="5"/>
  <c r="AI25" i="5" l="1"/>
  <c r="AH27" i="5"/>
  <c r="AJ26" i="5"/>
  <c r="AI28" i="5"/>
  <c r="P23" i="5"/>
  <c r="O24" i="5"/>
  <c r="AJ25" i="5" l="1"/>
  <c r="AI27" i="5"/>
  <c r="AK26" i="5"/>
  <c r="AJ28" i="5"/>
  <c r="Q23" i="5"/>
  <c r="P24" i="5"/>
  <c r="AK25" i="5" l="1"/>
  <c r="AJ27" i="5"/>
  <c r="AK28" i="5"/>
  <c r="R23" i="5"/>
  <c r="Q24" i="5"/>
  <c r="AL25" i="5" l="1"/>
  <c r="AL27" i="5" s="1"/>
  <c r="AK27" i="5"/>
  <c r="AL28" i="5"/>
  <c r="S23" i="5"/>
  <c r="R24" i="5"/>
  <c r="T23" i="5" l="1"/>
  <c r="S24" i="5"/>
  <c r="U23" i="5" l="1"/>
  <c r="T24" i="5"/>
  <c r="V23" i="5" l="1"/>
  <c r="U24" i="5"/>
  <c r="W23" i="5" l="1"/>
  <c r="V24" i="5"/>
  <c r="X23" i="5" l="1"/>
  <c r="W24" i="5"/>
  <c r="Y23" i="5" l="1"/>
  <c r="X24" i="5"/>
  <c r="Z23" i="5" l="1"/>
  <c r="Y24" i="5"/>
  <c r="AA23" i="5" l="1"/>
  <c r="Z24" i="5"/>
  <c r="AB23" i="5" l="1"/>
  <c r="AA24" i="5"/>
  <c r="AC23" i="5" l="1"/>
  <c r="AB24" i="5"/>
  <c r="AD23" i="5" l="1"/>
  <c r="AC24" i="5"/>
  <c r="AE23" i="5" l="1"/>
  <c r="AD24" i="5"/>
  <c r="AF23" i="5" l="1"/>
  <c r="AE24" i="5"/>
  <c r="AG23" i="5" l="1"/>
  <c r="AF24" i="5"/>
  <c r="AH23" i="5" l="1"/>
  <c r="AG24" i="5"/>
  <c r="AI23" i="5" l="1"/>
  <c r="AH24" i="5"/>
  <c r="AJ23" i="5" l="1"/>
  <c r="AI24" i="5"/>
  <c r="AK23" i="5" l="1"/>
  <c r="AJ24" i="5"/>
  <c r="AL23" i="5" l="1"/>
  <c r="AL24" i="5" s="1"/>
  <c r="AK24" i="5"/>
  <c r="E15" i="2" l="1"/>
  <c r="F15" i="2" s="1"/>
  <c r="T20" i="13" l="1"/>
  <c r="T5" i="13"/>
  <c r="T20" i="17"/>
  <c r="T5" i="17"/>
  <c r="C49" i="6"/>
  <c r="C35" i="6"/>
  <c r="C18" i="6"/>
  <c r="C4" i="6"/>
  <c r="AL20" i="5"/>
  <c r="AK20" i="5"/>
  <c r="AL17" i="5"/>
  <c r="AK17" i="5"/>
  <c r="C86" i="20"/>
  <c r="C87" i="20" s="1"/>
  <c r="C88" i="20" l="1"/>
  <c r="C89" i="20" l="1"/>
  <c r="E4" i="2" l="1"/>
  <c r="F4" i="2" s="1"/>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C401" i="13" l="1"/>
  <c r="B401" i="13"/>
  <c r="C400" i="13"/>
  <c r="B400" i="13"/>
  <c r="C399" i="13"/>
  <c r="B399" i="13"/>
  <c r="C398" i="13"/>
  <c r="B398" i="13"/>
  <c r="C397" i="13"/>
  <c r="B397" i="13"/>
  <c r="C396" i="13"/>
  <c r="B396" i="13"/>
  <c r="C395" i="13"/>
  <c r="B395" i="13"/>
  <c r="C394" i="13"/>
  <c r="B394" i="13"/>
  <c r="C393" i="13"/>
  <c r="B393" i="13"/>
  <c r="C392" i="13"/>
  <c r="B392" i="13"/>
  <c r="C391" i="13"/>
  <c r="B391" i="13"/>
  <c r="C390" i="13"/>
  <c r="B390" i="13"/>
  <c r="C389" i="13"/>
  <c r="B389" i="13"/>
  <c r="C388" i="13"/>
  <c r="B388" i="13"/>
  <c r="C387" i="13"/>
  <c r="B387" i="13"/>
  <c r="C386" i="13"/>
  <c r="B386" i="13"/>
  <c r="N386" i="13" s="1"/>
  <c r="C385" i="13"/>
  <c r="B385" i="13"/>
  <c r="C384" i="13"/>
  <c r="B384" i="13"/>
  <c r="I384" i="13" s="1"/>
  <c r="C383" i="13"/>
  <c r="B383" i="13"/>
  <c r="N383" i="13" s="1"/>
  <c r="C382" i="13"/>
  <c r="B382" i="13"/>
  <c r="C381" i="13"/>
  <c r="B381" i="13"/>
  <c r="I381" i="13" s="1"/>
  <c r="C380" i="13"/>
  <c r="B380" i="13"/>
  <c r="C379" i="13"/>
  <c r="B379" i="13"/>
  <c r="C378" i="13"/>
  <c r="B378" i="13"/>
  <c r="G378" i="13" s="1"/>
  <c r="C377" i="13"/>
  <c r="B377" i="13"/>
  <c r="C376" i="13"/>
  <c r="B376" i="13"/>
  <c r="C375" i="13"/>
  <c r="B375" i="13"/>
  <c r="C374" i="13"/>
  <c r="B374" i="13"/>
  <c r="H374" i="13" s="1"/>
  <c r="C373" i="13"/>
  <c r="B373" i="13"/>
  <c r="C372" i="13"/>
  <c r="B372" i="13"/>
  <c r="M372" i="13" s="1"/>
  <c r="C371" i="13"/>
  <c r="B371" i="13"/>
  <c r="C370" i="13"/>
  <c r="B370" i="13"/>
  <c r="L370" i="13" s="1"/>
  <c r="C369" i="13"/>
  <c r="B369" i="13"/>
  <c r="N369" i="13" s="1"/>
  <c r="C368" i="13"/>
  <c r="B368" i="13"/>
  <c r="C367" i="13"/>
  <c r="B367" i="13"/>
  <c r="G367" i="13" s="1"/>
  <c r="C366" i="13"/>
  <c r="B366" i="13"/>
  <c r="C365" i="13"/>
  <c r="B365" i="13"/>
  <c r="C364" i="13"/>
  <c r="B364" i="13"/>
  <c r="C363" i="13"/>
  <c r="B363" i="13"/>
  <c r="C362" i="13"/>
  <c r="B362" i="13"/>
  <c r="C361" i="13"/>
  <c r="B361" i="13"/>
  <c r="C360" i="13"/>
  <c r="B360" i="13"/>
  <c r="C359" i="13"/>
  <c r="B359" i="13"/>
  <c r="C358" i="13"/>
  <c r="B358" i="13"/>
  <c r="C357" i="13"/>
  <c r="B357" i="13"/>
  <c r="C356" i="13"/>
  <c r="B356" i="13"/>
  <c r="C355" i="13"/>
  <c r="B355" i="13"/>
  <c r="C354" i="13"/>
  <c r="B354" i="13"/>
  <c r="C353" i="13"/>
  <c r="B353" i="13"/>
  <c r="C352" i="13"/>
  <c r="B352" i="13"/>
  <c r="C351" i="13"/>
  <c r="B351" i="13"/>
  <c r="C350" i="13"/>
  <c r="B350" i="13"/>
  <c r="C349" i="13"/>
  <c r="B349" i="13"/>
  <c r="C348" i="13"/>
  <c r="B348" i="13"/>
  <c r="C347" i="13"/>
  <c r="B347" i="13"/>
  <c r="C346" i="13"/>
  <c r="B346" i="13"/>
  <c r="C345" i="13"/>
  <c r="B345" i="13"/>
  <c r="C344" i="13"/>
  <c r="B344" i="13"/>
  <c r="C343" i="13"/>
  <c r="B343" i="13"/>
  <c r="C342" i="13"/>
  <c r="B342" i="13"/>
  <c r="C341" i="13"/>
  <c r="B341" i="13"/>
  <c r="C340" i="13"/>
  <c r="B340" i="13"/>
  <c r="C339" i="13"/>
  <c r="B339" i="13"/>
  <c r="C338" i="13"/>
  <c r="B338" i="13"/>
  <c r="C337" i="13"/>
  <c r="B337" i="13"/>
  <c r="C336" i="13"/>
  <c r="B336" i="13"/>
  <c r="C335" i="13"/>
  <c r="B335" i="13"/>
  <c r="C334" i="13"/>
  <c r="B334" i="13"/>
  <c r="C333" i="13"/>
  <c r="B333" i="13"/>
  <c r="C332" i="13"/>
  <c r="B332" i="13"/>
  <c r="C331" i="13"/>
  <c r="B331" i="13"/>
  <c r="C330" i="13"/>
  <c r="B330" i="13"/>
  <c r="C329" i="13"/>
  <c r="B329" i="13"/>
  <c r="C328" i="13"/>
  <c r="B328" i="13"/>
  <c r="C327" i="13"/>
  <c r="B327" i="13"/>
  <c r="C326" i="13"/>
  <c r="B326" i="13"/>
  <c r="C325" i="13"/>
  <c r="B325" i="13"/>
  <c r="C324" i="13"/>
  <c r="B324" i="13"/>
  <c r="C323" i="13"/>
  <c r="B323" i="13"/>
  <c r="C322" i="13"/>
  <c r="B322" i="13"/>
  <c r="C321" i="13"/>
  <c r="B321" i="13"/>
  <c r="C320" i="13"/>
  <c r="B320" i="13"/>
  <c r="C319" i="13"/>
  <c r="B319" i="13"/>
  <c r="C318" i="13"/>
  <c r="B318" i="13"/>
  <c r="C317" i="13"/>
  <c r="B317" i="13"/>
  <c r="C316" i="13"/>
  <c r="B316" i="13"/>
  <c r="C315" i="13"/>
  <c r="B315" i="13"/>
  <c r="C314" i="13"/>
  <c r="B314" i="13"/>
  <c r="C313" i="13"/>
  <c r="B313" i="13"/>
  <c r="C312" i="13"/>
  <c r="B312" i="13"/>
  <c r="C311" i="13"/>
  <c r="B311" i="13"/>
  <c r="C310" i="13"/>
  <c r="B310" i="13"/>
  <c r="C309" i="13"/>
  <c r="B309" i="13"/>
  <c r="C308" i="13"/>
  <c r="B308" i="13"/>
  <c r="C307" i="13"/>
  <c r="B307" i="13"/>
  <c r="C306" i="13"/>
  <c r="B306" i="13"/>
  <c r="C305" i="13"/>
  <c r="B305" i="13"/>
  <c r="C304" i="13"/>
  <c r="B304" i="13"/>
  <c r="C303" i="13"/>
  <c r="B303" i="13"/>
  <c r="C302" i="13"/>
  <c r="B302" i="13"/>
  <c r="C301" i="13"/>
  <c r="B301" i="13"/>
  <c r="C300" i="13"/>
  <c r="B300" i="13"/>
  <c r="C299" i="13"/>
  <c r="B299" i="13"/>
  <c r="C298" i="13"/>
  <c r="B298" i="13"/>
  <c r="C297" i="13"/>
  <c r="B297" i="13"/>
  <c r="C296" i="13"/>
  <c r="B296" i="13"/>
  <c r="C295" i="13"/>
  <c r="B295" i="13"/>
  <c r="C294" i="13"/>
  <c r="B294" i="13"/>
  <c r="C293" i="13"/>
  <c r="B293" i="13"/>
  <c r="C292" i="13"/>
  <c r="B292" i="13"/>
  <c r="C291" i="13"/>
  <c r="B291" i="13"/>
  <c r="C290" i="13"/>
  <c r="B290" i="13"/>
  <c r="C289" i="13"/>
  <c r="B289" i="13"/>
  <c r="C288" i="13"/>
  <c r="B288" i="13"/>
  <c r="C287" i="13"/>
  <c r="B287" i="13"/>
  <c r="C286" i="13"/>
  <c r="B286" i="13"/>
  <c r="C285" i="13"/>
  <c r="B285" i="13"/>
  <c r="C284" i="13"/>
  <c r="B284" i="13"/>
  <c r="C283" i="13"/>
  <c r="B283" i="13"/>
  <c r="C282" i="13"/>
  <c r="B282" i="13"/>
  <c r="C281" i="13"/>
  <c r="B281" i="13"/>
  <c r="C280" i="13"/>
  <c r="B280" i="13"/>
  <c r="C279" i="13"/>
  <c r="B279" i="13"/>
  <c r="C278" i="13"/>
  <c r="B278" i="13"/>
  <c r="C277" i="13"/>
  <c r="B277" i="13"/>
  <c r="C276" i="13"/>
  <c r="B276" i="13"/>
  <c r="C275" i="13"/>
  <c r="B275" i="13"/>
  <c r="C274" i="13"/>
  <c r="B274" i="13"/>
  <c r="C273" i="13"/>
  <c r="B273" i="13"/>
  <c r="C272" i="13"/>
  <c r="B272" i="13"/>
  <c r="C271" i="13"/>
  <c r="B271" i="13"/>
  <c r="C270" i="13"/>
  <c r="B270" i="13"/>
  <c r="C269" i="13"/>
  <c r="B269" i="13"/>
  <c r="C268" i="13"/>
  <c r="B268" i="13"/>
  <c r="C267" i="13"/>
  <c r="B267" i="13"/>
  <c r="C266" i="13"/>
  <c r="B266" i="13"/>
  <c r="C265" i="13"/>
  <c r="B265" i="13"/>
  <c r="C264" i="13"/>
  <c r="B264" i="13"/>
  <c r="C263" i="13"/>
  <c r="B263" i="13"/>
  <c r="C262" i="13"/>
  <c r="B262" i="13"/>
  <c r="C261" i="13"/>
  <c r="B261" i="13"/>
  <c r="C260" i="13"/>
  <c r="B260" i="13"/>
  <c r="C259" i="13"/>
  <c r="B259" i="13"/>
  <c r="C258" i="13"/>
  <c r="B258" i="13"/>
  <c r="C257" i="13"/>
  <c r="B257" i="13"/>
  <c r="C256" i="13"/>
  <c r="B256" i="13"/>
  <c r="C255" i="13"/>
  <c r="B255" i="13"/>
  <c r="C254" i="13"/>
  <c r="B254" i="13"/>
  <c r="C253" i="13"/>
  <c r="B253" i="13"/>
  <c r="C252" i="13"/>
  <c r="B252" i="13"/>
  <c r="C251" i="13"/>
  <c r="B251" i="13"/>
  <c r="C250" i="13"/>
  <c r="B250" i="13"/>
  <c r="C249" i="13"/>
  <c r="B249" i="13"/>
  <c r="C248" i="13"/>
  <c r="B248" i="13"/>
  <c r="C247" i="13"/>
  <c r="B247" i="13"/>
  <c r="C246" i="13"/>
  <c r="B246" i="13"/>
  <c r="C245" i="13"/>
  <c r="B245" i="13"/>
  <c r="C244" i="13"/>
  <c r="B244" i="13"/>
  <c r="C243" i="13"/>
  <c r="B243" i="13"/>
  <c r="N243" i="13" s="1"/>
  <c r="C242" i="13"/>
  <c r="B242" i="13"/>
  <c r="C241" i="13"/>
  <c r="B241" i="13"/>
  <c r="C240" i="13"/>
  <c r="B240" i="13"/>
  <c r="C239" i="13"/>
  <c r="B239" i="13"/>
  <c r="C238" i="13"/>
  <c r="B238" i="13"/>
  <c r="C237" i="13"/>
  <c r="B237" i="13"/>
  <c r="F237" i="13" s="1"/>
  <c r="C236" i="13"/>
  <c r="B236" i="13"/>
  <c r="C235" i="13"/>
  <c r="B235" i="13"/>
  <c r="C234" i="13"/>
  <c r="B234" i="13"/>
  <c r="N234" i="13" s="1"/>
  <c r="C233" i="13"/>
  <c r="B233" i="13"/>
  <c r="C232" i="13"/>
  <c r="B232" i="13"/>
  <c r="C231" i="13"/>
  <c r="B231" i="13"/>
  <c r="L231" i="13" s="1"/>
  <c r="C230" i="13"/>
  <c r="B230" i="13"/>
  <c r="C229" i="13"/>
  <c r="B229" i="13"/>
  <c r="C228" i="13"/>
  <c r="B228" i="13"/>
  <c r="C227" i="13"/>
  <c r="B227" i="13"/>
  <c r="C226" i="13"/>
  <c r="B226" i="13"/>
  <c r="C225" i="13"/>
  <c r="B225" i="13"/>
  <c r="H225" i="13" s="1"/>
  <c r="C224" i="13"/>
  <c r="B224" i="13"/>
  <c r="C223" i="13"/>
  <c r="B223" i="13"/>
  <c r="C222" i="13"/>
  <c r="B222" i="13"/>
  <c r="C221" i="13"/>
  <c r="B221" i="13"/>
  <c r="C220" i="13"/>
  <c r="B220" i="13"/>
  <c r="C219" i="13"/>
  <c r="B219" i="13"/>
  <c r="C218" i="13"/>
  <c r="B218" i="13"/>
  <c r="C217" i="13"/>
  <c r="B217" i="13"/>
  <c r="C216" i="13"/>
  <c r="B216" i="13"/>
  <c r="N216" i="13" s="1"/>
  <c r="C215" i="13"/>
  <c r="B215" i="13"/>
  <c r="C214" i="13"/>
  <c r="B214" i="13"/>
  <c r="C213" i="13"/>
  <c r="B213" i="13"/>
  <c r="C212" i="13"/>
  <c r="B212" i="13"/>
  <c r="C211" i="13"/>
  <c r="B211" i="13"/>
  <c r="C210" i="13"/>
  <c r="B210" i="13"/>
  <c r="I210" i="13" s="1"/>
  <c r="C209" i="13"/>
  <c r="B209" i="13"/>
  <c r="C208" i="13"/>
  <c r="B208" i="13"/>
  <c r="C207" i="13"/>
  <c r="B207" i="13"/>
  <c r="N207" i="13" s="1"/>
  <c r="C206" i="13"/>
  <c r="B206" i="13"/>
  <c r="C205" i="13"/>
  <c r="B205" i="13"/>
  <c r="C204" i="13"/>
  <c r="B204" i="13"/>
  <c r="C203" i="13"/>
  <c r="B203" i="13"/>
  <c r="C202" i="13"/>
  <c r="B202" i="13"/>
  <c r="C201" i="13"/>
  <c r="B201" i="13"/>
  <c r="C200" i="13"/>
  <c r="B200" i="13"/>
  <c r="C199" i="13"/>
  <c r="B199" i="13"/>
  <c r="C198" i="13"/>
  <c r="B198" i="13"/>
  <c r="J198" i="13" s="1"/>
  <c r="C197" i="13"/>
  <c r="B197" i="13"/>
  <c r="C196" i="13"/>
  <c r="B196" i="13"/>
  <c r="C195" i="13"/>
  <c r="B195" i="13"/>
  <c r="C194" i="13"/>
  <c r="B194" i="13"/>
  <c r="C193" i="13"/>
  <c r="B193" i="13"/>
  <c r="C192" i="13"/>
  <c r="B192" i="13"/>
  <c r="C191" i="13"/>
  <c r="B191" i="13"/>
  <c r="C190" i="13"/>
  <c r="B190" i="13"/>
  <c r="C189" i="13"/>
  <c r="B189" i="13"/>
  <c r="N189" i="13" s="1"/>
  <c r="C188" i="13"/>
  <c r="B188" i="13"/>
  <c r="C187" i="13"/>
  <c r="B187" i="13"/>
  <c r="C186" i="13"/>
  <c r="B186" i="13"/>
  <c r="C185" i="13"/>
  <c r="B185" i="13"/>
  <c r="C184" i="13"/>
  <c r="B184" i="13"/>
  <c r="C183" i="13"/>
  <c r="B183" i="13"/>
  <c r="G183" i="13" s="1"/>
  <c r="C182" i="13"/>
  <c r="B182" i="13"/>
  <c r="C181" i="13"/>
  <c r="B181" i="13"/>
  <c r="C180" i="13"/>
  <c r="B180" i="13"/>
  <c r="N180" i="13" s="1"/>
  <c r="C179" i="13"/>
  <c r="B179" i="13"/>
  <c r="C178" i="13"/>
  <c r="B178" i="13"/>
  <c r="C177" i="13"/>
  <c r="B177" i="13"/>
  <c r="C176" i="13"/>
  <c r="B176" i="13"/>
  <c r="C175" i="13"/>
  <c r="B175" i="13"/>
  <c r="C174" i="13"/>
  <c r="B174" i="13"/>
  <c r="K174" i="13" s="1"/>
  <c r="C173" i="13"/>
  <c r="B173" i="13"/>
  <c r="C172" i="13"/>
  <c r="B172" i="13"/>
  <c r="C171" i="13"/>
  <c r="B171" i="13"/>
  <c r="L171" i="13" s="1"/>
  <c r="C170" i="13"/>
  <c r="B170" i="13"/>
  <c r="C169" i="13"/>
  <c r="B169" i="13"/>
  <c r="C168" i="13"/>
  <c r="B168" i="13"/>
  <c r="C167" i="13"/>
  <c r="B167" i="13"/>
  <c r="C166" i="13"/>
  <c r="B166" i="13"/>
  <c r="C165" i="13"/>
  <c r="B165" i="13"/>
  <c r="C164" i="13"/>
  <c r="B164" i="13"/>
  <c r="C163" i="13"/>
  <c r="B163" i="13"/>
  <c r="C162" i="13"/>
  <c r="B162" i="13"/>
  <c r="N162" i="13" s="1"/>
  <c r="C161" i="13"/>
  <c r="B161" i="13"/>
  <c r="C160" i="13"/>
  <c r="B160" i="13"/>
  <c r="C159" i="13"/>
  <c r="B159" i="13"/>
  <c r="C158" i="13"/>
  <c r="B158" i="13"/>
  <c r="C157" i="13"/>
  <c r="B157" i="13"/>
  <c r="C156" i="13"/>
  <c r="B156" i="13"/>
  <c r="J156" i="13" s="1"/>
  <c r="C155" i="13"/>
  <c r="B155" i="13"/>
  <c r="C154" i="13"/>
  <c r="B154" i="13"/>
  <c r="C153" i="13"/>
  <c r="B153" i="13"/>
  <c r="M153" i="13" s="1"/>
  <c r="C152" i="13"/>
  <c r="B152" i="13"/>
  <c r="C151" i="13"/>
  <c r="B151" i="13"/>
  <c r="C150" i="13"/>
  <c r="B150" i="13"/>
  <c r="I150" i="13" s="1"/>
  <c r="C149" i="13"/>
  <c r="B149" i="13"/>
  <c r="C148" i="13"/>
  <c r="B148" i="13"/>
  <c r="C147" i="13"/>
  <c r="B147" i="13"/>
  <c r="L147" i="13" s="1"/>
  <c r="C146" i="13"/>
  <c r="B146" i="13"/>
  <c r="C145" i="13"/>
  <c r="B145" i="13"/>
  <c r="C144" i="13"/>
  <c r="B144" i="13"/>
  <c r="N144" i="13" s="1"/>
  <c r="C143" i="13"/>
  <c r="B143" i="13"/>
  <c r="C142" i="13"/>
  <c r="B142" i="13"/>
  <c r="C141" i="13"/>
  <c r="B141" i="13"/>
  <c r="C140" i="13"/>
  <c r="B140" i="13"/>
  <c r="C139" i="13"/>
  <c r="B139" i="13"/>
  <c r="C138" i="13"/>
  <c r="B138" i="13"/>
  <c r="C137" i="13"/>
  <c r="B137" i="13"/>
  <c r="C136" i="13"/>
  <c r="B136" i="13"/>
  <c r="C135" i="13"/>
  <c r="B135" i="13"/>
  <c r="G135" i="13" s="1"/>
  <c r="C134" i="13"/>
  <c r="B134" i="13"/>
  <c r="C133" i="13"/>
  <c r="B133" i="13"/>
  <c r="C132" i="13"/>
  <c r="B132" i="13"/>
  <c r="C131" i="13"/>
  <c r="B131" i="13"/>
  <c r="C130" i="13"/>
  <c r="B130" i="13"/>
  <c r="C129" i="13"/>
  <c r="B129" i="13"/>
  <c r="C128" i="13"/>
  <c r="B128" i="13"/>
  <c r="C127" i="13"/>
  <c r="B127" i="13"/>
  <c r="C126" i="13"/>
  <c r="B126" i="13"/>
  <c r="N126" i="13" s="1"/>
  <c r="C125" i="13"/>
  <c r="B125" i="13"/>
  <c r="C124" i="13"/>
  <c r="B124" i="13"/>
  <c r="C123" i="13"/>
  <c r="B123" i="13"/>
  <c r="J123" i="13" s="1"/>
  <c r="C122" i="13"/>
  <c r="B122" i="13"/>
  <c r="C121" i="13"/>
  <c r="B121" i="13"/>
  <c r="C120" i="13"/>
  <c r="B120" i="13"/>
  <c r="C119" i="13"/>
  <c r="B119" i="13"/>
  <c r="C118" i="13"/>
  <c r="B118" i="13"/>
  <c r="C117" i="13"/>
  <c r="B117" i="13"/>
  <c r="N117" i="13" s="1"/>
  <c r="C116" i="13"/>
  <c r="B116" i="13"/>
  <c r="C115" i="13"/>
  <c r="B115" i="13"/>
  <c r="C114" i="13"/>
  <c r="B114" i="13"/>
  <c r="F114" i="13" s="1"/>
  <c r="C113" i="13"/>
  <c r="B113" i="13"/>
  <c r="C112" i="13"/>
  <c r="B112" i="13"/>
  <c r="C111" i="13"/>
  <c r="B111" i="13"/>
  <c r="K111" i="13" s="1"/>
  <c r="C110" i="13"/>
  <c r="B110" i="13"/>
  <c r="C109" i="13"/>
  <c r="B109" i="13"/>
  <c r="C108" i="13"/>
  <c r="B108" i="13"/>
  <c r="L108" i="13" s="1"/>
  <c r="C107" i="13"/>
  <c r="B107" i="13"/>
  <c r="C106" i="13"/>
  <c r="B106" i="13"/>
  <c r="C105" i="13"/>
  <c r="B105" i="13"/>
  <c r="C104" i="13"/>
  <c r="B104" i="13"/>
  <c r="C103" i="13"/>
  <c r="B103" i="13"/>
  <c r="C102" i="13"/>
  <c r="B102" i="13"/>
  <c r="H102" i="13" s="1"/>
  <c r="C101" i="13"/>
  <c r="B101" i="13"/>
  <c r="C100" i="13"/>
  <c r="B100" i="13"/>
  <c r="C99" i="13"/>
  <c r="B99" i="13"/>
  <c r="K99" i="13" s="1"/>
  <c r="C98" i="13"/>
  <c r="B98" i="13"/>
  <c r="C97" i="13"/>
  <c r="B97" i="13"/>
  <c r="C96" i="13"/>
  <c r="B96" i="13"/>
  <c r="C95" i="13"/>
  <c r="B95" i="13"/>
  <c r="C94" i="13"/>
  <c r="B94" i="13"/>
  <c r="C93" i="13"/>
  <c r="B93" i="13"/>
  <c r="C92" i="13"/>
  <c r="B92" i="13"/>
  <c r="C91" i="13"/>
  <c r="B91" i="13"/>
  <c r="C90" i="13"/>
  <c r="B90" i="13"/>
  <c r="G90" i="13" s="1"/>
  <c r="C89" i="13"/>
  <c r="B89" i="13"/>
  <c r="C88" i="13"/>
  <c r="B88" i="13"/>
  <c r="C87" i="13"/>
  <c r="B87" i="13"/>
  <c r="K87" i="13" s="1"/>
  <c r="C86" i="13"/>
  <c r="B86" i="13"/>
  <c r="C85" i="13"/>
  <c r="B85" i="13"/>
  <c r="C84" i="13"/>
  <c r="B84" i="13"/>
  <c r="C83" i="13"/>
  <c r="B83" i="13"/>
  <c r="C82" i="13"/>
  <c r="B82" i="13"/>
  <c r="C81" i="13"/>
  <c r="B81" i="13"/>
  <c r="N81" i="13" s="1"/>
  <c r="C80" i="13"/>
  <c r="B80" i="13"/>
  <c r="C79" i="13"/>
  <c r="B79" i="13"/>
  <c r="C78" i="13"/>
  <c r="B78" i="13"/>
  <c r="C77" i="13"/>
  <c r="B77" i="13"/>
  <c r="C76" i="13"/>
  <c r="B76" i="13"/>
  <c r="C75" i="13"/>
  <c r="B75" i="13"/>
  <c r="I75" i="13" s="1"/>
  <c r="C74" i="13"/>
  <c r="B74" i="13"/>
  <c r="C73" i="13"/>
  <c r="B73" i="13"/>
  <c r="C72" i="13"/>
  <c r="B72" i="13"/>
  <c r="N72" i="13" s="1"/>
  <c r="C71" i="13"/>
  <c r="B71" i="13"/>
  <c r="C70" i="13"/>
  <c r="B70" i="13"/>
  <c r="C69" i="13"/>
  <c r="B69" i="13"/>
  <c r="C68" i="13"/>
  <c r="B68" i="13"/>
  <c r="C67" i="13"/>
  <c r="B67" i="13"/>
  <c r="C66" i="13"/>
  <c r="B66" i="13"/>
  <c r="F66" i="13" s="1"/>
  <c r="C65" i="13"/>
  <c r="B65" i="13"/>
  <c r="C64" i="13"/>
  <c r="B64" i="13"/>
  <c r="C63" i="13"/>
  <c r="B63" i="13"/>
  <c r="K63" i="13" s="1"/>
  <c r="C62" i="13"/>
  <c r="B62" i="13"/>
  <c r="C61" i="13"/>
  <c r="B61" i="13"/>
  <c r="C60" i="13"/>
  <c r="B60" i="13"/>
  <c r="L60" i="13" s="1"/>
  <c r="C59" i="13"/>
  <c r="B59" i="13"/>
  <c r="C58" i="13"/>
  <c r="B58" i="13"/>
  <c r="C57" i="13"/>
  <c r="B57" i="13"/>
  <c r="C56" i="13"/>
  <c r="B56" i="13"/>
  <c r="C55" i="13"/>
  <c r="B55" i="13"/>
  <c r="C54" i="13"/>
  <c r="B54" i="13"/>
  <c r="N54" i="13" s="1"/>
  <c r="C53" i="13"/>
  <c r="B53" i="13"/>
  <c r="C52" i="13"/>
  <c r="B52" i="13"/>
  <c r="C51" i="13"/>
  <c r="B51" i="13"/>
  <c r="F51" i="13" s="1"/>
  <c r="C50" i="13"/>
  <c r="B50" i="13"/>
  <c r="C49" i="13"/>
  <c r="B49" i="13"/>
  <c r="C48" i="13"/>
  <c r="B48" i="13"/>
  <c r="I48" i="13" s="1"/>
  <c r="C47" i="13"/>
  <c r="B47" i="13"/>
  <c r="C46" i="13"/>
  <c r="B46" i="13"/>
  <c r="C45" i="13"/>
  <c r="B45" i="13"/>
  <c r="L45" i="13" s="1"/>
  <c r="C44" i="13"/>
  <c r="B44" i="13"/>
  <c r="C43" i="13"/>
  <c r="B43" i="13"/>
  <c r="C42" i="13"/>
  <c r="B42" i="13"/>
  <c r="C41" i="13"/>
  <c r="B41" i="13"/>
  <c r="C40" i="13"/>
  <c r="B40" i="13"/>
  <c r="C39" i="13"/>
  <c r="B39" i="13"/>
  <c r="F39" i="13" s="1"/>
  <c r="C38" i="13"/>
  <c r="B38" i="13"/>
  <c r="C37" i="13"/>
  <c r="B37" i="13"/>
  <c r="N37" i="13" s="1"/>
  <c r="C36" i="13"/>
  <c r="B36" i="13"/>
  <c r="I36" i="13" s="1"/>
  <c r="C35" i="13"/>
  <c r="B35" i="13"/>
  <c r="F35" i="13" s="1"/>
  <c r="C34" i="13"/>
  <c r="B34" i="13"/>
  <c r="C33" i="13"/>
  <c r="B33" i="13"/>
  <c r="L33" i="13" s="1"/>
  <c r="C32" i="13"/>
  <c r="B32" i="13"/>
  <c r="I32" i="13" s="1"/>
  <c r="C31" i="13"/>
  <c r="B31" i="13"/>
  <c r="F31" i="13" s="1"/>
  <c r="C30" i="13"/>
  <c r="B30" i="13"/>
  <c r="C29" i="13"/>
  <c r="B29" i="13"/>
  <c r="L29" i="13" s="1"/>
  <c r="C28" i="13"/>
  <c r="B28" i="13"/>
  <c r="I28" i="13" s="1"/>
  <c r="C27" i="13"/>
  <c r="B27" i="13"/>
  <c r="F27" i="13" s="1"/>
  <c r="C26" i="13"/>
  <c r="B26" i="13"/>
  <c r="C25" i="13"/>
  <c r="B25" i="13"/>
  <c r="C24" i="13"/>
  <c r="B24" i="13"/>
  <c r="I24" i="13" s="1"/>
  <c r="C23" i="13"/>
  <c r="B23" i="13"/>
  <c r="F23" i="13" s="1"/>
  <c r="C22" i="13"/>
  <c r="B22" i="13"/>
  <c r="C21" i="13"/>
  <c r="B21" i="13"/>
  <c r="L21" i="13" s="1"/>
  <c r="C20" i="13"/>
  <c r="B20" i="13"/>
  <c r="I20" i="13" s="1"/>
  <c r="C19" i="13"/>
  <c r="B19" i="13"/>
  <c r="F19" i="13" s="1"/>
  <c r="C18" i="13"/>
  <c r="B18" i="13"/>
  <c r="C17" i="13"/>
  <c r="B17" i="13"/>
  <c r="L17" i="13" s="1"/>
  <c r="C16" i="13"/>
  <c r="B16" i="13"/>
  <c r="I16" i="13" s="1"/>
  <c r="C15" i="13"/>
  <c r="B15" i="13"/>
  <c r="F15" i="13" s="1"/>
  <c r="C14" i="13"/>
  <c r="B14" i="13"/>
  <c r="C13" i="13"/>
  <c r="B13" i="13"/>
  <c r="C12" i="13"/>
  <c r="B12" i="13"/>
  <c r="I12" i="13" s="1"/>
  <c r="C11" i="13"/>
  <c r="B11" i="13"/>
  <c r="F11" i="13" s="1"/>
  <c r="C10" i="13"/>
  <c r="B10" i="13"/>
  <c r="C9" i="13"/>
  <c r="B9" i="13"/>
  <c r="L9" i="13" s="1"/>
  <c r="C8" i="13"/>
  <c r="B8" i="13"/>
  <c r="I8" i="13" s="1"/>
  <c r="C7" i="13"/>
  <c r="B7" i="13"/>
  <c r="F7" i="13" s="1"/>
  <c r="C6" i="13"/>
  <c r="B6" i="13"/>
  <c r="C401" i="17"/>
  <c r="B401" i="17"/>
  <c r="C400" i="17"/>
  <c r="B400" i="17"/>
  <c r="C399" i="17"/>
  <c r="B399" i="17"/>
  <c r="C398" i="17"/>
  <c r="B398" i="17"/>
  <c r="C397" i="17"/>
  <c r="B397" i="17"/>
  <c r="C396" i="17"/>
  <c r="B396" i="17"/>
  <c r="C395" i="17"/>
  <c r="B395" i="17"/>
  <c r="C394" i="17"/>
  <c r="B394" i="17"/>
  <c r="C393" i="17"/>
  <c r="B393" i="17"/>
  <c r="C392" i="17"/>
  <c r="B392" i="17"/>
  <c r="C391" i="17"/>
  <c r="B391" i="17"/>
  <c r="C390" i="17"/>
  <c r="B390" i="17"/>
  <c r="C389" i="17"/>
  <c r="B389" i="17"/>
  <c r="C388" i="17"/>
  <c r="B388" i="17"/>
  <c r="C387" i="17"/>
  <c r="B387" i="17"/>
  <c r="C386" i="17"/>
  <c r="B386" i="17"/>
  <c r="C385" i="17"/>
  <c r="B385" i="17"/>
  <c r="C384" i="17"/>
  <c r="B384" i="17"/>
  <c r="C383" i="17"/>
  <c r="B383" i="17"/>
  <c r="C382" i="17"/>
  <c r="B382" i="17"/>
  <c r="C381" i="17"/>
  <c r="B381" i="17"/>
  <c r="C380" i="17"/>
  <c r="B380" i="17"/>
  <c r="C379" i="17"/>
  <c r="B379" i="17"/>
  <c r="C378" i="17"/>
  <c r="B378" i="17"/>
  <c r="C377" i="17"/>
  <c r="B377" i="17"/>
  <c r="C376" i="17"/>
  <c r="B376" i="17"/>
  <c r="C375" i="17"/>
  <c r="B375" i="17"/>
  <c r="C374" i="17"/>
  <c r="B374" i="17"/>
  <c r="C373" i="17"/>
  <c r="B373" i="17"/>
  <c r="C372" i="17"/>
  <c r="B372" i="17"/>
  <c r="C371" i="17"/>
  <c r="B371" i="17"/>
  <c r="C370" i="17"/>
  <c r="B370" i="17"/>
  <c r="C369" i="17"/>
  <c r="B369" i="17"/>
  <c r="C368" i="17"/>
  <c r="B368" i="17"/>
  <c r="C367" i="17"/>
  <c r="B367" i="17"/>
  <c r="C366" i="17"/>
  <c r="B366" i="17"/>
  <c r="C365" i="17"/>
  <c r="B365" i="17"/>
  <c r="C364" i="17"/>
  <c r="B364" i="17"/>
  <c r="C363" i="17"/>
  <c r="B363" i="17"/>
  <c r="C362" i="17"/>
  <c r="B362" i="17"/>
  <c r="C361" i="17"/>
  <c r="B361" i="17"/>
  <c r="C360" i="17"/>
  <c r="B360" i="17"/>
  <c r="C359" i="17"/>
  <c r="B359" i="17"/>
  <c r="C358" i="17"/>
  <c r="B358" i="17"/>
  <c r="C357" i="17"/>
  <c r="B357" i="17"/>
  <c r="C356" i="17"/>
  <c r="B356" i="17"/>
  <c r="C355" i="17"/>
  <c r="B355" i="17"/>
  <c r="C354" i="17"/>
  <c r="B354" i="17"/>
  <c r="C353" i="17"/>
  <c r="B353" i="17"/>
  <c r="C352" i="17"/>
  <c r="B352" i="17"/>
  <c r="C351" i="17"/>
  <c r="B351" i="17"/>
  <c r="C350" i="17"/>
  <c r="B350" i="17"/>
  <c r="C349" i="17"/>
  <c r="B349" i="17"/>
  <c r="C348" i="17"/>
  <c r="B348" i="17"/>
  <c r="C347" i="17"/>
  <c r="B347" i="17"/>
  <c r="C346" i="17"/>
  <c r="B346" i="17"/>
  <c r="C345" i="17"/>
  <c r="B345" i="17"/>
  <c r="C344" i="17"/>
  <c r="B344" i="17"/>
  <c r="C343" i="17"/>
  <c r="B343" i="17"/>
  <c r="C342" i="17"/>
  <c r="B342" i="17"/>
  <c r="C341" i="17"/>
  <c r="B341" i="17"/>
  <c r="C340" i="17"/>
  <c r="B340" i="17"/>
  <c r="C339" i="17"/>
  <c r="B339" i="17"/>
  <c r="C338" i="17"/>
  <c r="B338" i="17"/>
  <c r="C337" i="17"/>
  <c r="B337" i="17"/>
  <c r="C336" i="17"/>
  <c r="B336" i="17"/>
  <c r="C335" i="17"/>
  <c r="B335" i="17"/>
  <c r="C334" i="17"/>
  <c r="B334" i="17"/>
  <c r="C333" i="17"/>
  <c r="B333" i="17"/>
  <c r="C332" i="17"/>
  <c r="B332" i="17"/>
  <c r="C331" i="17"/>
  <c r="B331" i="17"/>
  <c r="C330" i="17"/>
  <c r="B330" i="17"/>
  <c r="C329" i="17"/>
  <c r="B329" i="17"/>
  <c r="C328" i="17"/>
  <c r="B328" i="17"/>
  <c r="C327" i="17"/>
  <c r="B327" i="17"/>
  <c r="C326" i="17"/>
  <c r="B326" i="17"/>
  <c r="C325" i="17"/>
  <c r="B325" i="17"/>
  <c r="C324" i="17"/>
  <c r="B324" i="17"/>
  <c r="C323" i="17"/>
  <c r="B323" i="17"/>
  <c r="C322" i="17"/>
  <c r="B322" i="17"/>
  <c r="C321" i="17"/>
  <c r="B321" i="17"/>
  <c r="C320" i="17"/>
  <c r="B320" i="17"/>
  <c r="C319" i="17"/>
  <c r="B319" i="17"/>
  <c r="C318" i="17"/>
  <c r="B318" i="17"/>
  <c r="C317" i="17"/>
  <c r="B317" i="17"/>
  <c r="C316" i="17"/>
  <c r="B316" i="17"/>
  <c r="C315" i="17"/>
  <c r="B315" i="17"/>
  <c r="C314" i="17"/>
  <c r="B314" i="17"/>
  <c r="C313" i="17"/>
  <c r="B313" i="17"/>
  <c r="C312" i="17"/>
  <c r="B312" i="17"/>
  <c r="C311" i="17"/>
  <c r="B311" i="17"/>
  <c r="C310" i="17"/>
  <c r="B310" i="17"/>
  <c r="C309" i="17"/>
  <c r="B309" i="17"/>
  <c r="C308" i="17"/>
  <c r="B308" i="17"/>
  <c r="C307" i="17"/>
  <c r="B307" i="17"/>
  <c r="C306" i="17"/>
  <c r="B306" i="17"/>
  <c r="C305" i="17"/>
  <c r="B305" i="17"/>
  <c r="C304" i="17"/>
  <c r="B304" i="17"/>
  <c r="C303" i="17"/>
  <c r="B303" i="17"/>
  <c r="C302" i="17"/>
  <c r="B302" i="17"/>
  <c r="C301" i="17"/>
  <c r="B301" i="17"/>
  <c r="C300" i="17"/>
  <c r="B300" i="17"/>
  <c r="C299" i="17"/>
  <c r="B299" i="17"/>
  <c r="C298" i="17"/>
  <c r="B298" i="17"/>
  <c r="C297" i="17"/>
  <c r="B297" i="17"/>
  <c r="C296" i="17"/>
  <c r="B296" i="17"/>
  <c r="C295" i="17"/>
  <c r="B295" i="17"/>
  <c r="C294" i="17"/>
  <c r="B294" i="17"/>
  <c r="C293" i="17"/>
  <c r="B293" i="17"/>
  <c r="C292" i="17"/>
  <c r="B292" i="17"/>
  <c r="C291" i="17"/>
  <c r="B291" i="17"/>
  <c r="C290" i="17"/>
  <c r="B290" i="17"/>
  <c r="C289" i="17"/>
  <c r="B289" i="17"/>
  <c r="C288" i="17"/>
  <c r="B288" i="17"/>
  <c r="C287" i="17"/>
  <c r="B287" i="17"/>
  <c r="C286" i="17"/>
  <c r="B286" i="17"/>
  <c r="C285" i="17"/>
  <c r="B285" i="17"/>
  <c r="C284" i="17"/>
  <c r="B284" i="17"/>
  <c r="C283" i="17"/>
  <c r="B283" i="17"/>
  <c r="C282" i="17"/>
  <c r="B282" i="17"/>
  <c r="C281" i="17"/>
  <c r="B281" i="17"/>
  <c r="C280" i="17"/>
  <c r="B280" i="17"/>
  <c r="C279" i="17"/>
  <c r="B279" i="17"/>
  <c r="C278" i="17"/>
  <c r="B278" i="17"/>
  <c r="C277" i="17"/>
  <c r="B277" i="17"/>
  <c r="C276" i="17"/>
  <c r="B276" i="17"/>
  <c r="C275" i="17"/>
  <c r="B275" i="17"/>
  <c r="C274" i="17"/>
  <c r="B274" i="17"/>
  <c r="C273" i="17"/>
  <c r="B273" i="17"/>
  <c r="C272" i="17"/>
  <c r="B272" i="17"/>
  <c r="C271" i="17"/>
  <c r="B271" i="17"/>
  <c r="C270" i="17"/>
  <c r="B270" i="17"/>
  <c r="C269" i="17"/>
  <c r="B269" i="17"/>
  <c r="C268" i="17"/>
  <c r="B268" i="17"/>
  <c r="C267" i="17"/>
  <c r="B267" i="17"/>
  <c r="C266" i="17"/>
  <c r="B266" i="17"/>
  <c r="C265" i="17"/>
  <c r="B265" i="17"/>
  <c r="C264" i="17"/>
  <c r="B264" i="17"/>
  <c r="C263" i="17"/>
  <c r="B263" i="17"/>
  <c r="C262" i="17"/>
  <c r="B262" i="17"/>
  <c r="C261" i="17"/>
  <c r="B261" i="17"/>
  <c r="C260" i="17"/>
  <c r="B260" i="17"/>
  <c r="C259" i="17"/>
  <c r="B259" i="17"/>
  <c r="C258" i="17"/>
  <c r="B258" i="17"/>
  <c r="C257" i="17"/>
  <c r="B257" i="17"/>
  <c r="C256" i="17"/>
  <c r="B256" i="17"/>
  <c r="C255" i="17"/>
  <c r="B255" i="17"/>
  <c r="C254" i="17"/>
  <c r="B254" i="17"/>
  <c r="C253" i="17"/>
  <c r="B253" i="17"/>
  <c r="C252" i="17"/>
  <c r="B252" i="17"/>
  <c r="C251" i="17"/>
  <c r="B251" i="17"/>
  <c r="C250" i="17"/>
  <c r="B250" i="17"/>
  <c r="C249" i="17"/>
  <c r="B249" i="17"/>
  <c r="C248" i="17"/>
  <c r="B248" i="17"/>
  <c r="C247" i="17"/>
  <c r="B247" i="17"/>
  <c r="C246" i="17"/>
  <c r="B246" i="17"/>
  <c r="F44" i="19"/>
  <c r="F43" i="19"/>
  <c r="F42" i="19"/>
  <c r="F41" i="19"/>
  <c r="E393" i="13" l="1"/>
  <c r="E387" i="13"/>
  <c r="E254" i="17"/>
  <c r="E266" i="17"/>
  <c r="E278" i="17"/>
  <c r="E290" i="17"/>
  <c r="E302" i="17"/>
  <c r="E314" i="17"/>
  <c r="E326" i="17"/>
  <c r="E338" i="17"/>
  <c r="E350" i="17"/>
  <c r="E362" i="17"/>
  <c r="E374" i="17"/>
  <c r="E386" i="17"/>
  <c r="E398" i="17"/>
  <c r="E255" i="17"/>
  <c r="E267" i="17"/>
  <c r="E279" i="17"/>
  <c r="E291" i="17"/>
  <c r="E303" i="17"/>
  <c r="E315" i="17"/>
  <c r="E327" i="17"/>
  <c r="E339" i="17"/>
  <c r="E351" i="17"/>
  <c r="E363" i="17"/>
  <c r="E375" i="17"/>
  <c r="E387" i="17"/>
  <c r="E399" i="17"/>
  <c r="E248" i="17"/>
  <c r="E260" i="17"/>
  <c r="E272" i="17"/>
  <c r="E284" i="17"/>
  <c r="E296" i="17"/>
  <c r="E308" i="17"/>
  <c r="E320" i="17"/>
  <c r="E332" i="17"/>
  <c r="E344" i="17"/>
  <c r="E356" i="17"/>
  <c r="E368" i="17"/>
  <c r="E380" i="17"/>
  <c r="E392" i="17"/>
  <c r="E249" i="17"/>
  <c r="E261" i="17"/>
  <c r="E273" i="17"/>
  <c r="E285" i="17"/>
  <c r="E297" i="17"/>
  <c r="E309" i="17"/>
  <c r="E321" i="17"/>
  <c r="E333" i="17"/>
  <c r="E345" i="17"/>
  <c r="E357" i="17"/>
  <c r="E369" i="17"/>
  <c r="E381" i="17"/>
  <c r="E394" i="13"/>
  <c r="E399" i="13"/>
  <c r="E252" i="17"/>
  <c r="E264" i="17"/>
  <c r="E276" i="17"/>
  <c r="E288" i="17"/>
  <c r="E300" i="17"/>
  <c r="E312" i="17"/>
  <c r="E324" i="17"/>
  <c r="E336" i="17"/>
  <c r="E348" i="17"/>
  <c r="E360" i="17"/>
  <c r="E372" i="17"/>
  <c r="E384" i="17"/>
  <c r="E396" i="17"/>
  <c r="E247" i="17"/>
  <c r="E265" i="17"/>
  <c r="E283" i="17"/>
  <c r="E301" i="17"/>
  <c r="E319" i="17"/>
  <c r="E325" i="17"/>
  <c r="E337" i="17"/>
  <c r="E343" i="17"/>
  <c r="E349" i="17"/>
  <c r="E355" i="17"/>
  <c r="E361" i="17"/>
  <c r="E367" i="17"/>
  <c r="E373" i="17"/>
  <c r="E379" i="17"/>
  <c r="E391" i="17"/>
  <c r="E253" i="17"/>
  <c r="E259" i="17"/>
  <c r="E271" i="17"/>
  <c r="E277" i="17"/>
  <c r="E289" i="17"/>
  <c r="E295" i="17"/>
  <c r="E307" i="17"/>
  <c r="E313" i="17"/>
  <c r="E331" i="17"/>
  <c r="E385" i="17"/>
  <c r="E393" i="17"/>
  <c r="E186" i="13"/>
  <c r="E190" i="13"/>
  <c r="E262" i="13"/>
  <c r="E346" i="13"/>
  <c r="E358" i="13"/>
  <c r="E362" i="13"/>
  <c r="E382" i="13"/>
  <c r="E151" i="13"/>
  <c r="E187" i="13"/>
  <c r="E279" i="13"/>
  <c r="E291" i="13"/>
  <c r="E303" i="13"/>
  <c r="E180" i="13"/>
  <c r="E340" i="13"/>
  <c r="E376" i="13"/>
  <c r="E273" i="13"/>
  <c r="E285" i="13"/>
  <c r="E309" i="13"/>
  <c r="E274" i="17"/>
  <c r="E316" i="17"/>
  <c r="E352" i="17"/>
  <c r="E394" i="17"/>
  <c r="E269" i="17"/>
  <c r="E305" i="17"/>
  <c r="E341" i="17"/>
  <c r="E389" i="17"/>
  <c r="E246" i="17"/>
  <c r="E258" i="17"/>
  <c r="E270" i="17"/>
  <c r="E282" i="17"/>
  <c r="E294" i="17"/>
  <c r="E306" i="17"/>
  <c r="E318" i="17"/>
  <c r="E330" i="17"/>
  <c r="E342" i="17"/>
  <c r="E354" i="17"/>
  <c r="E366" i="17"/>
  <c r="E378" i="17"/>
  <c r="E390" i="17"/>
  <c r="E286" i="17"/>
  <c r="E328" i="17"/>
  <c r="E364" i="17"/>
  <c r="E400" i="17"/>
  <c r="E275" i="17"/>
  <c r="E299" i="17"/>
  <c r="E335" i="17"/>
  <c r="E377" i="17"/>
  <c r="E268" i="17"/>
  <c r="E310" i="17"/>
  <c r="E358" i="17"/>
  <c r="E281" i="17"/>
  <c r="E323" i="17"/>
  <c r="E359" i="17"/>
  <c r="E401" i="17"/>
  <c r="E250" i="17"/>
  <c r="E298" i="17"/>
  <c r="E340" i="17"/>
  <c r="E382" i="17"/>
  <c r="E257" i="17"/>
  <c r="E311" i="17"/>
  <c r="E353" i="17"/>
  <c r="E395" i="17"/>
  <c r="E397" i="17"/>
  <c r="E256" i="17"/>
  <c r="E292" i="17"/>
  <c r="E334" i="17"/>
  <c r="E376" i="17"/>
  <c r="E251" i="17"/>
  <c r="E293" i="17"/>
  <c r="E347" i="17"/>
  <c r="E383" i="17"/>
  <c r="E262" i="17"/>
  <c r="E304" i="17"/>
  <c r="E346" i="17"/>
  <c r="E388" i="17"/>
  <c r="E287" i="17"/>
  <c r="E329" i="17"/>
  <c r="E371" i="17"/>
  <c r="E280" i="17"/>
  <c r="E322" i="17"/>
  <c r="E370" i="17"/>
  <c r="E263" i="17"/>
  <c r="E317" i="17"/>
  <c r="E365" i="17"/>
  <c r="E374" i="13"/>
  <c r="E339" i="13"/>
  <c r="E345" i="13"/>
  <c r="E140" i="13"/>
  <c r="E338" i="13"/>
  <c r="E350" i="13"/>
  <c r="G167" i="13"/>
  <c r="N167" i="13"/>
  <c r="I44" i="13"/>
  <c r="N44" i="13"/>
  <c r="N92" i="13"/>
  <c r="H193" i="13"/>
  <c r="N193" i="13"/>
  <c r="N223" i="13"/>
  <c r="J247" i="13"/>
  <c r="G247" i="13"/>
  <c r="F247" i="13"/>
  <c r="I247" i="13"/>
  <c r="H247" i="13"/>
  <c r="K247" i="13"/>
  <c r="L247" i="13"/>
  <c r="M247" i="13"/>
  <c r="N247" i="13"/>
  <c r="I277" i="13"/>
  <c r="H277" i="13"/>
  <c r="G277" i="13"/>
  <c r="F277" i="13"/>
  <c r="N277" i="13"/>
  <c r="K277" i="13"/>
  <c r="J277" i="13"/>
  <c r="L277" i="13"/>
  <c r="M277" i="13"/>
  <c r="I307" i="13"/>
  <c r="H307" i="13"/>
  <c r="G307" i="13"/>
  <c r="F307" i="13"/>
  <c r="N307" i="13"/>
  <c r="K307" i="13"/>
  <c r="J307" i="13"/>
  <c r="L307" i="13"/>
  <c r="M307" i="13"/>
  <c r="I337" i="13"/>
  <c r="H337" i="13"/>
  <c r="G337" i="13"/>
  <c r="F337" i="13"/>
  <c r="N337" i="13"/>
  <c r="K337" i="13"/>
  <c r="J337" i="13"/>
  <c r="L337" i="13"/>
  <c r="M337" i="13"/>
  <c r="I355" i="13"/>
  <c r="H355" i="13"/>
  <c r="G355" i="13"/>
  <c r="J355" i="13"/>
  <c r="M355" i="13"/>
  <c r="N355" i="13"/>
  <c r="L355" i="13"/>
  <c r="K355" i="13"/>
  <c r="F355" i="13"/>
  <c r="N373" i="13"/>
  <c r="G373" i="13"/>
  <c r="M373" i="13"/>
  <c r="L373" i="13"/>
  <c r="F373" i="13"/>
  <c r="K170" i="13"/>
  <c r="N170" i="13"/>
  <c r="N188" i="13"/>
  <c r="K384" i="13"/>
  <c r="I373" i="13"/>
  <c r="N155" i="13"/>
  <c r="N68" i="13"/>
  <c r="M116" i="13"/>
  <c r="N116" i="13"/>
  <c r="N217" i="13"/>
  <c r="J253" i="13"/>
  <c r="I253" i="13"/>
  <c r="M253" i="13"/>
  <c r="H253" i="13"/>
  <c r="K253" i="13"/>
  <c r="G253" i="13"/>
  <c r="L253" i="13"/>
  <c r="F253" i="13"/>
  <c r="N253" i="13"/>
  <c r="I283" i="13"/>
  <c r="H283" i="13"/>
  <c r="G283" i="13"/>
  <c r="F283" i="13"/>
  <c r="N283" i="13"/>
  <c r="K283" i="13"/>
  <c r="M283" i="13"/>
  <c r="J283" i="13"/>
  <c r="L283" i="13"/>
  <c r="I313" i="13"/>
  <c r="H313" i="13"/>
  <c r="G313" i="13"/>
  <c r="F313" i="13"/>
  <c r="N313" i="13"/>
  <c r="K313" i="13"/>
  <c r="M313" i="13"/>
  <c r="J313" i="13"/>
  <c r="L313" i="13"/>
  <c r="I343" i="13"/>
  <c r="H343" i="13"/>
  <c r="G343" i="13"/>
  <c r="F343" i="13"/>
  <c r="N343" i="13"/>
  <c r="K343" i="13"/>
  <c r="J343" i="13"/>
  <c r="M343" i="13"/>
  <c r="L343" i="13"/>
  <c r="J361" i="13"/>
  <c r="I361" i="13"/>
  <c r="F361" i="13"/>
  <c r="G361" i="13"/>
  <c r="K361" i="13"/>
  <c r="M361" i="13"/>
  <c r="N361" i="13"/>
  <c r="H361" i="13"/>
  <c r="L361" i="13"/>
  <c r="M367" i="13"/>
  <c r="L367" i="13"/>
  <c r="F367" i="13"/>
  <c r="K367" i="13"/>
  <c r="J367" i="13"/>
  <c r="I367" i="13"/>
  <c r="H367" i="13"/>
  <c r="E152" i="13"/>
  <c r="N152" i="13"/>
  <c r="N182" i="13"/>
  <c r="I40" i="13"/>
  <c r="N40" i="13"/>
  <c r="N46" i="13"/>
  <c r="I52" i="13"/>
  <c r="N52" i="13"/>
  <c r="H58" i="13"/>
  <c r="N58" i="13"/>
  <c r="N64" i="13"/>
  <c r="H70" i="13"/>
  <c r="N70" i="13"/>
  <c r="M76" i="13"/>
  <c r="N76" i="13"/>
  <c r="N82" i="13"/>
  <c r="N88" i="13"/>
  <c r="N94" i="13"/>
  <c r="N100" i="13"/>
  <c r="H106" i="13"/>
  <c r="N106" i="13"/>
  <c r="N112" i="13"/>
  <c r="G118" i="13"/>
  <c r="N118" i="13"/>
  <c r="N124" i="13"/>
  <c r="N130" i="13"/>
  <c r="N136" i="13"/>
  <c r="J249" i="13"/>
  <c r="I249" i="13"/>
  <c r="K249" i="13"/>
  <c r="H249" i="13"/>
  <c r="G249" i="13"/>
  <c r="N249" i="13"/>
  <c r="L249" i="13"/>
  <c r="M249" i="13"/>
  <c r="F249" i="13"/>
  <c r="J255" i="13"/>
  <c r="K255" i="13"/>
  <c r="I255" i="13"/>
  <c r="H255" i="13"/>
  <c r="G255" i="13"/>
  <c r="F255" i="13"/>
  <c r="M255" i="13"/>
  <c r="L255" i="13"/>
  <c r="N255" i="13"/>
  <c r="J261" i="13"/>
  <c r="N261" i="13"/>
  <c r="K261" i="13"/>
  <c r="I261" i="13"/>
  <c r="M261" i="13"/>
  <c r="L261" i="13"/>
  <c r="H261" i="13"/>
  <c r="G261" i="13"/>
  <c r="F261" i="13"/>
  <c r="J267" i="13"/>
  <c r="I267" i="13"/>
  <c r="H267" i="13"/>
  <c r="G267" i="13"/>
  <c r="M267" i="13"/>
  <c r="L267" i="13"/>
  <c r="F267" i="13"/>
  <c r="K267" i="13"/>
  <c r="N267" i="13"/>
  <c r="I273" i="13"/>
  <c r="G273" i="13"/>
  <c r="F273" i="13"/>
  <c r="N273" i="13"/>
  <c r="M273" i="13"/>
  <c r="J273" i="13"/>
  <c r="H273" i="13"/>
  <c r="L273" i="13"/>
  <c r="K273" i="13"/>
  <c r="I279" i="13"/>
  <c r="H279" i="13"/>
  <c r="G279" i="13"/>
  <c r="F279" i="13"/>
  <c r="N279" i="13"/>
  <c r="M279" i="13"/>
  <c r="L279" i="13"/>
  <c r="K279" i="13"/>
  <c r="J279" i="13"/>
  <c r="I285" i="13"/>
  <c r="H285" i="13"/>
  <c r="G285" i="13"/>
  <c r="F285" i="13"/>
  <c r="N285" i="13"/>
  <c r="M285" i="13"/>
  <c r="L285" i="13"/>
  <c r="K285" i="13"/>
  <c r="J285" i="13"/>
  <c r="I291" i="13"/>
  <c r="H291" i="13"/>
  <c r="G291" i="13"/>
  <c r="F291" i="13"/>
  <c r="N291" i="13"/>
  <c r="M291" i="13"/>
  <c r="L291" i="13"/>
  <c r="K291" i="13"/>
  <c r="J291" i="13"/>
  <c r="I297" i="13"/>
  <c r="H297" i="13"/>
  <c r="G297" i="13"/>
  <c r="F297" i="13"/>
  <c r="N297" i="13"/>
  <c r="M297" i="13"/>
  <c r="L297" i="13"/>
  <c r="K297" i="13"/>
  <c r="J297" i="13"/>
  <c r="I303" i="13"/>
  <c r="H303" i="13"/>
  <c r="G303" i="13"/>
  <c r="F303" i="13"/>
  <c r="N303" i="13"/>
  <c r="M303" i="13"/>
  <c r="L303" i="13"/>
  <c r="K303" i="13"/>
  <c r="J303" i="13"/>
  <c r="I309" i="13"/>
  <c r="H309" i="13"/>
  <c r="G309" i="13"/>
  <c r="F309" i="13"/>
  <c r="N309" i="13"/>
  <c r="M309" i="13"/>
  <c r="L309" i="13"/>
  <c r="K309" i="13"/>
  <c r="J309" i="13"/>
  <c r="I315" i="13"/>
  <c r="H315" i="13"/>
  <c r="G315" i="13"/>
  <c r="F315" i="13"/>
  <c r="N315" i="13"/>
  <c r="M315" i="13"/>
  <c r="L315" i="13"/>
  <c r="K315" i="13"/>
  <c r="J315" i="13"/>
  <c r="I321" i="13"/>
  <c r="H321" i="13"/>
  <c r="G321" i="13"/>
  <c r="F321" i="13"/>
  <c r="N321" i="13"/>
  <c r="M321" i="13"/>
  <c r="L321" i="13"/>
  <c r="K321" i="13"/>
  <c r="J321" i="13"/>
  <c r="I327" i="13"/>
  <c r="H327" i="13"/>
  <c r="G327" i="13"/>
  <c r="F327" i="13"/>
  <c r="N327" i="13"/>
  <c r="M327" i="13"/>
  <c r="L327" i="13"/>
  <c r="K327" i="13"/>
  <c r="J327" i="13"/>
  <c r="I333" i="13"/>
  <c r="H333" i="13"/>
  <c r="G333" i="13"/>
  <c r="F333" i="13"/>
  <c r="N333" i="13"/>
  <c r="M333" i="13"/>
  <c r="L333" i="13"/>
  <c r="K333" i="13"/>
  <c r="J333" i="13"/>
  <c r="I339" i="13"/>
  <c r="H339" i="13"/>
  <c r="G339" i="13"/>
  <c r="F339" i="13"/>
  <c r="N339" i="13"/>
  <c r="M339" i="13"/>
  <c r="L339" i="13"/>
  <c r="K339" i="13"/>
  <c r="J339" i="13"/>
  <c r="I345" i="13"/>
  <c r="H345" i="13"/>
  <c r="G345" i="13"/>
  <c r="F345" i="13"/>
  <c r="N345" i="13"/>
  <c r="M345" i="13"/>
  <c r="L345" i="13"/>
  <c r="K345" i="13"/>
  <c r="J345" i="13"/>
  <c r="I351" i="13"/>
  <c r="H351" i="13"/>
  <c r="G351" i="13"/>
  <c r="F351" i="13"/>
  <c r="N351" i="13"/>
  <c r="M351" i="13"/>
  <c r="L351" i="13"/>
  <c r="K351" i="13"/>
  <c r="J351" i="13"/>
  <c r="J357" i="13"/>
  <c r="I357" i="13"/>
  <c r="G357" i="13"/>
  <c r="K357" i="13"/>
  <c r="M357" i="13"/>
  <c r="N357" i="13"/>
  <c r="L357" i="13"/>
  <c r="F357" i="13"/>
  <c r="H357" i="13"/>
  <c r="H363" i="13"/>
  <c r="L363" i="13"/>
  <c r="K363" i="13"/>
  <c r="G363" i="13"/>
  <c r="M363" i="13"/>
  <c r="I363" i="13"/>
  <c r="F363" i="13"/>
  <c r="N363" i="13"/>
  <c r="J363" i="13"/>
  <c r="K369" i="13"/>
  <c r="J369" i="13"/>
  <c r="I369" i="13"/>
  <c r="H369" i="13"/>
  <c r="G375" i="13"/>
  <c r="M375" i="13"/>
  <c r="L375" i="13"/>
  <c r="F375" i="13"/>
  <c r="K375" i="13"/>
  <c r="J375" i="13"/>
  <c r="N7" i="13"/>
  <c r="N10" i="13"/>
  <c r="N13" i="13"/>
  <c r="N16" i="13"/>
  <c r="N19" i="13"/>
  <c r="N22" i="13"/>
  <c r="N25" i="13"/>
  <c r="N28" i="13"/>
  <c r="N31" i="13"/>
  <c r="N34" i="13"/>
  <c r="K387" i="13"/>
  <c r="N375" i="13"/>
  <c r="G368" i="13"/>
  <c r="I374" i="13"/>
  <c r="L371" i="13"/>
  <c r="N50" i="13"/>
  <c r="H74" i="13"/>
  <c r="N74" i="13"/>
  <c r="H98" i="13"/>
  <c r="N98" i="13"/>
  <c r="H122" i="13"/>
  <c r="N122" i="13"/>
  <c r="N140" i="13"/>
  <c r="L199" i="13"/>
  <c r="N199" i="13"/>
  <c r="N235" i="13"/>
  <c r="I271" i="13"/>
  <c r="G271" i="13"/>
  <c r="F271" i="13"/>
  <c r="N271" i="13"/>
  <c r="M271" i="13"/>
  <c r="L271" i="13"/>
  <c r="K271" i="13"/>
  <c r="J271" i="13"/>
  <c r="H271" i="13"/>
  <c r="I301" i="13"/>
  <c r="H301" i="13"/>
  <c r="G301" i="13"/>
  <c r="F301" i="13"/>
  <c r="N301" i="13"/>
  <c r="K301" i="13"/>
  <c r="J301" i="13"/>
  <c r="M301" i="13"/>
  <c r="L301" i="13"/>
  <c r="I325" i="13"/>
  <c r="H325" i="13"/>
  <c r="G325" i="13"/>
  <c r="F325" i="13"/>
  <c r="N325" i="13"/>
  <c r="K325" i="13"/>
  <c r="J325" i="13"/>
  <c r="L325" i="13"/>
  <c r="M325" i="13"/>
  <c r="J385" i="13"/>
  <c r="N164" i="13"/>
  <c r="K142" i="13"/>
  <c r="N142" i="13"/>
  <c r="N148" i="13"/>
  <c r="N154" i="13"/>
  <c r="N160" i="13"/>
  <c r="N166" i="13"/>
  <c r="N172" i="13"/>
  <c r="N178" i="13"/>
  <c r="N184" i="13"/>
  <c r="N190" i="13"/>
  <c r="F380" i="13"/>
  <c r="G369" i="13"/>
  <c r="I375" i="13"/>
  <c r="L372" i="13"/>
  <c r="N161" i="13"/>
  <c r="M56" i="13"/>
  <c r="N56" i="13"/>
  <c r="N80" i="13"/>
  <c r="M104" i="13"/>
  <c r="N104" i="13"/>
  <c r="N128" i="13"/>
  <c r="F205" i="13"/>
  <c r="N205" i="13"/>
  <c r="N229" i="13"/>
  <c r="J265" i="13"/>
  <c r="I265" i="13"/>
  <c r="H265" i="13"/>
  <c r="M265" i="13"/>
  <c r="G265" i="13"/>
  <c r="F265" i="13"/>
  <c r="L265" i="13"/>
  <c r="N265" i="13"/>
  <c r="K265" i="13"/>
  <c r="I295" i="13"/>
  <c r="H295" i="13"/>
  <c r="G295" i="13"/>
  <c r="F295" i="13"/>
  <c r="N295" i="13"/>
  <c r="K295" i="13"/>
  <c r="L295" i="13"/>
  <c r="J295" i="13"/>
  <c r="M295" i="13"/>
  <c r="I331" i="13"/>
  <c r="H331" i="13"/>
  <c r="G331" i="13"/>
  <c r="F331" i="13"/>
  <c r="N331" i="13"/>
  <c r="K331" i="13"/>
  <c r="J331" i="13"/>
  <c r="M331" i="13"/>
  <c r="L331" i="13"/>
  <c r="M379" i="13"/>
  <c r="L379" i="13"/>
  <c r="N158" i="13"/>
  <c r="L41" i="13"/>
  <c r="N41" i="13"/>
  <c r="F47" i="13"/>
  <c r="N47" i="13"/>
  <c r="L53" i="13"/>
  <c r="N53" i="13"/>
  <c r="J59" i="13"/>
  <c r="N59" i="13"/>
  <c r="N65" i="13"/>
  <c r="N71" i="13"/>
  <c r="N77" i="13"/>
  <c r="N83" i="13"/>
  <c r="N89" i="13"/>
  <c r="K95" i="13"/>
  <c r="N95" i="13"/>
  <c r="N101" i="13"/>
  <c r="J107" i="13"/>
  <c r="N107" i="13"/>
  <c r="N113" i="13"/>
  <c r="N119" i="13"/>
  <c r="N125" i="13"/>
  <c r="N131" i="13"/>
  <c r="H137" i="13"/>
  <c r="N137" i="13"/>
  <c r="E154" i="13"/>
  <c r="E160" i="13"/>
  <c r="E166" i="13"/>
  <c r="E178" i="13"/>
  <c r="N196" i="13"/>
  <c r="N202" i="13"/>
  <c r="N208" i="13"/>
  <c r="K214" i="13"/>
  <c r="N214" i="13"/>
  <c r="N220" i="13"/>
  <c r="I226" i="13"/>
  <c r="N226" i="13"/>
  <c r="N232" i="13"/>
  <c r="N238" i="13"/>
  <c r="N244" i="13"/>
  <c r="J250" i="13"/>
  <c r="I250" i="13"/>
  <c r="H250" i="13"/>
  <c r="G250" i="13"/>
  <c r="N250" i="13"/>
  <c r="K250" i="13"/>
  <c r="F250" i="13"/>
  <c r="M250" i="13"/>
  <c r="L250" i="13"/>
  <c r="J256" i="13"/>
  <c r="I256" i="13"/>
  <c r="H256" i="13"/>
  <c r="G256" i="13"/>
  <c r="N256" i="13"/>
  <c r="F256" i="13"/>
  <c r="K256" i="13"/>
  <c r="M256" i="13"/>
  <c r="L256" i="13"/>
  <c r="J262" i="13"/>
  <c r="I262" i="13"/>
  <c r="H262" i="13"/>
  <c r="G262" i="13"/>
  <c r="F262" i="13"/>
  <c r="K262" i="13"/>
  <c r="L262" i="13"/>
  <c r="M262" i="13"/>
  <c r="N262" i="13"/>
  <c r="G268" i="13"/>
  <c r="F268" i="13"/>
  <c r="L268" i="13"/>
  <c r="K268" i="13"/>
  <c r="M268" i="13"/>
  <c r="J268" i="13"/>
  <c r="I268" i="13"/>
  <c r="H268" i="13"/>
  <c r="N268" i="13"/>
  <c r="I274" i="13"/>
  <c r="G274" i="13"/>
  <c r="F274" i="13"/>
  <c r="N274" i="13"/>
  <c r="M274" i="13"/>
  <c r="L274" i="13"/>
  <c r="K274" i="13"/>
  <c r="J274" i="13"/>
  <c r="H274" i="13"/>
  <c r="I280" i="13"/>
  <c r="H280" i="13"/>
  <c r="G280" i="13"/>
  <c r="F280" i="13"/>
  <c r="N280" i="13"/>
  <c r="K280" i="13"/>
  <c r="J280" i="13"/>
  <c r="M280" i="13"/>
  <c r="L280" i="13"/>
  <c r="I286" i="13"/>
  <c r="H286" i="13"/>
  <c r="G286" i="13"/>
  <c r="F286" i="13"/>
  <c r="N286" i="13"/>
  <c r="K286" i="13"/>
  <c r="J286" i="13"/>
  <c r="M286" i="13"/>
  <c r="L286" i="13"/>
  <c r="I292" i="13"/>
  <c r="H292" i="13"/>
  <c r="G292" i="13"/>
  <c r="F292" i="13"/>
  <c r="N292" i="13"/>
  <c r="K292" i="13"/>
  <c r="J292" i="13"/>
  <c r="L292" i="13"/>
  <c r="M292" i="13"/>
  <c r="I298" i="13"/>
  <c r="H298" i="13"/>
  <c r="G298" i="13"/>
  <c r="F298" i="13"/>
  <c r="N298" i="13"/>
  <c r="K298" i="13"/>
  <c r="J298" i="13"/>
  <c r="L298" i="13"/>
  <c r="M298" i="13"/>
  <c r="I304" i="13"/>
  <c r="H304" i="13"/>
  <c r="G304" i="13"/>
  <c r="F304" i="13"/>
  <c r="N304" i="13"/>
  <c r="K304" i="13"/>
  <c r="J304" i="13"/>
  <c r="M304" i="13"/>
  <c r="L304" i="13"/>
  <c r="I310" i="13"/>
  <c r="H310" i="13"/>
  <c r="G310" i="13"/>
  <c r="F310" i="13"/>
  <c r="N310" i="13"/>
  <c r="K310" i="13"/>
  <c r="J310" i="13"/>
  <c r="M310" i="13"/>
  <c r="L310" i="13"/>
  <c r="I316" i="13"/>
  <c r="H316" i="13"/>
  <c r="G316" i="13"/>
  <c r="F316" i="13"/>
  <c r="N316" i="13"/>
  <c r="K316" i="13"/>
  <c r="J316" i="13"/>
  <c r="M316" i="13"/>
  <c r="L316" i="13"/>
  <c r="I322" i="13"/>
  <c r="H322" i="13"/>
  <c r="G322" i="13"/>
  <c r="F322" i="13"/>
  <c r="N322" i="13"/>
  <c r="K322" i="13"/>
  <c r="L322" i="13"/>
  <c r="J322" i="13"/>
  <c r="M322" i="13"/>
  <c r="I328" i="13"/>
  <c r="H328" i="13"/>
  <c r="G328" i="13"/>
  <c r="F328" i="13"/>
  <c r="N328" i="13"/>
  <c r="K328" i="13"/>
  <c r="J328" i="13"/>
  <c r="L328" i="13"/>
  <c r="M328" i="13"/>
  <c r="I334" i="13"/>
  <c r="H334" i="13"/>
  <c r="G334" i="13"/>
  <c r="F334" i="13"/>
  <c r="N334" i="13"/>
  <c r="K334" i="13"/>
  <c r="J334" i="13"/>
  <c r="L334" i="13"/>
  <c r="M334" i="13"/>
  <c r="I340" i="13"/>
  <c r="H340" i="13"/>
  <c r="G340" i="13"/>
  <c r="F340" i="13"/>
  <c r="N340" i="13"/>
  <c r="K340" i="13"/>
  <c r="M340" i="13"/>
  <c r="J340" i="13"/>
  <c r="L340" i="13"/>
  <c r="I346" i="13"/>
  <c r="H346" i="13"/>
  <c r="G346" i="13"/>
  <c r="F346" i="13"/>
  <c r="N346" i="13"/>
  <c r="K346" i="13"/>
  <c r="L346" i="13"/>
  <c r="J346" i="13"/>
  <c r="M346" i="13"/>
  <c r="I352" i="13"/>
  <c r="H352" i="13"/>
  <c r="G352" i="13"/>
  <c r="F352" i="13"/>
  <c r="N352" i="13"/>
  <c r="K352" i="13"/>
  <c r="J352" i="13"/>
  <c r="L352" i="13"/>
  <c r="M352" i="13"/>
  <c r="G358" i="13"/>
  <c r="J358" i="13"/>
  <c r="M358" i="13"/>
  <c r="N358" i="13"/>
  <c r="L358" i="13"/>
  <c r="I358" i="13"/>
  <c r="F358" i="13"/>
  <c r="H358" i="13"/>
  <c r="K358" i="13"/>
  <c r="J364" i="13"/>
  <c r="N364" i="13"/>
  <c r="G364" i="13"/>
  <c r="M364" i="13"/>
  <c r="L364" i="13"/>
  <c r="K364" i="13"/>
  <c r="H364" i="13"/>
  <c r="Q364" i="13" s="1"/>
  <c r="F364" i="13"/>
  <c r="I364" i="13"/>
  <c r="J370" i="13"/>
  <c r="I370" i="13"/>
  <c r="H370" i="13"/>
  <c r="G370" i="13"/>
  <c r="G376" i="13"/>
  <c r="M376" i="13"/>
  <c r="L376" i="13"/>
  <c r="F376" i="13"/>
  <c r="K376" i="13"/>
  <c r="N376" i="13"/>
  <c r="J376" i="13"/>
  <c r="I376" i="13"/>
  <c r="H382" i="13"/>
  <c r="N39" i="13"/>
  <c r="N48" i="13"/>
  <c r="N57" i="13"/>
  <c r="N66" i="13"/>
  <c r="N75" i="13"/>
  <c r="N84" i="13"/>
  <c r="N93" i="13"/>
  <c r="N102" i="13"/>
  <c r="N111" i="13"/>
  <c r="N120" i="13"/>
  <c r="N129" i="13"/>
  <c r="N138" i="13"/>
  <c r="N147" i="13"/>
  <c r="N156" i="13"/>
  <c r="N165" i="13"/>
  <c r="N174" i="13"/>
  <c r="N183" i="13"/>
  <c r="N192" i="13"/>
  <c r="N201" i="13"/>
  <c r="N210" i="13"/>
  <c r="N219" i="13"/>
  <c r="N228" i="13"/>
  <c r="N237" i="13"/>
  <c r="N379" i="13"/>
  <c r="N370" i="13"/>
  <c r="J371" i="13"/>
  <c r="M369" i="13"/>
  <c r="J372" i="13"/>
  <c r="M370" i="13"/>
  <c r="N8" i="13"/>
  <c r="N11" i="13"/>
  <c r="N14" i="13"/>
  <c r="N17" i="13"/>
  <c r="N20" i="13"/>
  <c r="N23" i="13"/>
  <c r="N26" i="13"/>
  <c r="N29" i="13"/>
  <c r="N32" i="13"/>
  <c r="N35" i="13"/>
  <c r="G381" i="13"/>
  <c r="J373" i="13"/>
  <c r="M371" i="13"/>
  <c r="N143" i="13"/>
  <c r="N185" i="13"/>
  <c r="N197" i="13"/>
  <c r="L215" i="13"/>
  <c r="N215" i="13"/>
  <c r="N227" i="13"/>
  <c r="N245" i="13"/>
  <c r="J263" i="13"/>
  <c r="L263" i="13"/>
  <c r="I263" i="13"/>
  <c r="K263" i="13"/>
  <c r="H263" i="13"/>
  <c r="G263" i="13"/>
  <c r="N263" i="13"/>
  <c r="F263" i="13"/>
  <c r="M263" i="13"/>
  <c r="I281" i="13"/>
  <c r="H281" i="13"/>
  <c r="G281" i="13"/>
  <c r="F281" i="13"/>
  <c r="N281" i="13"/>
  <c r="K281" i="13"/>
  <c r="J281" i="13"/>
  <c r="M281" i="13"/>
  <c r="L281" i="13"/>
  <c r="I299" i="13"/>
  <c r="H299" i="13"/>
  <c r="G299" i="13"/>
  <c r="F299" i="13"/>
  <c r="N299" i="13"/>
  <c r="K299" i="13"/>
  <c r="J299" i="13"/>
  <c r="M299" i="13"/>
  <c r="L299" i="13"/>
  <c r="I317" i="13"/>
  <c r="H317" i="13"/>
  <c r="G317" i="13"/>
  <c r="F317" i="13"/>
  <c r="N317" i="13"/>
  <c r="J317" i="13"/>
  <c r="M317" i="13"/>
  <c r="L317" i="13"/>
  <c r="K317" i="13"/>
  <c r="I335" i="13"/>
  <c r="H335" i="13"/>
  <c r="G335" i="13"/>
  <c r="F335" i="13"/>
  <c r="N335" i="13"/>
  <c r="J335" i="13"/>
  <c r="K335" i="13"/>
  <c r="M335" i="13"/>
  <c r="L335" i="13"/>
  <c r="M389" i="13"/>
  <c r="H389" i="13"/>
  <c r="J389" i="13"/>
  <c r="L389" i="13"/>
  <c r="E42" i="13"/>
  <c r="E48" i="13"/>
  <c r="E54" i="13"/>
  <c r="E60" i="13"/>
  <c r="E66" i="13"/>
  <c r="E72" i="13"/>
  <c r="E78" i="13"/>
  <c r="E84" i="13"/>
  <c r="E90" i="13"/>
  <c r="E96" i="13"/>
  <c r="E102" i="13"/>
  <c r="E108" i="13"/>
  <c r="E114" i="13"/>
  <c r="E120" i="13"/>
  <c r="E126" i="13"/>
  <c r="E263" i="13"/>
  <c r="E275" i="13"/>
  <c r="E287" i="13"/>
  <c r="E299" i="13"/>
  <c r="E311" i="13"/>
  <c r="E323" i="13"/>
  <c r="G384" i="13"/>
  <c r="N389" i="13"/>
  <c r="J374" i="13"/>
  <c r="N179" i="13"/>
  <c r="E191" i="13"/>
  <c r="N191" i="13"/>
  <c r="H209" i="13"/>
  <c r="N209" i="13"/>
  <c r="N233" i="13"/>
  <c r="J251" i="13"/>
  <c r="N251" i="13"/>
  <c r="I251" i="13"/>
  <c r="L251" i="13"/>
  <c r="H251" i="13"/>
  <c r="G251" i="13"/>
  <c r="F251" i="13"/>
  <c r="K251" i="13"/>
  <c r="M251" i="13"/>
  <c r="G269" i="13"/>
  <c r="F269" i="13"/>
  <c r="N269" i="13"/>
  <c r="H269" i="13"/>
  <c r="M269" i="13"/>
  <c r="L269" i="13"/>
  <c r="K269" i="13"/>
  <c r="J269" i="13"/>
  <c r="I269" i="13"/>
  <c r="I287" i="13"/>
  <c r="H287" i="13"/>
  <c r="G287" i="13"/>
  <c r="F287" i="13"/>
  <c r="N287" i="13"/>
  <c r="K287" i="13"/>
  <c r="M287" i="13"/>
  <c r="J287" i="13"/>
  <c r="L287" i="13"/>
  <c r="I305" i="13"/>
  <c r="H305" i="13"/>
  <c r="G305" i="13"/>
  <c r="F305" i="13"/>
  <c r="N305" i="13"/>
  <c r="K305" i="13"/>
  <c r="J305" i="13"/>
  <c r="M305" i="13"/>
  <c r="L305" i="13"/>
  <c r="I323" i="13"/>
  <c r="H323" i="13"/>
  <c r="G323" i="13"/>
  <c r="F323" i="13"/>
  <c r="N323" i="13"/>
  <c r="K323" i="13"/>
  <c r="M323" i="13"/>
  <c r="J323" i="13"/>
  <c r="L323" i="13"/>
  <c r="I347" i="13"/>
  <c r="H347" i="13"/>
  <c r="G347" i="13"/>
  <c r="F347" i="13"/>
  <c r="N347" i="13"/>
  <c r="K347" i="13"/>
  <c r="J347" i="13"/>
  <c r="M347" i="13"/>
  <c r="L347" i="13"/>
  <c r="M383" i="13"/>
  <c r="J383" i="13"/>
  <c r="L383" i="13"/>
  <c r="L13" i="13"/>
  <c r="F13" i="13"/>
  <c r="F43" i="13"/>
  <c r="N43" i="13"/>
  <c r="L49" i="13"/>
  <c r="N49" i="13"/>
  <c r="N61" i="13"/>
  <c r="N67" i="13"/>
  <c r="N73" i="13"/>
  <c r="K79" i="13"/>
  <c r="N79" i="13"/>
  <c r="N85" i="13"/>
  <c r="K91" i="13"/>
  <c r="N91" i="13"/>
  <c r="N97" i="13"/>
  <c r="K103" i="13"/>
  <c r="N103" i="13"/>
  <c r="N109" i="13"/>
  <c r="N121" i="13"/>
  <c r="K127" i="13"/>
  <c r="N127" i="13"/>
  <c r="F133" i="13"/>
  <c r="N133" i="13"/>
  <c r="N139" i="13"/>
  <c r="J246" i="13"/>
  <c r="I246" i="13"/>
  <c r="F246" i="13"/>
  <c r="H246" i="13"/>
  <c r="G246" i="13"/>
  <c r="N246" i="13"/>
  <c r="K246" i="13"/>
  <c r="M246" i="13"/>
  <c r="L246" i="13"/>
  <c r="J252" i="13"/>
  <c r="M252" i="13"/>
  <c r="I252" i="13"/>
  <c r="H252" i="13"/>
  <c r="G252" i="13"/>
  <c r="F252" i="13"/>
  <c r="L252" i="13"/>
  <c r="N252" i="13"/>
  <c r="K252" i="13"/>
  <c r="J258" i="13"/>
  <c r="I258" i="13"/>
  <c r="H258" i="13"/>
  <c r="K258" i="13"/>
  <c r="G258" i="13"/>
  <c r="M258" i="13"/>
  <c r="F258" i="13"/>
  <c r="N258" i="13"/>
  <c r="L258" i="13"/>
  <c r="J264" i="13"/>
  <c r="I264" i="13"/>
  <c r="N264" i="13"/>
  <c r="H264" i="13"/>
  <c r="G264" i="13"/>
  <c r="F264" i="13"/>
  <c r="M264" i="13"/>
  <c r="L264" i="13"/>
  <c r="K264" i="13"/>
  <c r="I270" i="13"/>
  <c r="G270" i="13"/>
  <c r="F270" i="13"/>
  <c r="N270" i="13"/>
  <c r="H270" i="13"/>
  <c r="J270" i="13"/>
  <c r="L270" i="13"/>
  <c r="M270" i="13"/>
  <c r="K270" i="13"/>
  <c r="I276" i="13"/>
  <c r="G276" i="13"/>
  <c r="F276" i="13"/>
  <c r="N276" i="13"/>
  <c r="M276" i="13"/>
  <c r="L276" i="13"/>
  <c r="K276" i="13"/>
  <c r="J276" i="13"/>
  <c r="H276" i="13"/>
  <c r="I282" i="13"/>
  <c r="H282" i="13"/>
  <c r="G282" i="13"/>
  <c r="F282" i="13"/>
  <c r="N282" i="13"/>
  <c r="M282" i="13"/>
  <c r="L282" i="13"/>
  <c r="K282" i="13"/>
  <c r="J282" i="13"/>
  <c r="I288" i="13"/>
  <c r="H288" i="13"/>
  <c r="G288" i="13"/>
  <c r="F288" i="13"/>
  <c r="N288" i="13"/>
  <c r="M288" i="13"/>
  <c r="L288" i="13"/>
  <c r="K288" i="13"/>
  <c r="J288" i="13"/>
  <c r="I294" i="13"/>
  <c r="H294" i="13"/>
  <c r="G294" i="13"/>
  <c r="F294" i="13"/>
  <c r="N294" i="13"/>
  <c r="M294" i="13"/>
  <c r="L294" i="13"/>
  <c r="K294" i="13"/>
  <c r="J294" i="13"/>
  <c r="I300" i="13"/>
  <c r="H300" i="13"/>
  <c r="G300" i="13"/>
  <c r="F300" i="13"/>
  <c r="N300" i="13"/>
  <c r="M300" i="13"/>
  <c r="L300" i="13"/>
  <c r="K300" i="13"/>
  <c r="J300" i="13"/>
  <c r="I306" i="13"/>
  <c r="H306" i="13"/>
  <c r="G306" i="13"/>
  <c r="F306" i="13"/>
  <c r="N306" i="13"/>
  <c r="M306" i="13"/>
  <c r="L306" i="13"/>
  <c r="K306" i="13"/>
  <c r="J306" i="13"/>
  <c r="I312" i="13"/>
  <c r="H312" i="13"/>
  <c r="G312" i="13"/>
  <c r="F312" i="13"/>
  <c r="N312" i="13"/>
  <c r="M312" i="13"/>
  <c r="L312" i="13"/>
  <c r="K312" i="13"/>
  <c r="J312" i="13"/>
  <c r="I318" i="13"/>
  <c r="H318" i="13"/>
  <c r="G318" i="13"/>
  <c r="F318" i="13"/>
  <c r="N318" i="13"/>
  <c r="M318" i="13"/>
  <c r="L318" i="13"/>
  <c r="K318" i="13"/>
  <c r="J318" i="13"/>
  <c r="I324" i="13"/>
  <c r="H324" i="13"/>
  <c r="G324" i="13"/>
  <c r="F324" i="13"/>
  <c r="N324" i="13"/>
  <c r="M324" i="13"/>
  <c r="L324" i="13"/>
  <c r="K324" i="13"/>
  <c r="J324" i="13"/>
  <c r="I330" i="13"/>
  <c r="H330" i="13"/>
  <c r="G330" i="13"/>
  <c r="F330" i="13"/>
  <c r="N330" i="13"/>
  <c r="M330" i="13"/>
  <c r="L330" i="13"/>
  <c r="K330" i="13"/>
  <c r="J330" i="13"/>
  <c r="I336" i="13"/>
  <c r="H336" i="13"/>
  <c r="G336" i="13"/>
  <c r="F336" i="13"/>
  <c r="N336" i="13"/>
  <c r="M336" i="13"/>
  <c r="L336" i="13"/>
  <c r="K336" i="13"/>
  <c r="J336" i="13"/>
  <c r="I342" i="13"/>
  <c r="H342" i="13"/>
  <c r="G342" i="13"/>
  <c r="F342" i="13"/>
  <c r="N342" i="13"/>
  <c r="M342" i="13"/>
  <c r="L342" i="13"/>
  <c r="K342" i="13"/>
  <c r="J342" i="13"/>
  <c r="I348" i="13"/>
  <c r="H348" i="13"/>
  <c r="G348" i="13"/>
  <c r="F348" i="13"/>
  <c r="N348" i="13"/>
  <c r="M348" i="13"/>
  <c r="L348" i="13"/>
  <c r="K348" i="13"/>
  <c r="J348" i="13"/>
  <c r="L354" i="13"/>
  <c r="H354" i="13"/>
  <c r="F354" i="13"/>
  <c r="N354" i="13"/>
  <c r="I354" i="13"/>
  <c r="G354" i="13"/>
  <c r="K354" i="13"/>
  <c r="J354" i="13"/>
  <c r="M354" i="13"/>
  <c r="G360" i="13"/>
  <c r="K360" i="13"/>
  <c r="F360" i="13"/>
  <c r="I360" i="13"/>
  <c r="M360" i="13"/>
  <c r="N360" i="13"/>
  <c r="H360" i="13"/>
  <c r="Q360" i="13" s="1"/>
  <c r="L360" i="13"/>
  <c r="J360" i="13"/>
  <c r="M366" i="13"/>
  <c r="L366" i="13"/>
  <c r="N366" i="13"/>
  <c r="F366" i="13"/>
  <c r="K366" i="13"/>
  <c r="J366" i="13"/>
  <c r="I366" i="13"/>
  <c r="H366" i="13"/>
  <c r="H372" i="13"/>
  <c r="N372" i="13"/>
  <c r="G372" i="13"/>
  <c r="K378" i="13"/>
  <c r="L20" i="13"/>
  <c r="N42" i="13"/>
  <c r="N51" i="13"/>
  <c r="N60" i="13"/>
  <c r="N69" i="13"/>
  <c r="N78" i="13"/>
  <c r="N87" i="13"/>
  <c r="N96" i="13"/>
  <c r="N105" i="13"/>
  <c r="N114" i="13"/>
  <c r="N123" i="13"/>
  <c r="N132" i="13"/>
  <c r="N141" i="13"/>
  <c r="N150" i="13"/>
  <c r="N159" i="13"/>
  <c r="N168" i="13"/>
  <c r="N177" i="13"/>
  <c r="N186" i="13"/>
  <c r="N195" i="13"/>
  <c r="N204" i="13"/>
  <c r="N213" i="13"/>
  <c r="N222" i="13"/>
  <c r="N231" i="13"/>
  <c r="N240" i="13"/>
  <c r="F378" i="13"/>
  <c r="N367" i="13"/>
  <c r="F369" i="13"/>
  <c r="H373" i="13"/>
  <c r="K370" i="13"/>
  <c r="N149" i="13"/>
  <c r="N6" i="13"/>
  <c r="N203" i="13"/>
  <c r="F221" i="13"/>
  <c r="N221" i="13"/>
  <c r="N239" i="13"/>
  <c r="J257" i="13"/>
  <c r="I257" i="13"/>
  <c r="K257" i="13"/>
  <c r="H257" i="13"/>
  <c r="N257" i="13"/>
  <c r="M257" i="13"/>
  <c r="L257" i="13"/>
  <c r="G257" i="13"/>
  <c r="F257" i="13"/>
  <c r="I275" i="13"/>
  <c r="G275" i="13"/>
  <c r="F275" i="13"/>
  <c r="N275" i="13"/>
  <c r="L275" i="13"/>
  <c r="K275" i="13"/>
  <c r="J275" i="13"/>
  <c r="H275" i="13"/>
  <c r="M275" i="13"/>
  <c r="I293" i="13"/>
  <c r="H293" i="13"/>
  <c r="G293" i="13"/>
  <c r="F293" i="13"/>
  <c r="N293" i="13"/>
  <c r="J293" i="13"/>
  <c r="K293" i="13"/>
  <c r="M293" i="13"/>
  <c r="L293" i="13"/>
  <c r="I311" i="13"/>
  <c r="H311" i="13"/>
  <c r="G311" i="13"/>
  <c r="F311" i="13"/>
  <c r="N311" i="13"/>
  <c r="K311" i="13"/>
  <c r="M311" i="13"/>
  <c r="L311" i="13"/>
  <c r="J311" i="13"/>
  <c r="I329" i="13"/>
  <c r="H329" i="13"/>
  <c r="G329" i="13"/>
  <c r="F329" i="13"/>
  <c r="N329" i="13"/>
  <c r="J329" i="13"/>
  <c r="M329" i="13"/>
  <c r="L329" i="13"/>
  <c r="K329" i="13"/>
  <c r="I341" i="13"/>
  <c r="H341" i="13"/>
  <c r="G341" i="13"/>
  <c r="F341" i="13"/>
  <c r="N341" i="13"/>
  <c r="K341" i="13"/>
  <c r="M341" i="13"/>
  <c r="L341" i="13"/>
  <c r="J341" i="13"/>
  <c r="I353" i="13"/>
  <c r="H353" i="13"/>
  <c r="G353" i="13"/>
  <c r="F353" i="13"/>
  <c r="N353" i="13"/>
  <c r="J353" i="13"/>
  <c r="K353" i="13"/>
  <c r="M353" i="13"/>
  <c r="L353" i="13"/>
  <c r="E359" i="13"/>
  <c r="G359" i="13"/>
  <c r="F359" i="13"/>
  <c r="H359" i="13"/>
  <c r="I359" i="13"/>
  <c r="M359" i="13"/>
  <c r="N359" i="13"/>
  <c r="J359" i="13"/>
  <c r="L359" i="13"/>
  <c r="K359" i="13"/>
  <c r="H365" i="13"/>
  <c r="N365" i="13"/>
  <c r="L365" i="13"/>
  <c r="F365" i="13"/>
  <c r="M365" i="13"/>
  <c r="J365" i="13"/>
  <c r="K365" i="13"/>
  <c r="G365" i="13"/>
  <c r="I365" i="13"/>
  <c r="I371" i="13"/>
  <c r="H371" i="13"/>
  <c r="N371" i="13"/>
  <c r="G371" i="13"/>
  <c r="G377" i="13"/>
  <c r="K377" i="13"/>
  <c r="L377" i="13"/>
  <c r="M377" i="13"/>
  <c r="F377" i="13"/>
  <c r="N377" i="13"/>
  <c r="J377" i="13"/>
  <c r="I377" i="13"/>
  <c r="H377" i="13"/>
  <c r="L25" i="13"/>
  <c r="H25" i="13"/>
  <c r="L37" i="13"/>
  <c r="K55" i="13"/>
  <c r="N55" i="13"/>
  <c r="N115" i="13"/>
  <c r="H145" i="13"/>
  <c r="N145" i="13"/>
  <c r="N151" i="13"/>
  <c r="F157" i="13"/>
  <c r="N157" i="13"/>
  <c r="N163" i="13"/>
  <c r="N169" i="13"/>
  <c r="G175" i="13"/>
  <c r="N175" i="13"/>
  <c r="N181" i="13"/>
  <c r="N187" i="13"/>
  <c r="E390" i="13"/>
  <c r="M29" i="13"/>
  <c r="I378" i="13"/>
  <c r="F370" i="13"/>
  <c r="K371" i="13"/>
  <c r="N9" i="13"/>
  <c r="N12" i="13"/>
  <c r="N15" i="13"/>
  <c r="N18" i="13"/>
  <c r="N21" i="13"/>
  <c r="N24" i="13"/>
  <c r="N27" i="13"/>
  <c r="N30" i="13"/>
  <c r="N33" i="13"/>
  <c r="N36" i="13"/>
  <c r="F371" i="13"/>
  <c r="H375" i="13"/>
  <c r="K372" i="13"/>
  <c r="F372" i="13"/>
  <c r="H376" i="13"/>
  <c r="K373" i="13"/>
  <c r="N173" i="13"/>
  <c r="N38" i="13"/>
  <c r="G62" i="13"/>
  <c r="N62" i="13"/>
  <c r="H86" i="13"/>
  <c r="N86" i="13"/>
  <c r="G110" i="13"/>
  <c r="N110" i="13"/>
  <c r="N134" i="13"/>
  <c r="N211" i="13"/>
  <c r="N241" i="13"/>
  <c r="J259" i="13"/>
  <c r="M259" i="13"/>
  <c r="I259" i="13"/>
  <c r="H259" i="13"/>
  <c r="G259" i="13"/>
  <c r="F259" i="13"/>
  <c r="L259" i="13"/>
  <c r="N259" i="13"/>
  <c r="K259" i="13"/>
  <c r="I289" i="13"/>
  <c r="H289" i="13"/>
  <c r="G289" i="13"/>
  <c r="F289" i="13"/>
  <c r="N289" i="13"/>
  <c r="K289" i="13"/>
  <c r="J289" i="13"/>
  <c r="L289" i="13"/>
  <c r="M289" i="13"/>
  <c r="I319" i="13"/>
  <c r="H319" i="13"/>
  <c r="G319" i="13"/>
  <c r="F319" i="13"/>
  <c r="N319" i="13"/>
  <c r="K319" i="13"/>
  <c r="J319" i="13"/>
  <c r="L319" i="13"/>
  <c r="M319" i="13"/>
  <c r="I349" i="13"/>
  <c r="H349" i="13"/>
  <c r="G349" i="13"/>
  <c r="F349" i="13"/>
  <c r="N349" i="13"/>
  <c r="K349" i="13"/>
  <c r="J349" i="13"/>
  <c r="M349" i="13"/>
  <c r="L349" i="13"/>
  <c r="N146" i="13"/>
  <c r="N176" i="13"/>
  <c r="E146" i="13"/>
  <c r="N194" i="13"/>
  <c r="N200" i="13"/>
  <c r="N206" i="13"/>
  <c r="N212" i="13"/>
  <c r="N218" i="13"/>
  <c r="N224" i="13"/>
  <c r="K230" i="13"/>
  <c r="N230" i="13"/>
  <c r="N236" i="13"/>
  <c r="N242" i="13"/>
  <c r="J248" i="13"/>
  <c r="K248" i="13"/>
  <c r="I248" i="13"/>
  <c r="G248" i="13"/>
  <c r="F248" i="13"/>
  <c r="H248" i="13"/>
  <c r="M248" i="13"/>
  <c r="L248" i="13"/>
  <c r="N248" i="13"/>
  <c r="J254" i="13"/>
  <c r="L254" i="13"/>
  <c r="I254" i="13"/>
  <c r="N254" i="13"/>
  <c r="H254" i="13"/>
  <c r="G254" i="13"/>
  <c r="F254" i="13"/>
  <c r="K254" i="13"/>
  <c r="M254" i="13"/>
  <c r="J260" i="13"/>
  <c r="I260" i="13"/>
  <c r="H260" i="13"/>
  <c r="G260" i="13"/>
  <c r="L260" i="13"/>
  <c r="K260" i="13"/>
  <c r="F260" i="13"/>
  <c r="N260" i="13"/>
  <c r="M260" i="13"/>
  <c r="J266" i="13"/>
  <c r="M266" i="13"/>
  <c r="I266" i="13"/>
  <c r="H266" i="13"/>
  <c r="L266" i="13"/>
  <c r="K266" i="13"/>
  <c r="G266" i="13"/>
  <c r="F266" i="13"/>
  <c r="N266" i="13"/>
  <c r="I272" i="13"/>
  <c r="G272" i="13"/>
  <c r="F272" i="13"/>
  <c r="N272" i="13"/>
  <c r="K272" i="13"/>
  <c r="J272" i="13"/>
  <c r="M272" i="13"/>
  <c r="H272" i="13"/>
  <c r="L272" i="13"/>
  <c r="I278" i="13"/>
  <c r="H278" i="13"/>
  <c r="G278" i="13"/>
  <c r="F278" i="13"/>
  <c r="N278" i="13"/>
  <c r="J278" i="13"/>
  <c r="M278" i="13"/>
  <c r="K278" i="13"/>
  <c r="L278" i="13"/>
  <c r="I284" i="13"/>
  <c r="H284" i="13"/>
  <c r="G284" i="13"/>
  <c r="F284" i="13"/>
  <c r="N284" i="13"/>
  <c r="M284" i="13"/>
  <c r="L284" i="13"/>
  <c r="K284" i="13"/>
  <c r="J284" i="13"/>
  <c r="I290" i="13"/>
  <c r="H290" i="13"/>
  <c r="G290" i="13"/>
  <c r="F290" i="13"/>
  <c r="N290" i="13"/>
  <c r="K290" i="13"/>
  <c r="J290" i="13"/>
  <c r="M290" i="13"/>
  <c r="L290" i="13"/>
  <c r="I296" i="13"/>
  <c r="H296" i="13"/>
  <c r="G296" i="13"/>
  <c r="F296" i="13"/>
  <c r="N296" i="13"/>
  <c r="J296" i="13"/>
  <c r="K296" i="13"/>
  <c r="M296" i="13"/>
  <c r="L296" i="13"/>
  <c r="I302" i="13"/>
  <c r="H302" i="13"/>
  <c r="G302" i="13"/>
  <c r="F302" i="13"/>
  <c r="N302" i="13"/>
  <c r="J302" i="13"/>
  <c r="M302" i="13"/>
  <c r="L302" i="13"/>
  <c r="K302" i="13"/>
  <c r="I308" i="13"/>
  <c r="H308" i="13"/>
  <c r="G308" i="13"/>
  <c r="F308" i="13"/>
  <c r="N308" i="13"/>
  <c r="K308" i="13"/>
  <c r="M308" i="13"/>
  <c r="J308" i="13"/>
  <c r="L308" i="13"/>
  <c r="I314" i="13"/>
  <c r="H314" i="13"/>
  <c r="G314" i="13"/>
  <c r="F314" i="13"/>
  <c r="N314" i="13"/>
  <c r="J314" i="13"/>
  <c r="K314" i="13"/>
  <c r="M314" i="13"/>
  <c r="L314" i="13"/>
  <c r="I320" i="13"/>
  <c r="H320" i="13"/>
  <c r="G320" i="13"/>
  <c r="F320" i="13"/>
  <c r="N320" i="13"/>
  <c r="J320" i="13"/>
  <c r="K320" i="13"/>
  <c r="M320" i="13"/>
  <c r="L320" i="13"/>
  <c r="I326" i="13"/>
  <c r="H326" i="13"/>
  <c r="G326" i="13"/>
  <c r="F326" i="13"/>
  <c r="N326" i="13"/>
  <c r="J326" i="13"/>
  <c r="K326" i="13"/>
  <c r="M326" i="13"/>
  <c r="L326" i="13"/>
  <c r="I332" i="13"/>
  <c r="H332" i="13"/>
  <c r="G332" i="13"/>
  <c r="F332" i="13"/>
  <c r="N332" i="13"/>
  <c r="K332" i="13"/>
  <c r="M332" i="13"/>
  <c r="J332" i="13"/>
  <c r="L332" i="13"/>
  <c r="I338" i="13"/>
  <c r="H338" i="13"/>
  <c r="G338" i="13"/>
  <c r="F338" i="13"/>
  <c r="N338" i="13"/>
  <c r="J338" i="13"/>
  <c r="K338" i="13"/>
  <c r="M338" i="13"/>
  <c r="L338" i="13"/>
  <c r="I344" i="13"/>
  <c r="H344" i="13"/>
  <c r="G344" i="13"/>
  <c r="F344" i="13"/>
  <c r="N344" i="13"/>
  <c r="J344" i="13"/>
  <c r="M344" i="13"/>
  <c r="L344" i="13"/>
  <c r="K344" i="13"/>
  <c r="I350" i="13"/>
  <c r="H350" i="13"/>
  <c r="G350" i="13"/>
  <c r="F350" i="13"/>
  <c r="N350" i="13"/>
  <c r="J350" i="13"/>
  <c r="M350" i="13"/>
  <c r="K350" i="13"/>
  <c r="L350" i="13"/>
  <c r="K356" i="13"/>
  <c r="H356" i="13"/>
  <c r="M356" i="13"/>
  <c r="N356" i="13"/>
  <c r="F356" i="13"/>
  <c r="L356" i="13"/>
  <c r="G356" i="13"/>
  <c r="J356" i="13"/>
  <c r="I356" i="13"/>
  <c r="I362" i="13"/>
  <c r="H362" i="13"/>
  <c r="L362" i="13"/>
  <c r="K362" i="13"/>
  <c r="F362" i="13"/>
  <c r="J362" i="13"/>
  <c r="M362" i="13"/>
  <c r="N362" i="13"/>
  <c r="G362" i="13"/>
  <c r="M368" i="13"/>
  <c r="L368" i="13"/>
  <c r="F368" i="13"/>
  <c r="K368" i="13"/>
  <c r="J368" i="13"/>
  <c r="I368" i="13"/>
  <c r="H368" i="13"/>
  <c r="N368" i="13"/>
  <c r="G374" i="13"/>
  <c r="M374" i="13"/>
  <c r="L374" i="13"/>
  <c r="N374" i="13"/>
  <c r="F374" i="13"/>
  <c r="K374" i="13"/>
  <c r="H380" i="13"/>
  <c r="J380" i="13"/>
  <c r="M386" i="13"/>
  <c r="H386" i="13"/>
  <c r="L386" i="13"/>
  <c r="F386" i="13"/>
  <c r="I386" i="13"/>
  <c r="G386" i="13"/>
  <c r="N45" i="13"/>
  <c r="N63" i="13"/>
  <c r="N90" i="13"/>
  <c r="N99" i="13"/>
  <c r="N108" i="13"/>
  <c r="N135" i="13"/>
  <c r="N153" i="13"/>
  <c r="N171" i="13"/>
  <c r="N198" i="13"/>
  <c r="N225" i="13"/>
  <c r="K380" i="13"/>
  <c r="G366" i="13"/>
  <c r="I372" i="13"/>
  <c r="L369" i="13"/>
  <c r="F379" i="13"/>
  <c r="G387" i="13"/>
  <c r="H383" i="13"/>
  <c r="F383" i="13"/>
  <c r="I387" i="13"/>
  <c r="J386" i="13"/>
  <c r="K381" i="13"/>
  <c r="L380" i="13"/>
  <c r="M380" i="13"/>
  <c r="N380" i="13"/>
  <c r="F384" i="13"/>
  <c r="G388" i="13"/>
  <c r="H384" i="13"/>
  <c r="F385" i="13"/>
  <c r="I388" i="13"/>
  <c r="J387" i="13"/>
  <c r="K382" i="13"/>
  <c r="L381" i="13"/>
  <c r="M381" i="13"/>
  <c r="N381" i="13"/>
  <c r="F388" i="13"/>
  <c r="G389" i="13"/>
  <c r="H385" i="13"/>
  <c r="F389" i="13"/>
  <c r="I389" i="13"/>
  <c r="J388" i="13"/>
  <c r="K383" i="13"/>
  <c r="L382" i="13"/>
  <c r="M382" i="13"/>
  <c r="N382" i="13"/>
  <c r="G379" i="13"/>
  <c r="H387" i="13"/>
  <c r="I379" i="13"/>
  <c r="J378" i="13"/>
  <c r="K385" i="13"/>
  <c r="L384" i="13"/>
  <c r="M384" i="13"/>
  <c r="N384" i="13"/>
  <c r="G380" i="13"/>
  <c r="F381" i="13"/>
  <c r="H388" i="13"/>
  <c r="I380" i="13"/>
  <c r="J379" i="13"/>
  <c r="K386" i="13"/>
  <c r="L385" i="13"/>
  <c r="M385" i="13"/>
  <c r="N385" i="13"/>
  <c r="G382" i="13"/>
  <c r="H378" i="13"/>
  <c r="I382" i="13"/>
  <c r="J381" i="13"/>
  <c r="F382" i="13"/>
  <c r="K388" i="13"/>
  <c r="L387" i="13"/>
  <c r="M387" i="13"/>
  <c r="N387" i="13"/>
  <c r="G383" i="13"/>
  <c r="H379" i="13"/>
  <c r="I383" i="13"/>
  <c r="J382" i="13"/>
  <c r="F387" i="13"/>
  <c r="K389" i="13"/>
  <c r="L388" i="13"/>
  <c r="M388" i="13"/>
  <c r="N388" i="13"/>
  <c r="G385" i="13"/>
  <c r="H381" i="13"/>
  <c r="I385" i="13"/>
  <c r="J384" i="13"/>
  <c r="K379" i="13"/>
  <c r="L378" i="13"/>
  <c r="M378" i="13"/>
  <c r="N378" i="13"/>
  <c r="H391" i="13"/>
  <c r="G397" i="13"/>
  <c r="N394" i="13"/>
  <c r="G398" i="13"/>
  <c r="N395" i="13"/>
  <c r="N396" i="13"/>
  <c r="M397" i="13"/>
  <c r="H396" i="13"/>
  <c r="I391" i="13"/>
  <c r="J401" i="13"/>
  <c r="I392" i="13"/>
  <c r="J390" i="13"/>
  <c r="N400" i="13"/>
  <c r="I400" i="13"/>
  <c r="E182" i="13"/>
  <c r="E295" i="13"/>
  <c r="E307" i="13"/>
  <c r="E147" i="13"/>
  <c r="E254" i="13"/>
  <c r="E391" i="13"/>
  <c r="J36" i="13"/>
  <c r="E158" i="13"/>
  <c r="E271" i="13"/>
  <c r="K36" i="13"/>
  <c r="E170" i="13"/>
  <c r="E319" i="13"/>
  <c r="F50" i="13"/>
  <c r="I59" i="13"/>
  <c r="M68" i="13"/>
  <c r="E132" i="13"/>
  <c r="E138" i="13"/>
  <c r="E274" i="13"/>
  <c r="E280" i="13"/>
  <c r="E286" i="13"/>
  <c r="E298" i="13"/>
  <c r="E310" i="13"/>
  <c r="E322" i="13"/>
  <c r="E334" i="13"/>
  <c r="E370" i="13"/>
  <c r="H90" i="13"/>
  <c r="E203" i="13"/>
  <c r="E209" i="13"/>
  <c r="E215" i="13"/>
  <c r="G122" i="13"/>
  <c r="E198" i="13"/>
  <c r="E329" i="13"/>
  <c r="E371" i="13"/>
  <c r="E383" i="13"/>
  <c r="E128" i="13"/>
  <c r="E247" i="13"/>
  <c r="E378" i="13"/>
  <c r="F14" i="13"/>
  <c r="E13" i="13"/>
  <c r="E37" i="13"/>
  <c r="E67" i="13"/>
  <c r="E79" i="13"/>
  <c r="E103" i="13"/>
  <c r="E150" i="13"/>
  <c r="E179" i="13"/>
  <c r="E343" i="13"/>
  <c r="E127" i="13"/>
  <c r="E139" i="13"/>
  <c r="E208" i="13"/>
  <c r="E231" i="13"/>
  <c r="E243" i="13"/>
  <c r="E249" i="13"/>
  <c r="E355" i="13"/>
  <c r="J8" i="13"/>
  <c r="J16" i="13"/>
  <c r="H23" i="13"/>
  <c r="F30" i="13"/>
  <c r="L36" i="13"/>
  <c r="J44" i="13"/>
  <c r="J52" i="13"/>
  <c r="J95" i="13"/>
  <c r="L167" i="13"/>
  <c r="H7" i="13"/>
  <c r="E25" i="13"/>
  <c r="E55" i="13"/>
  <c r="E91" i="13"/>
  <c r="E278" i="13"/>
  <c r="G23" i="13"/>
  <c r="I43" i="13"/>
  <c r="E8" i="13"/>
  <c r="E14" i="13"/>
  <c r="E20" i="13"/>
  <c r="E26" i="13"/>
  <c r="E32" i="13"/>
  <c r="E214" i="13"/>
  <c r="K8" i="13"/>
  <c r="K16" i="13"/>
  <c r="I23" i="13"/>
  <c r="G31" i="13"/>
  <c r="M37" i="13"/>
  <c r="K44" i="13"/>
  <c r="K52" i="13"/>
  <c r="G74" i="13"/>
  <c r="J127" i="13"/>
  <c r="E31" i="13"/>
  <c r="E43" i="13"/>
  <c r="E61" i="13"/>
  <c r="E85" i="13"/>
  <c r="E109" i="13"/>
  <c r="E167" i="13"/>
  <c r="E290" i="13"/>
  <c r="E314" i="13"/>
  <c r="I7" i="13"/>
  <c r="I91" i="13"/>
  <c r="E220" i="13"/>
  <c r="E226" i="13"/>
  <c r="E232" i="13"/>
  <c r="E238" i="13"/>
  <c r="E250" i="13"/>
  <c r="E327" i="13"/>
  <c r="E333" i="13"/>
  <c r="E395" i="13"/>
  <c r="L8" i="13"/>
  <c r="M17" i="13"/>
  <c r="J24" i="13"/>
  <c r="H31" i="13"/>
  <c r="L44" i="13"/>
  <c r="M53" i="13"/>
  <c r="L96" i="13"/>
  <c r="E19" i="13"/>
  <c r="E73" i="13"/>
  <c r="G11" i="13"/>
  <c r="K24" i="13"/>
  <c r="I31" i="13"/>
  <c r="F38" i="13"/>
  <c r="G47" i="13"/>
  <c r="J79" i="13"/>
  <c r="M100" i="13"/>
  <c r="M187" i="13"/>
  <c r="E7" i="13"/>
  <c r="E204" i="13"/>
  <c r="E210" i="13"/>
  <c r="E227" i="13"/>
  <c r="E239" i="13"/>
  <c r="E251" i="13"/>
  <c r="E328" i="13"/>
  <c r="H11" i="13"/>
  <c r="F18" i="13"/>
  <c r="L24" i="13"/>
  <c r="J32" i="13"/>
  <c r="J40" i="13"/>
  <c r="H47" i="13"/>
  <c r="F54" i="13"/>
  <c r="E49" i="13"/>
  <c r="I11" i="13"/>
  <c r="G19" i="13"/>
  <c r="M25" i="13"/>
  <c r="K32" i="13"/>
  <c r="K40" i="13"/>
  <c r="I47" i="13"/>
  <c r="G55" i="13"/>
  <c r="L80" i="13"/>
  <c r="F102" i="13"/>
  <c r="G209" i="13"/>
  <c r="J12" i="13"/>
  <c r="H19" i="13"/>
  <c r="L32" i="13"/>
  <c r="M41" i="13"/>
  <c r="J48" i="13"/>
  <c r="H55" i="13"/>
  <c r="M84" i="13"/>
  <c r="G106" i="13"/>
  <c r="J142" i="13"/>
  <c r="E97" i="13"/>
  <c r="E11" i="13"/>
  <c r="E17" i="13"/>
  <c r="E23" i="13"/>
  <c r="E29" i="13"/>
  <c r="E35" i="13"/>
  <c r="E41" i="13"/>
  <c r="E47" i="13"/>
  <c r="E53" i="13"/>
  <c r="E59" i="13"/>
  <c r="E65" i="13"/>
  <c r="E71" i="13"/>
  <c r="E77" i="13"/>
  <c r="E83" i="13"/>
  <c r="E89" i="13"/>
  <c r="E95" i="13"/>
  <c r="E101" i="13"/>
  <c r="E107" i="13"/>
  <c r="E113" i="13"/>
  <c r="E119" i="13"/>
  <c r="E125" i="13"/>
  <c r="E159" i="13"/>
  <c r="E165" i="13"/>
  <c r="E171" i="13"/>
  <c r="E177" i="13"/>
  <c r="E318" i="13"/>
  <c r="E335" i="13"/>
  <c r="E347" i="13"/>
  <c r="E386" i="13"/>
  <c r="K12" i="13"/>
  <c r="I19" i="13"/>
  <c r="F26" i="13"/>
  <c r="G35" i="13"/>
  <c r="K48" i="13"/>
  <c r="I55" i="13"/>
  <c r="H43" i="13"/>
  <c r="E131" i="13"/>
  <c r="E137" i="13"/>
  <c r="E342" i="13"/>
  <c r="E375" i="13"/>
  <c r="E381" i="13"/>
  <c r="E398" i="13"/>
  <c r="F6" i="13"/>
  <c r="L12" i="13"/>
  <c r="J20" i="13"/>
  <c r="J28" i="13"/>
  <c r="H35" i="13"/>
  <c r="F42" i="13"/>
  <c r="L48" i="13"/>
  <c r="G58" i="13"/>
  <c r="F86" i="13"/>
  <c r="I107" i="13"/>
  <c r="H153" i="13"/>
  <c r="J230" i="13"/>
  <c r="E6" i="13"/>
  <c r="E12" i="13"/>
  <c r="E18" i="13"/>
  <c r="E24" i="13"/>
  <c r="E30" i="13"/>
  <c r="E36" i="13"/>
  <c r="G7" i="13"/>
  <c r="M13" i="13"/>
  <c r="K20" i="13"/>
  <c r="K28" i="13"/>
  <c r="I35" i="13"/>
  <c r="G43" i="13"/>
  <c r="M49" i="13"/>
  <c r="M69" i="13"/>
  <c r="L69" i="13"/>
  <c r="K69" i="13"/>
  <c r="J69" i="13"/>
  <c r="I69" i="13"/>
  <c r="H69" i="13"/>
  <c r="G69" i="13"/>
  <c r="F69" i="13"/>
  <c r="M117" i="13"/>
  <c r="L117" i="13"/>
  <c r="K117" i="13"/>
  <c r="J117" i="13"/>
  <c r="I117" i="13"/>
  <c r="H117" i="13"/>
  <c r="G117" i="13"/>
  <c r="F117" i="13"/>
  <c r="M144" i="13"/>
  <c r="K144" i="13"/>
  <c r="I144" i="13"/>
  <c r="H144" i="13"/>
  <c r="G144" i="13"/>
  <c r="F144" i="13"/>
  <c r="L144" i="13"/>
  <c r="J144" i="13"/>
  <c r="M45" i="13"/>
  <c r="G51" i="13"/>
  <c r="E51" i="13"/>
  <c r="E93" i="13"/>
  <c r="M172" i="13"/>
  <c r="L172" i="13"/>
  <c r="K172" i="13"/>
  <c r="I172" i="13"/>
  <c r="H172" i="13"/>
  <c r="Q172" i="13" s="1"/>
  <c r="G172" i="13"/>
  <c r="F172" i="13"/>
  <c r="J172" i="13"/>
  <c r="H222" i="13"/>
  <c r="G222" i="13"/>
  <c r="F222" i="13"/>
  <c r="M222" i="13"/>
  <c r="L222" i="13"/>
  <c r="K222" i="13"/>
  <c r="J222" i="13"/>
  <c r="I222" i="13"/>
  <c r="E276" i="13"/>
  <c r="E379" i="13"/>
  <c r="K64" i="13"/>
  <c r="J64" i="13"/>
  <c r="I64" i="13"/>
  <c r="H64" i="13"/>
  <c r="G64" i="13"/>
  <c r="F64" i="13"/>
  <c r="M106" i="13"/>
  <c r="L106" i="13"/>
  <c r="K106" i="13"/>
  <c r="J106" i="13"/>
  <c r="I106" i="13"/>
  <c r="E211" i="13"/>
  <c r="E266" i="13"/>
  <c r="F10" i="13"/>
  <c r="L40" i="13"/>
  <c r="F46" i="13"/>
  <c r="L64" i="13"/>
  <c r="F118" i="13"/>
  <c r="I123" i="13"/>
  <c r="L128" i="13"/>
  <c r="F145" i="13"/>
  <c r="M93" i="13"/>
  <c r="L93" i="13"/>
  <c r="K93" i="13"/>
  <c r="J93" i="13"/>
  <c r="I93" i="13"/>
  <c r="H93" i="13"/>
  <c r="G93" i="13"/>
  <c r="F93" i="13"/>
  <c r="E57" i="13"/>
  <c r="E117" i="13"/>
  <c r="M189" i="13"/>
  <c r="L189" i="13"/>
  <c r="K189" i="13"/>
  <c r="J189" i="13"/>
  <c r="I189" i="13"/>
  <c r="H189" i="13"/>
  <c r="Q189" i="13" s="1"/>
  <c r="G189" i="13"/>
  <c r="M244" i="13"/>
  <c r="L244" i="13"/>
  <c r="K244" i="13"/>
  <c r="J244" i="13"/>
  <c r="I244" i="13"/>
  <c r="H244" i="13"/>
  <c r="G244" i="13"/>
  <c r="F244" i="13"/>
  <c r="H51" i="13"/>
  <c r="M94" i="13"/>
  <c r="L94" i="13"/>
  <c r="K94" i="13"/>
  <c r="J94" i="13"/>
  <c r="I94" i="13"/>
  <c r="E189" i="13"/>
  <c r="E255" i="13"/>
  <c r="E363" i="13"/>
  <c r="L112" i="13"/>
  <c r="E10" i="13"/>
  <c r="E28" i="13"/>
  <c r="E40" i="13"/>
  <c r="E52" i="13"/>
  <c r="E58" i="13"/>
  <c r="E64" i="13"/>
  <c r="E70" i="13"/>
  <c r="E82" i="13"/>
  <c r="E88" i="13"/>
  <c r="E94" i="13"/>
  <c r="E100" i="13"/>
  <c r="E106" i="13"/>
  <c r="E112" i="13"/>
  <c r="E118" i="13"/>
  <c r="E124" i="13"/>
  <c r="M129" i="13"/>
  <c r="L129" i="13"/>
  <c r="K129" i="13"/>
  <c r="J129" i="13"/>
  <c r="I129" i="13"/>
  <c r="H129" i="13"/>
  <c r="Q129" i="13" s="1"/>
  <c r="G129" i="13"/>
  <c r="F129" i="13"/>
  <c r="J135" i="13"/>
  <c r="F135" i="13"/>
  <c r="M135" i="13"/>
  <c r="L135" i="13"/>
  <c r="K135" i="13"/>
  <c r="M140" i="13"/>
  <c r="K140" i="13"/>
  <c r="I140" i="13"/>
  <c r="H140" i="13"/>
  <c r="Q140" i="13" s="1"/>
  <c r="G140" i="13"/>
  <c r="F140" i="13"/>
  <c r="L140" i="13"/>
  <c r="J140" i="13"/>
  <c r="J151" i="13"/>
  <c r="H151" i="13"/>
  <c r="F151" i="13"/>
  <c r="M151" i="13"/>
  <c r="L151" i="13"/>
  <c r="K151" i="13"/>
  <c r="I151" i="13"/>
  <c r="G151" i="13"/>
  <c r="E156" i="13"/>
  <c r="M156" i="13"/>
  <c r="L156" i="13"/>
  <c r="K156" i="13"/>
  <c r="I156" i="13"/>
  <c r="H156" i="13"/>
  <c r="G156" i="13"/>
  <c r="F156" i="13"/>
  <c r="G162" i="13"/>
  <c r="F162" i="13"/>
  <c r="M162" i="13"/>
  <c r="L162" i="13"/>
  <c r="J162" i="13"/>
  <c r="I162" i="13"/>
  <c r="H162" i="13"/>
  <c r="L173" i="13"/>
  <c r="K173" i="13"/>
  <c r="J173" i="13"/>
  <c r="I173" i="13"/>
  <c r="M173" i="13"/>
  <c r="H173" i="13"/>
  <c r="G173" i="13"/>
  <c r="F173" i="13"/>
  <c r="M184" i="13"/>
  <c r="L184" i="13"/>
  <c r="K184" i="13"/>
  <c r="J184" i="13"/>
  <c r="I184" i="13"/>
  <c r="H184" i="13"/>
  <c r="Q184" i="13" s="1"/>
  <c r="G184" i="13"/>
  <c r="F184" i="13"/>
  <c r="H190" i="13"/>
  <c r="G190" i="13"/>
  <c r="F190" i="13"/>
  <c r="M190" i="13"/>
  <c r="L190" i="13"/>
  <c r="K190" i="13"/>
  <c r="J190" i="13"/>
  <c r="I190" i="13"/>
  <c r="K195" i="13"/>
  <c r="J195" i="13"/>
  <c r="I195" i="13"/>
  <c r="H195" i="13"/>
  <c r="G195" i="13"/>
  <c r="F195" i="13"/>
  <c r="M195" i="13"/>
  <c r="L195" i="13"/>
  <c r="M201" i="13"/>
  <c r="L201" i="13"/>
  <c r="K201" i="13"/>
  <c r="J201" i="13"/>
  <c r="I201" i="13"/>
  <c r="H201" i="13"/>
  <c r="G201" i="13"/>
  <c r="F201" i="13"/>
  <c r="H206" i="13"/>
  <c r="G206" i="13"/>
  <c r="F206" i="13"/>
  <c r="M206" i="13"/>
  <c r="L206" i="13"/>
  <c r="K206" i="13"/>
  <c r="J206" i="13"/>
  <c r="I206" i="13"/>
  <c r="M212" i="13"/>
  <c r="L212" i="13"/>
  <c r="K212" i="13"/>
  <c r="J212" i="13"/>
  <c r="I212" i="13"/>
  <c r="H212" i="13"/>
  <c r="Q212" i="13" s="1"/>
  <c r="G212" i="13"/>
  <c r="F212" i="13"/>
  <c r="M217" i="13"/>
  <c r="L217" i="13"/>
  <c r="K217" i="13"/>
  <c r="J217" i="13"/>
  <c r="I217" i="13"/>
  <c r="H217" i="13"/>
  <c r="Q217" i="13" s="1"/>
  <c r="G217" i="13"/>
  <c r="F217" i="13"/>
  <c r="E223" i="13"/>
  <c r="K223" i="13"/>
  <c r="J223" i="13"/>
  <c r="I223" i="13"/>
  <c r="H223" i="13"/>
  <c r="G223" i="13"/>
  <c r="F223" i="13"/>
  <c r="M223" i="13"/>
  <c r="L223" i="13"/>
  <c r="M228" i="13"/>
  <c r="L228" i="13"/>
  <c r="K228" i="13"/>
  <c r="J228" i="13"/>
  <c r="I228" i="13"/>
  <c r="H228" i="13"/>
  <c r="G228" i="13"/>
  <c r="F228" i="13"/>
  <c r="H234" i="13"/>
  <c r="G234" i="13"/>
  <c r="F234" i="13"/>
  <c r="M234" i="13"/>
  <c r="L234" i="13"/>
  <c r="K234" i="13"/>
  <c r="J234" i="13"/>
  <c r="I234" i="13"/>
  <c r="M245" i="13"/>
  <c r="L245" i="13"/>
  <c r="K245" i="13"/>
  <c r="J245" i="13"/>
  <c r="I245" i="13"/>
  <c r="H245" i="13"/>
  <c r="G245" i="13"/>
  <c r="F245" i="13"/>
  <c r="E283" i="13"/>
  <c r="E294" i="13"/>
  <c r="E321" i="13"/>
  <c r="E326" i="13"/>
  <c r="G6" i="13"/>
  <c r="J7" i="13"/>
  <c r="M8" i="13"/>
  <c r="G10" i="13"/>
  <c r="J11" i="13"/>
  <c r="M12" i="13"/>
  <c r="G14" i="13"/>
  <c r="J15" i="13"/>
  <c r="M16" i="13"/>
  <c r="G18" i="13"/>
  <c r="J19" i="13"/>
  <c r="M20" i="13"/>
  <c r="G22" i="13"/>
  <c r="J23" i="13"/>
  <c r="M24" i="13"/>
  <c r="G26" i="13"/>
  <c r="J27" i="13"/>
  <c r="M28" i="13"/>
  <c r="G30" i="13"/>
  <c r="J31" i="13"/>
  <c r="M32" i="13"/>
  <c r="G34" i="13"/>
  <c r="J35" i="13"/>
  <c r="M36" i="13"/>
  <c r="G38" i="13"/>
  <c r="J39" i="13"/>
  <c r="M40" i="13"/>
  <c r="G42" i="13"/>
  <c r="J43" i="13"/>
  <c r="M44" i="13"/>
  <c r="G46" i="13"/>
  <c r="J47" i="13"/>
  <c r="M48" i="13"/>
  <c r="G50" i="13"/>
  <c r="J51" i="13"/>
  <c r="M52" i="13"/>
  <c r="G54" i="13"/>
  <c r="J55" i="13"/>
  <c r="M64" i="13"/>
  <c r="G70" i="13"/>
  <c r="J75" i="13"/>
  <c r="M80" i="13"/>
  <c r="G86" i="13"/>
  <c r="J91" i="13"/>
  <c r="M96" i="13"/>
  <c r="G102" i="13"/>
  <c r="M112" i="13"/>
  <c r="M128" i="13"/>
  <c r="H135" i="13"/>
  <c r="G145" i="13"/>
  <c r="G171" i="13"/>
  <c r="M57" i="13"/>
  <c r="L57" i="13"/>
  <c r="K57" i="13"/>
  <c r="J57" i="13"/>
  <c r="I57" i="13"/>
  <c r="H57" i="13"/>
  <c r="G57" i="13"/>
  <c r="F57" i="13"/>
  <c r="H123" i="13"/>
  <c r="G123" i="13"/>
  <c r="F123" i="13"/>
  <c r="M123" i="13"/>
  <c r="L123" i="13"/>
  <c r="G39" i="13"/>
  <c r="E33" i="13"/>
  <c r="E81" i="13"/>
  <c r="E105" i="13"/>
  <c r="J155" i="13"/>
  <c r="I155" i="13"/>
  <c r="H155" i="13"/>
  <c r="F155" i="13"/>
  <c r="M155" i="13"/>
  <c r="L155" i="13"/>
  <c r="K155" i="13"/>
  <c r="G155" i="13"/>
  <c r="H194" i="13"/>
  <c r="G194" i="13"/>
  <c r="F194" i="13"/>
  <c r="M194" i="13"/>
  <c r="L194" i="13"/>
  <c r="K194" i="13"/>
  <c r="J194" i="13"/>
  <c r="M216" i="13"/>
  <c r="L216" i="13"/>
  <c r="K216" i="13"/>
  <c r="J216" i="13"/>
  <c r="I216" i="13"/>
  <c r="H216" i="13"/>
  <c r="G216" i="13"/>
  <c r="F216" i="13"/>
  <c r="H15" i="13"/>
  <c r="H27" i="13"/>
  <c r="M58" i="13"/>
  <c r="L58" i="13"/>
  <c r="K58" i="13"/>
  <c r="J58" i="13"/>
  <c r="I58" i="13"/>
  <c r="M82" i="13"/>
  <c r="L82" i="13"/>
  <c r="K82" i="13"/>
  <c r="J82" i="13"/>
  <c r="I82" i="13"/>
  <c r="K100" i="13"/>
  <c r="J100" i="13"/>
  <c r="I100" i="13"/>
  <c r="H100" i="13"/>
  <c r="G100" i="13"/>
  <c r="F100" i="13"/>
  <c r="M118" i="13"/>
  <c r="L118" i="13"/>
  <c r="K118" i="13"/>
  <c r="J118" i="13"/>
  <c r="I118" i="13"/>
  <c r="K167" i="13"/>
  <c r="J167" i="13"/>
  <c r="I167" i="13"/>
  <c r="H167" i="13"/>
  <c r="F167" i="13"/>
  <c r="M167" i="13"/>
  <c r="E222" i="13"/>
  <c r="E244" i="13"/>
  <c r="L28" i="13"/>
  <c r="F34" i="13"/>
  <c r="E16" i="13"/>
  <c r="E22" i="13"/>
  <c r="E34" i="13"/>
  <c r="E46" i="13"/>
  <c r="E76" i="13"/>
  <c r="H59" i="13"/>
  <c r="G59" i="13"/>
  <c r="F59" i="13"/>
  <c r="M59" i="13"/>
  <c r="L59" i="13"/>
  <c r="M65" i="13"/>
  <c r="L65" i="13"/>
  <c r="K65" i="13"/>
  <c r="J65" i="13"/>
  <c r="I65" i="13"/>
  <c r="H65" i="13"/>
  <c r="G65" i="13"/>
  <c r="F65" i="13"/>
  <c r="H71" i="13"/>
  <c r="G71" i="13"/>
  <c r="F71" i="13"/>
  <c r="M71" i="13"/>
  <c r="L71" i="13"/>
  <c r="M77" i="13"/>
  <c r="L77" i="13"/>
  <c r="K77" i="13"/>
  <c r="J77" i="13"/>
  <c r="I77" i="13"/>
  <c r="H77" i="13"/>
  <c r="G77" i="13"/>
  <c r="F77" i="13"/>
  <c r="H83" i="13"/>
  <c r="G83" i="13"/>
  <c r="F83" i="13"/>
  <c r="M83" i="13"/>
  <c r="L83" i="13"/>
  <c r="M89" i="13"/>
  <c r="L89" i="13"/>
  <c r="K89" i="13"/>
  <c r="J89" i="13"/>
  <c r="I89" i="13"/>
  <c r="H89" i="13"/>
  <c r="G89" i="13"/>
  <c r="F89" i="13"/>
  <c r="H95" i="13"/>
  <c r="Q95" i="13" s="1"/>
  <c r="G95" i="13"/>
  <c r="F95" i="13"/>
  <c r="M95" i="13"/>
  <c r="L95" i="13"/>
  <c r="M101" i="13"/>
  <c r="L101" i="13"/>
  <c r="K101" i="13"/>
  <c r="J101" i="13"/>
  <c r="I101" i="13"/>
  <c r="H101" i="13"/>
  <c r="G101" i="13"/>
  <c r="F101" i="13"/>
  <c r="H107" i="13"/>
  <c r="G107" i="13"/>
  <c r="F107" i="13"/>
  <c r="M107" i="13"/>
  <c r="L107" i="13"/>
  <c r="M113" i="13"/>
  <c r="L113" i="13"/>
  <c r="K113" i="13"/>
  <c r="J113" i="13"/>
  <c r="I113" i="13"/>
  <c r="H113" i="13"/>
  <c r="G113" i="13"/>
  <c r="F113" i="13"/>
  <c r="H119" i="13"/>
  <c r="G119" i="13"/>
  <c r="F119" i="13"/>
  <c r="M119" i="13"/>
  <c r="L119" i="13"/>
  <c r="M125" i="13"/>
  <c r="L125" i="13"/>
  <c r="K125" i="13"/>
  <c r="J125" i="13"/>
  <c r="I125" i="13"/>
  <c r="H125" i="13"/>
  <c r="G125" i="13"/>
  <c r="F125" i="13"/>
  <c r="E135" i="13"/>
  <c r="G146" i="13"/>
  <c r="M146" i="13"/>
  <c r="L146" i="13"/>
  <c r="K146" i="13"/>
  <c r="J146" i="13"/>
  <c r="I146" i="13"/>
  <c r="H146" i="13"/>
  <c r="F146" i="13"/>
  <c r="E162" i="13"/>
  <c r="K179" i="13"/>
  <c r="J179" i="13"/>
  <c r="I179" i="13"/>
  <c r="H179" i="13"/>
  <c r="Q179" i="13" s="1"/>
  <c r="F179" i="13"/>
  <c r="M179" i="13"/>
  <c r="E184" i="13"/>
  <c r="E195" i="13"/>
  <c r="E201" i="13"/>
  <c r="E206" i="13"/>
  <c r="E228" i="13"/>
  <c r="E234" i="13"/>
  <c r="E256" i="13"/>
  <c r="E267" i="13"/>
  <c r="E305" i="13"/>
  <c r="E316" i="13"/>
  <c r="E348" i="13"/>
  <c r="E354" i="13"/>
  <c r="E364" i="13"/>
  <c r="H6" i="13"/>
  <c r="K7" i="13"/>
  <c r="H10" i="13"/>
  <c r="K11" i="13"/>
  <c r="H14" i="13"/>
  <c r="K15" i="13"/>
  <c r="H18" i="13"/>
  <c r="K19" i="13"/>
  <c r="H22" i="13"/>
  <c r="K23" i="13"/>
  <c r="H26" i="13"/>
  <c r="K27" i="13"/>
  <c r="H30" i="13"/>
  <c r="K31" i="13"/>
  <c r="H34" i="13"/>
  <c r="K35" i="13"/>
  <c r="H38" i="13"/>
  <c r="K39" i="13"/>
  <c r="H42" i="13"/>
  <c r="K43" i="13"/>
  <c r="H46" i="13"/>
  <c r="K47" i="13"/>
  <c r="H50" i="13"/>
  <c r="K51" i="13"/>
  <c r="H54" i="13"/>
  <c r="K59" i="13"/>
  <c r="K75" i="13"/>
  <c r="K107" i="13"/>
  <c r="H118" i="13"/>
  <c r="K123" i="13"/>
  <c r="I135" i="13"/>
  <c r="F189" i="13"/>
  <c r="L16" i="13"/>
  <c r="F22" i="13"/>
  <c r="I39" i="13"/>
  <c r="E130" i="13"/>
  <c r="M130" i="13"/>
  <c r="L130" i="13"/>
  <c r="K130" i="13"/>
  <c r="J130" i="13"/>
  <c r="I130" i="13"/>
  <c r="M136" i="13"/>
  <c r="I136" i="13"/>
  <c r="H136" i="13"/>
  <c r="G136" i="13"/>
  <c r="F136" i="13"/>
  <c r="L136" i="13"/>
  <c r="K136" i="13"/>
  <c r="J136" i="13"/>
  <c r="L157" i="13"/>
  <c r="K157" i="13"/>
  <c r="J157" i="13"/>
  <c r="I157" i="13"/>
  <c r="M157" i="13"/>
  <c r="H157" i="13"/>
  <c r="Q157" i="13" s="1"/>
  <c r="G157" i="13"/>
  <c r="K163" i="13"/>
  <c r="J163" i="13"/>
  <c r="I163" i="13"/>
  <c r="H163" i="13"/>
  <c r="F163" i="13"/>
  <c r="M163" i="13"/>
  <c r="M168" i="13"/>
  <c r="L168" i="13"/>
  <c r="K168" i="13"/>
  <c r="I168" i="13"/>
  <c r="H168" i="13"/>
  <c r="G168" i="13"/>
  <c r="F168" i="13"/>
  <c r="J168" i="13"/>
  <c r="M185" i="13"/>
  <c r="L185" i="13"/>
  <c r="K185" i="13"/>
  <c r="J185" i="13"/>
  <c r="I185" i="13"/>
  <c r="H185" i="13"/>
  <c r="G185" i="13"/>
  <c r="F185" i="13"/>
  <c r="M196" i="13"/>
  <c r="L196" i="13"/>
  <c r="K196" i="13"/>
  <c r="J196" i="13"/>
  <c r="I196" i="13"/>
  <c r="H196" i="13"/>
  <c r="G196" i="13"/>
  <c r="F196" i="13"/>
  <c r="H202" i="13"/>
  <c r="G202" i="13"/>
  <c r="F202" i="13"/>
  <c r="M202" i="13"/>
  <c r="L202" i="13"/>
  <c r="K202" i="13"/>
  <c r="J202" i="13"/>
  <c r="I202" i="13"/>
  <c r="K207" i="13"/>
  <c r="J207" i="13"/>
  <c r="I207" i="13"/>
  <c r="H207" i="13"/>
  <c r="G207" i="13"/>
  <c r="F207" i="13"/>
  <c r="M207" i="13"/>
  <c r="L207" i="13"/>
  <c r="M213" i="13"/>
  <c r="L213" i="13"/>
  <c r="K213" i="13"/>
  <c r="J213" i="13"/>
  <c r="I213" i="13"/>
  <c r="H213" i="13"/>
  <c r="G213" i="13"/>
  <c r="F213" i="13"/>
  <c r="H218" i="13"/>
  <c r="G218" i="13"/>
  <c r="F218" i="13"/>
  <c r="M218" i="13"/>
  <c r="L218" i="13"/>
  <c r="K218" i="13"/>
  <c r="J218" i="13"/>
  <c r="I218" i="13"/>
  <c r="M224" i="13"/>
  <c r="L224" i="13"/>
  <c r="K224" i="13"/>
  <c r="J224" i="13"/>
  <c r="I224" i="13"/>
  <c r="H224" i="13"/>
  <c r="G224" i="13"/>
  <c r="F224" i="13"/>
  <c r="M229" i="13"/>
  <c r="L229" i="13"/>
  <c r="K229" i="13"/>
  <c r="J229" i="13"/>
  <c r="I229" i="13"/>
  <c r="H229" i="13"/>
  <c r="G229" i="13"/>
  <c r="F229" i="13"/>
  <c r="K235" i="13"/>
  <c r="J235" i="13"/>
  <c r="I235" i="13"/>
  <c r="H235" i="13"/>
  <c r="G235" i="13"/>
  <c r="F235" i="13"/>
  <c r="L235" i="13"/>
  <c r="M240" i="13"/>
  <c r="L240" i="13"/>
  <c r="K240" i="13"/>
  <c r="J240" i="13"/>
  <c r="I240" i="13"/>
  <c r="H240" i="13"/>
  <c r="G240" i="13"/>
  <c r="F240" i="13"/>
  <c r="I6" i="13"/>
  <c r="L7" i="13"/>
  <c r="F9" i="13"/>
  <c r="I10" i="13"/>
  <c r="L11" i="13"/>
  <c r="I14" i="13"/>
  <c r="L15" i="13"/>
  <c r="F17" i="13"/>
  <c r="I18" i="13"/>
  <c r="L19" i="13"/>
  <c r="F21" i="13"/>
  <c r="I22" i="13"/>
  <c r="L23" i="13"/>
  <c r="F25" i="13"/>
  <c r="I26" i="13"/>
  <c r="L27" i="13"/>
  <c r="F29" i="13"/>
  <c r="I30" i="13"/>
  <c r="L31" i="13"/>
  <c r="F33" i="13"/>
  <c r="I34" i="13"/>
  <c r="L35" i="13"/>
  <c r="F37" i="13"/>
  <c r="I38" i="13"/>
  <c r="L39" i="13"/>
  <c r="F41" i="13"/>
  <c r="I42" i="13"/>
  <c r="L43" i="13"/>
  <c r="F45" i="13"/>
  <c r="I46" i="13"/>
  <c r="L47" i="13"/>
  <c r="F49" i="13"/>
  <c r="I50" i="13"/>
  <c r="L51" i="13"/>
  <c r="F53" i="13"/>
  <c r="I54" i="13"/>
  <c r="G56" i="13"/>
  <c r="I71" i="13"/>
  <c r="L76" i="13"/>
  <c r="F82" i="13"/>
  <c r="I87" i="13"/>
  <c r="L92" i="13"/>
  <c r="F98" i="13"/>
  <c r="I103" i="13"/>
  <c r="I119" i="13"/>
  <c r="L124" i="13"/>
  <c r="F130" i="13"/>
  <c r="G137" i="13"/>
  <c r="L159" i="13"/>
  <c r="G193" i="13"/>
  <c r="J214" i="13"/>
  <c r="M235" i="13"/>
  <c r="H75" i="13"/>
  <c r="G75" i="13"/>
  <c r="F75" i="13"/>
  <c r="M75" i="13"/>
  <c r="L75" i="13"/>
  <c r="H111" i="13"/>
  <c r="Q111" i="13" s="1"/>
  <c r="G111" i="13"/>
  <c r="F111" i="13"/>
  <c r="M111" i="13"/>
  <c r="L111" i="13"/>
  <c r="K128" i="13"/>
  <c r="J128" i="13"/>
  <c r="I128" i="13"/>
  <c r="H128" i="13"/>
  <c r="G128" i="13"/>
  <c r="F128" i="13"/>
  <c r="J139" i="13"/>
  <c r="H139" i="13"/>
  <c r="F139" i="13"/>
  <c r="K139" i="13"/>
  <c r="I139" i="13"/>
  <c r="G139" i="13"/>
  <c r="K227" i="13"/>
  <c r="J227" i="13"/>
  <c r="I227" i="13"/>
  <c r="H227" i="13"/>
  <c r="G227" i="13"/>
  <c r="F227" i="13"/>
  <c r="M227" i="13"/>
  <c r="L227" i="13"/>
  <c r="J111" i="13"/>
  <c r="E21" i="13"/>
  <c r="E45" i="13"/>
  <c r="E87" i="13"/>
  <c r="E144" i="13"/>
  <c r="L161" i="13"/>
  <c r="K161" i="13"/>
  <c r="J161" i="13"/>
  <c r="I161" i="13"/>
  <c r="M161" i="13"/>
  <c r="H161" i="13"/>
  <c r="G161" i="13"/>
  <c r="F161" i="13"/>
  <c r="K211" i="13"/>
  <c r="J211" i="13"/>
  <c r="I211" i="13"/>
  <c r="H211" i="13"/>
  <c r="G211" i="13"/>
  <c r="F211" i="13"/>
  <c r="M211" i="13"/>
  <c r="L211" i="13"/>
  <c r="E352" i="13"/>
  <c r="H39" i="13"/>
  <c r="M70" i="13"/>
  <c r="L70" i="13"/>
  <c r="K70" i="13"/>
  <c r="J70" i="13"/>
  <c r="I70" i="13"/>
  <c r="K112" i="13"/>
  <c r="J112" i="13"/>
  <c r="I112" i="13"/>
  <c r="H112" i="13"/>
  <c r="G112" i="13"/>
  <c r="F112" i="13"/>
  <c r="L145" i="13"/>
  <c r="K145" i="13"/>
  <c r="J145" i="13"/>
  <c r="I145" i="13"/>
  <c r="M145" i="13"/>
  <c r="E172" i="13"/>
  <c r="K239" i="13"/>
  <c r="J239" i="13"/>
  <c r="I239" i="13"/>
  <c r="H239" i="13"/>
  <c r="G239" i="13"/>
  <c r="F239" i="13"/>
  <c r="M239" i="13"/>
  <c r="L239" i="13"/>
  <c r="E369" i="13"/>
  <c r="E400" i="13"/>
  <c r="I15" i="13"/>
  <c r="I27" i="13"/>
  <c r="F70" i="13"/>
  <c r="H174" i="13"/>
  <c r="G174" i="13"/>
  <c r="F174" i="13"/>
  <c r="M174" i="13"/>
  <c r="L174" i="13"/>
  <c r="J174" i="13"/>
  <c r="I174" i="13"/>
  <c r="K60" i="13"/>
  <c r="J60" i="13"/>
  <c r="I60" i="13"/>
  <c r="H60" i="13"/>
  <c r="Q60" i="13" s="1"/>
  <c r="G60" i="13"/>
  <c r="F60" i="13"/>
  <c r="M66" i="13"/>
  <c r="L66" i="13"/>
  <c r="K66" i="13"/>
  <c r="J66" i="13"/>
  <c r="I66" i="13"/>
  <c r="K72" i="13"/>
  <c r="J72" i="13"/>
  <c r="I72" i="13"/>
  <c r="H72" i="13"/>
  <c r="G72" i="13"/>
  <c r="F72" i="13"/>
  <c r="M78" i="13"/>
  <c r="L78" i="13"/>
  <c r="K78" i="13"/>
  <c r="J78" i="13"/>
  <c r="I78" i="13"/>
  <c r="K84" i="13"/>
  <c r="J84" i="13"/>
  <c r="I84" i="13"/>
  <c r="H84" i="13"/>
  <c r="Q84" i="13" s="1"/>
  <c r="G84" i="13"/>
  <c r="F84" i="13"/>
  <c r="M90" i="13"/>
  <c r="L90" i="13"/>
  <c r="K90" i="13"/>
  <c r="J90" i="13"/>
  <c r="I90" i="13"/>
  <c r="K96" i="13"/>
  <c r="J96" i="13"/>
  <c r="I96" i="13"/>
  <c r="H96" i="13"/>
  <c r="G96" i="13"/>
  <c r="F96" i="13"/>
  <c r="M102" i="13"/>
  <c r="L102" i="13"/>
  <c r="K102" i="13"/>
  <c r="J102" i="13"/>
  <c r="I102" i="13"/>
  <c r="K108" i="13"/>
  <c r="J108" i="13"/>
  <c r="I108" i="13"/>
  <c r="H108" i="13"/>
  <c r="G108" i="13"/>
  <c r="F108" i="13"/>
  <c r="M114" i="13"/>
  <c r="L114" i="13"/>
  <c r="K114" i="13"/>
  <c r="J114" i="13"/>
  <c r="I114" i="13"/>
  <c r="K120" i="13"/>
  <c r="J120" i="13"/>
  <c r="I120" i="13"/>
  <c r="H120" i="13"/>
  <c r="G120" i="13"/>
  <c r="F120" i="13"/>
  <c r="M126" i="13"/>
  <c r="L126" i="13"/>
  <c r="K126" i="13"/>
  <c r="J126" i="13"/>
  <c r="I126" i="13"/>
  <c r="E136" i="13"/>
  <c r="L141" i="13"/>
  <c r="K141" i="13"/>
  <c r="J141" i="13"/>
  <c r="I141" i="13"/>
  <c r="M141" i="13"/>
  <c r="H141" i="13"/>
  <c r="G141" i="13"/>
  <c r="F141" i="13"/>
  <c r="J147" i="13"/>
  <c r="H147" i="13"/>
  <c r="Q147" i="13" s="1"/>
  <c r="F147" i="13"/>
  <c r="K147" i="13"/>
  <c r="I147" i="13"/>
  <c r="G147" i="13"/>
  <c r="M152" i="13"/>
  <c r="L152" i="13"/>
  <c r="K152" i="13"/>
  <c r="I152" i="13"/>
  <c r="H152" i="13"/>
  <c r="G152" i="13"/>
  <c r="F152" i="13"/>
  <c r="J152" i="13"/>
  <c r="E163" i="13"/>
  <c r="E174" i="13"/>
  <c r="E185" i="13"/>
  <c r="K191" i="13"/>
  <c r="J191" i="13"/>
  <c r="I191" i="13"/>
  <c r="H191" i="13"/>
  <c r="G191" i="13"/>
  <c r="F191" i="13"/>
  <c r="M191" i="13"/>
  <c r="L191" i="13"/>
  <c r="E196" i="13"/>
  <c r="E207" i="13"/>
  <c r="E213" i="13"/>
  <c r="E218" i="13"/>
  <c r="E235" i="13"/>
  <c r="E246" i="13"/>
  <c r="E257" i="13"/>
  <c r="E268" i="13"/>
  <c r="E300" i="13"/>
  <c r="E306" i="13"/>
  <c r="J6" i="13"/>
  <c r="M7" i="13"/>
  <c r="G9" i="13"/>
  <c r="J10" i="13"/>
  <c r="M11" i="13"/>
  <c r="G13" i="13"/>
  <c r="J14" i="13"/>
  <c r="M15" i="13"/>
  <c r="G17" i="13"/>
  <c r="J18" i="13"/>
  <c r="M19" i="13"/>
  <c r="G21" i="13"/>
  <c r="J22" i="13"/>
  <c r="M23" i="13"/>
  <c r="G25" i="13"/>
  <c r="J26" i="13"/>
  <c r="M27" i="13"/>
  <c r="G29" i="13"/>
  <c r="J30" i="13"/>
  <c r="M31" i="13"/>
  <c r="G33" i="13"/>
  <c r="J34" i="13"/>
  <c r="M35" i="13"/>
  <c r="G37" i="13"/>
  <c r="J38" i="13"/>
  <c r="M39" i="13"/>
  <c r="G41" i="13"/>
  <c r="J42" i="13"/>
  <c r="M43" i="13"/>
  <c r="G45" i="13"/>
  <c r="J46" i="13"/>
  <c r="M47" i="13"/>
  <c r="G49" i="13"/>
  <c r="J50" i="13"/>
  <c r="M51" i="13"/>
  <c r="G53" i="13"/>
  <c r="J54" i="13"/>
  <c r="H56" i="13"/>
  <c r="M60" i="13"/>
  <c r="G66" i="13"/>
  <c r="J71" i="13"/>
  <c r="G82" i="13"/>
  <c r="J87" i="13"/>
  <c r="M92" i="13"/>
  <c r="G98" i="13"/>
  <c r="J103" i="13"/>
  <c r="M108" i="13"/>
  <c r="G114" i="13"/>
  <c r="J119" i="13"/>
  <c r="M124" i="13"/>
  <c r="G130" i="13"/>
  <c r="M147" i="13"/>
  <c r="M159" i="13"/>
  <c r="H63" i="13"/>
  <c r="G63" i="13"/>
  <c r="F63" i="13"/>
  <c r="M63" i="13"/>
  <c r="L63" i="13"/>
  <c r="G15" i="13"/>
  <c r="M21" i="13"/>
  <c r="E27" i="13"/>
  <c r="E99" i="13"/>
  <c r="K183" i="13"/>
  <c r="J183" i="13"/>
  <c r="I183" i="13"/>
  <c r="H183" i="13"/>
  <c r="F183" i="13"/>
  <c r="M183" i="13"/>
  <c r="K76" i="13"/>
  <c r="J76" i="13"/>
  <c r="I76" i="13"/>
  <c r="H76" i="13"/>
  <c r="G76" i="13"/>
  <c r="F76" i="13"/>
  <c r="E161" i="13"/>
  <c r="E315" i="13"/>
  <c r="L52" i="13"/>
  <c r="H131" i="13"/>
  <c r="G131" i="13"/>
  <c r="F131" i="13"/>
  <c r="M131" i="13"/>
  <c r="L131" i="13"/>
  <c r="L137" i="13"/>
  <c r="K137" i="13"/>
  <c r="J137" i="13"/>
  <c r="I137" i="13"/>
  <c r="F137" i="13"/>
  <c r="G158" i="13"/>
  <c r="F158" i="13"/>
  <c r="M158" i="13"/>
  <c r="L158" i="13"/>
  <c r="K158" i="13"/>
  <c r="J158" i="13"/>
  <c r="I158" i="13"/>
  <c r="H158" i="13"/>
  <c r="M164" i="13"/>
  <c r="L164" i="13"/>
  <c r="K164" i="13"/>
  <c r="I164" i="13"/>
  <c r="H164" i="13"/>
  <c r="G164" i="13"/>
  <c r="F164" i="13"/>
  <c r="J164" i="13"/>
  <c r="L169" i="13"/>
  <c r="K169" i="13"/>
  <c r="J169" i="13"/>
  <c r="I169" i="13"/>
  <c r="M169" i="13"/>
  <c r="H169" i="13"/>
  <c r="G169" i="13"/>
  <c r="F169" i="13"/>
  <c r="E175" i="13"/>
  <c r="K175" i="13"/>
  <c r="J175" i="13"/>
  <c r="I175" i="13"/>
  <c r="H175" i="13"/>
  <c r="Q175" i="13" s="1"/>
  <c r="F175" i="13"/>
  <c r="M175" i="13"/>
  <c r="M180" i="13"/>
  <c r="L180" i="13"/>
  <c r="K180" i="13"/>
  <c r="I180" i="13"/>
  <c r="H180" i="13"/>
  <c r="Q180" i="13" s="1"/>
  <c r="G180" i="13"/>
  <c r="F180" i="13"/>
  <c r="J180" i="13"/>
  <c r="H186" i="13"/>
  <c r="G186" i="13"/>
  <c r="F186" i="13"/>
  <c r="M186" i="13"/>
  <c r="L186" i="13"/>
  <c r="K186" i="13"/>
  <c r="J186" i="13"/>
  <c r="I186" i="13"/>
  <c r="M197" i="13"/>
  <c r="L197" i="13"/>
  <c r="K197" i="13"/>
  <c r="J197" i="13"/>
  <c r="I197" i="13"/>
  <c r="H197" i="13"/>
  <c r="G197" i="13"/>
  <c r="F197" i="13"/>
  <c r="E202" i="13"/>
  <c r="M208" i="13"/>
  <c r="L208" i="13"/>
  <c r="K208" i="13"/>
  <c r="J208" i="13"/>
  <c r="I208" i="13"/>
  <c r="H208" i="13"/>
  <c r="G208" i="13"/>
  <c r="F208" i="13"/>
  <c r="H214" i="13"/>
  <c r="G214" i="13"/>
  <c r="F214" i="13"/>
  <c r="M214" i="13"/>
  <c r="L214" i="13"/>
  <c r="I214" i="13"/>
  <c r="K219" i="13"/>
  <c r="J219" i="13"/>
  <c r="I219" i="13"/>
  <c r="H219" i="13"/>
  <c r="G219" i="13"/>
  <c r="F219" i="13"/>
  <c r="L219" i="13"/>
  <c r="M225" i="13"/>
  <c r="L225" i="13"/>
  <c r="K225" i="13"/>
  <c r="Q225" i="13" s="1"/>
  <c r="J225" i="13"/>
  <c r="I225" i="13"/>
  <c r="F225" i="13"/>
  <c r="H230" i="13"/>
  <c r="G230" i="13"/>
  <c r="F230" i="13"/>
  <c r="M230" i="13"/>
  <c r="L230" i="13"/>
  <c r="I230" i="13"/>
  <c r="M236" i="13"/>
  <c r="L236" i="13"/>
  <c r="K236" i="13"/>
  <c r="J236" i="13"/>
  <c r="I236" i="13"/>
  <c r="H236" i="13"/>
  <c r="G236" i="13"/>
  <c r="F236" i="13"/>
  <c r="M241" i="13"/>
  <c r="L241" i="13"/>
  <c r="K241" i="13"/>
  <c r="J241" i="13"/>
  <c r="I241" i="13"/>
  <c r="F241" i="13"/>
  <c r="E366" i="13"/>
  <c r="K6" i="13"/>
  <c r="H9" i="13"/>
  <c r="K10" i="13"/>
  <c r="H13" i="13"/>
  <c r="K14" i="13"/>
  <c r="H17" i="13"/>
  <c r="K18" i="13"/>
  <c r="H21" i="13"/>
  <c r="K22" i="13"/>
  <c r="K26" i="13"/>
  <c r="H29" i="13"/>
  <c r="K30" i="13"/>
  <c r="H33" i="13"/>
  <c r="K34" i="13"/>
  <c r="H37" i="13"/>
  <c r="K38" i="13"/>
  <c r="H41" i="13"/>
  <c r="K42" i="13"/>
  <c r="H45" i="13"/>
  <c r="K46" i="13"/>
  <c r="H49" i="13"/>
  <c r="K50" i="13"/>
  <c r="H53" i="13"/>
  <c r="K54" i="13"/>
  <c r="I56" i="13"/>
  <c r="H66" i="13"/>
  <c r="Q66" i="13" s="1"/>
  <c r="K71" i="13"/>
  <c r="H82" i="13"/>
  <c r="H114" i="13"/>
  <c r="K119" i="13"/>
  <c r="H130" i="13"/>
  <c r="M137" i="13"/>
  <c r="L175" i="13"/>
  <c r="I194" i="13"/>
  <c r="H87" i="13"/>
  <c r="Q87" i="13" s="1"/>
  <c r="G87" i="13"/>
  <c r="F87" i="13"/>
  <c r="M87" i="13"/>
  <c r="L87" i="13"/>
  <c r="G27" i="13"/>
  <c r="E39" i="13"/>
  <c r="E111" i="13"/>
  <c r="H178" i="13"/>
  <c r="G178" i="13"/>
  <c r="F178" i="13"/>
  <c r="M178" i="13"/>
  <c r="L178" i="13"/>
  <c r="J178" i="13"/>
  <c r="I178" i="13"/>
  <c r="E331" i="13"/>
  <c r="L183" i="13"/>
  <c r="K88" i="13"/>
  <c r="J88" i="13"/>
  <c r="I88" i="13"/>
  <c r="H88" i="13"/>
  <c r="G88" i="13"/>
  <c r="F88" i="13"/>
  <c r="E155" i="13"/>
  <c r="E261" i="13"/>
  <c r="M55" i="13"/>
  <c r="L55" i="13"/>
  <c r="M61" i="13"/>
  <c r="L61" i="13"/>
  <c r="K61" i="13"/>
  <c r="J61" i="13"/>
  <c r="I61" i="13"/>
  <c r="H61" i="13"/>
  <c r="G61" i="13"/>
  <c r="F61" i="13"/>
  <c r="H67" i="13"/>
  <c r="G67" i="13"/>
  <c r="F67" i="13"/>
  <c r="M67" i="13"/>
  <c r="L67" i="13"/>
  <c r="M73" i="13"/>
  <c r="L73" i="13"/>
  <c r="K73" i="13"/>
  <c r="J73" i="13"/>
  <c r="I73" i="13"/>
  <c r="H73" i="13"/>
  <c r="G73" i="13"/>
  <c r="F73" i="13"/>
  <c r="H79" i="13"/>
  <c r="G79" i="13"/>
  <c r="F79" i="13"/>
  <c r="M79" i="13"/>
  <c r="L79" i="13"/>
  <c r="M85" i="13"/>
  <c r="L85" i="13"/>
  <c r="K85" i="13"/>
  <c r="J85" i="13"/>
  <c r="I85" i="13"/>
  <c r="H85" i="13"/>
  <c r="G85" i="13"/>
  <c r="F85" i="13"/>
  <c r="H91" i="13"/>
  <c r="G91" i="13"/>
  <c r="F91" i="13"/>
  <c r="M91" i="13"/>
  <c r="L91" i="13"/>
  <c r="M97" i="13"/>
  <c r="L97" i="13"/>
  <c r="K97" i="13"/>
  <c r="J97" i="13"/>
  <c r="I97" i="13"/>
  <c r="H97" i="13"/>
  <c r="G97" i="13"/>
  <c r="F97" i="13"/>
  <c r="H103" i="13"/>
  <c r="G103" i="13"/>
  <c r="F103" i="13"/>
  <c r="M103" i="13"/>
  <c r="L103" i="13"/>
  <c r="M109" i="13"/>
  <c r="L109" i="13"/>
  <c r="K109" i="13"/>
  <c r="J109" i="13"/>
  <c r="I109" i="13"/>
  <c r="H109" i="13"/>
  <c r="G109" i="13"/>
  <c r="F109" i="13"/>
  <c r="H115" i="13"/>
  <c r="G115" i="13"/>
  <c r="F115" i="13"/>
  <c r="M115" i="13"/>
  <c r="L115" i="13"/>
  <c r="M121" i="13"/>
  <c r="L121" i="13"/>
  <c r="K121" i="13"/>
  <c r="J121" i="13"/>
  <c r="I121" i="13"/>
  <c r="H121" i="13"/>
  <c r="G121" i="13"/>
  <c r="F121" i="13"/>
  <c r="G142" i="13"/>
  <c r="M142" i="13"/>
  <c r="L142" i="13"/>
  <c r="H142" i="13"/>
  <c r="F142" i="13"/>
  <c r="M148" i="13"/>
  <c r="K148" i="13"/>
  <c r="I148" i="13"/>
  <c r="H148" i="13"/>
  <c r="G148" i="13"/>
  <c r="F148" i="13"/>
  <c r="L148" i="13"/>
  <c r="J148" i="13"/>
  <c r="K203" i="13"/>
  <c r="J203" i="13"/>
  <c r="I203" i="13"/>
  <c r="H203" i="13"/>
  <c r="G203" i="13"/>
  <c r="F203" i="13"/>
  <c r="L203" i="13"/>
  <c r="E219" i="13"/>
  <c r="E225" i="13"/>
  <c r="E230" i="13"/>
  <c r="E252" i="13"/>
  <c r="E258" i="13"/>
  <c r="L6" i="13"/>
  <c r="F8" i="13"/>
  <c r="I9" i="13"/>
  <c r="L10" i="13"/>
  <c r="F12" i="13"/>
  <c r="I13" i="13"/>
  <c r="L14" i="13"/>
  <c r="F16" i="13"/>
  <c r="I17" i="13"/>
  <c r="L18" i="13"/>
  <c r="F20" i="13"/>
  <c r="I21" i="13"/>
  <c r="L22" i="13"/>
  <c r="F24" i="13"/>
  <c r="I25" i="13"/>
  <c r="L26" i="13"/>
  <c r="F28" i="13"/>
  <c r="I29" i="13"/>
  <c r="L30" i="13"/>
  <c r="F32" i="13"/>
  <c r="I33" i="13"/>
  <c r="L34" i="13"/>
  <c r="F36" i="13"/>
  <c r="I37" i="13"/>
  <c r="L38" i="13"/>
  <c r="F40" i="13"/>
  <c r="I41" i="13"/>
  <c r="L42" i="13"/>
  <c r="F44" i="13"/>
  <c r="I45" i="13"/>
  <c r="L46" i="13"/>
  <c r="F48" i="13"/>
  <c r="I49" i="13"/>
  <c r="L50" i="13"/>
  <c r="F52" i="13"/>
  <c r="I53" i="13"/>
  <c r="L54" i="13"/>
  <c r="L56" i="13"/>
  <c r="F62" i="13"/>
  <c r="I67" i="13"/>
  <c r="L72" i="13"/>
  <c r="F78" i="13"/>
  <c r="I83" i="13"/>
  <c r="L88" i="13"/>
  <c r="F94" i="13"/>
  <c r="I99" i="13"/>
  <c r="L104" i="13"/>
  <c r="F110" i="13"/>
  <c r="I115" i="13"/>
  <c r="L120" i="13"/>
  <c r="F126" i="13"/>
  <c r="I131" i="13"/>
  <c r="L139" i="13"/>
  <c r="K162" i="13"/>
  <c r="K178" i="13"/>
  <c r="M219" i="13"/>
  <c r="G241" i="13"/>
  <c r="M105" i="13"/>
  <c r="L105" i="13"/>
  <c r="K105" i="13"/>
  <c r="J105" i="13"/>
  <c r="I105" i="13"/>
  <c r="H105" i="13"/>
  <c r="G105" i="13"/>
  <c r="F105" i="13"/>
  <c r="G150" i="13"/>
  <c r="M150" i="13"/>
  <c r="L150" i="13"/>
  <c r="H150" i="13"/>
  <c r="F150" i="13"/>
  <c r="E9" i="13"/>
  <c r="E69" i="13"/>
  <c r="G134" i="13"/>
  <c r="M134" i="13"/>
  <c r="L134" i="13"/>
  <c r="K134" i="13"/>
  <c r="J134" i="13"/>
  <c r="I134" i="13"/>
  <c r="H134" i="13"/>
  <c r="F134" i="13"/>
  <c r="M205" i="13"/>
  <c r="L205" i="13"/>
  <c r="K205" i="13"/>
  <c r="J205" i="13"/>
  <c r="I205" i="13"/>
  <c r="H205" i="13"/>
  <c r="G205" i="13"/>
  <c r="E282" i="13"/>
  <c r="E134" i="13"/>
  <c r="E183" i="13"/>
  <c r="E233" i="13"/>
  <c r="I51" i="13"/>
  <c r="E115" i="13"/>
  <c r="E121" i="13"/>
  <c r="H127" i="13"/>
  <c r="Q127" i="13" s="1"/>
  <c r="G127" i="13"/>
  <c r="F127" i="13"/>
  <c r="M127" i="13"/>
  <c r="L127" i="13"/>
  <c r="M132" i="13"/>
  <c r="K132" i="13"/>
  <c r="J132" i="13"/>
  <c r="I132" i="13"/>
  <c r="H132" i="13"/>
  <c r="G132" i="13"/>
  <c r="F132" i="13"/>
  <c r="G138" i="13"/>
  <c r="M138" i="13"/>
  <c r="L138" i="13"/>
  <c r="K138" i="13"/>
  <c r="J138" i="13"/>
  <c r="I138" i="13"/>
  <c r="H138" i="13"/>
  <c r="F138" i="13"/>
  <c r="E142" i="13"/>
  <c r="E148" i="13"/>
  <c r="L153" i="13"/>
  <c r="K153" i="13"/>
  <c r="J153" i="13"/>
  <c r="I153" i="13"/>
  <c r="F153" i="13"/>
  <c r="J159" i="13"/>
  <c r="I159" i="13"/>
  <c r="H159" i="13"/>
  <c r="F159" i="13"/>
  <c r="K159" i="13"/>
  <c r="G159" i="13"/>
  <c r="L165" i="13"/>
  <c r="K165" i="13"/>
  <c r="J165" i="13"/>
  <c r="I165" i="13"/>
  <c r="M165" i="13"/>
  <c r="H165" i="13"/>
  <c r="G165" i="13"/>
  <c r="F165" i="13"/>
  <c r="H170" i="13"/>
  <c r="Q170" i="13" s="1"/>
  <c r="G170" i="13"/>
  <c r="F170" i="13"/>
  <c r="M170" i="13"/>
  <c r="L170" i="13"/>
  <c r="J170" i="13"/>
  <c r="I170" i="13"/>
  <c r="M176" i="13"/>
  <c r="L176" i="13"/>
  <c r="K176" i="13"/>
  <c r="I176" i="13"/>
  <c r="H176" i="13"/>
  <c r="G176" i="13"/>
  <c r="F176" i="13"/>
  <c r="J176" i="13"/>
  <c r="L181" i="13"/>
  <c r="K181" i="13"/>
  <c r="J181" i="13"/>
  <c r="I181" i="13"/>
  <c r="M181" i="13"/>
  <c r="H181" i="13"/>
  <c r="G181" i="13"/>
  <c r="F181" i="13"/>
  <c r="K187" i="13"/>
  <c r="J187" i="13"/>
  <c r="I187" i="13"/>
  <c r="H187" i="13"/>
  <c r="G187" i="13"/>
  <c r="F187" i="13"/>
  <c r="L187" i="13"/>
  <c r="M192" i="13"/>
  <c r="L192" i="13"/>
  <c r="K192" i="13"/>
  <c r="J192" i="13"/>
  <c r="I192" i="13"/>
  <c r="H192" i="13"/>
  <c r="G192" i="13"/>
  <c r="F192" i="13"/>
  <c r="H198" i="13"/>
  <c r="G198" i="13"/>
  <c r="F198" i="13"/>
  <c r="M198" i="13"/>
  <c r="L198" i="13"/>
  <c r="I198" i="13"/>
  <c r="M209" i="13"/>
  <c r="L209" i="13"/>
  <c r="K209" i="13"/>
  <c r="J209" i="13"/>
  <c r="I209" i="13"/>
  <c r="F209" i="13"/>
  <c r="M220" i="13"/>
  <c r="L220" i="13"/>
  <c r="K220" i="13"/>
  <c r="J220" i="13"/>
  <c r="I220" i="13"/>
  <c r="H220" i="13"/>
  <c r="G220" i="13"/>
  <c r="F220" i="13"/>
  <c r="H226" i="13"/>
  <c r="Q226" i="13" s="1"/>
  <c r="G226" i="13"/>
  <c r="F226" i="13"/>
  <c r="M226" i="13"/>
  <c r="L226" i="13"/>
  <c r="K226" i="13"/>
  <c r="J226" i="13"/>
  <c r="K231" i="13"/>
  <c r="J231" i="13"/>
  <c r="I231" i="13"/>
  <c r="H231" i="13"/>
  <c r="G231" i="13"/>
  <c r="F231" i="13"/>
  <c r="M231" i="13"/>
  <c r="M237" i="13"/>
  <c r="L237" i="13"/>
  <c r="K237" i="13"/>
  <c r="J237" i="13"/>
  <c r="I237" i="13"/>
  <c r="H237" i="13"/>
  <c r="G237" i="13"/>
  <c r="H242" i="13"/>
  <c r="Q242" i="13" s="1"/>
  <c r="G242" i="13"/>
  <c r="F242" i="13"/>
  <c r="M242" i="13"/>
  <c r="L242" i="13"/>
  <c r="K242" i="13"/>
  <c r="J242" i="13"/>
  <c r="M6" i="13"/>
  <c r="G8" i="13"/>
  <c r="J9" i="13"/>
  <c r="M10" i="13"/>
  <c r="G12" i="13"/>
  <c r="J13" i="13"/>
  <c r="M14" i="13"/>
  <c r="G16" i="13"/>
  <c r="J17" i="13"/>
  <c r="M18" i="13"/>
  <c r="G20" i="13"/>
  <c r="J21" i="13"/>
  <c r="M22" i="13"/>
  <c r="G24" i="13"/>
  <c r="J25" i="13"/>
  <c r="M26" i="13"/>
  <c r="G28" i="13"/>
  <c r="J29" i="13"/>
  <c r="M30" i="13"/>
  <c r="G32" i="13"/>
  <c r="J33" i="13"/>
  <c r="M34" i="13"/>
  <c r="G36" i="13"/>
  <c r="J37" i="13"/>
  <c r="M38" i="13"/>
  <c r="G40" i="13"/>
  <c r="J41" i="13"/>
  <c r="M42" i="13"/>
  <c r="G44" i="13"/>
  <c r="J45" i="13"/>
  <c r="M46" i="13"/>
  <c r="G48" i="13"/>
  <c r="J49" i="13"/>
  <c r="M50" i="13"/>
  <c r="G52" i="13"/>
  <c r="J53" i="13"/>
  <c r="M54" i="13"/>
  <c r="J67" i="13"/>
  <c r="M72" i="13"/>
  <c r="G78" i="13"/>
  <c r="J83" i="13"/>
  <c r="M88" i="13"/>
  <c r="G94" i="13"/>
  <c r="J99" i="13"/>
  <c r="J115" i="13"/>
  <c r="M120" i="13"/>
  <c r="G126" i="13"/>
  <c r="J131" i="13"/>
  <c r="M139" i="13"/>
  <c r="J150" i="13"/>
  <c r="G163" i="13"/>
  <c r="G179" i="13"/>
  <c r="K198" i="13"/>
  <c r="H241" i="13"/>
  <c r="M81" i="13"/>
  <c r="L81" i="13"/>
  <c r="K81" i="13"/>
  <c r="J81" i="13"/>
  <c r="I81" i="13"/>
  <c r="H81" i="13"/>
  <c r="G81" i="13"/>
  <c r="F81" i="13"/>
  <c r="M33" i="13"/>
  <c r="J63" i="13"/>
  <c r="E15" i="13"/>
  <c r="E75" i="13"/>
  <c r="M200" i="13"/>
  <c r="L200" i="13"/>
  <c r="K200" i="13"/>
  <c r="J200" i="13"/>
  <c r="I200" i="13"/>
  <c r="H200" i="13"/>
  <c r="G200" i="13"/>
  <c r="F200" i="13"/>
  <c r="K124" i="13"/>
  <c r="J124" i="13"/>
  <c r="I124" i="13"/>
  <c r="H124" i="13"/>
  <c r="G124" i="13"/>
  <c r="F124" i="13"/>
  <c r="E194" i="13"/>
  <c r="E304" i="13"/>
  <c r="K56" i="13"/>
  <c r="J56" i="13"/>
  <c r="F56" i="13"/>
  <c r="M62" i="13"/>
  <c r="L62" i="13"/>
  <c r="K62" i="13"/>
  <c r="J62" i="13"/>
  <c r="I62" i="13"/>
  <c r="K68" i="13"/>
  <c r="J68" i="13"/>
  <c r="I68" i="13"/>
  <c r="H68" i="13"/>
  <c r="G68" i="13"/>
  <c r="F68" i="13"/>
  <c r="M74" i="13"/>
  <c r="L74" i="13"/>
  <c r="K74" i="13"/>
  <c r="J74" i="13"/>
  <c r="I74" i="13"/>
  <c r="K80" i="13"/>
  <c r="J80" i="13"/>
  <c r="I80" i="13"/>
  <c r="H80" i="13"/>
  <c r="G80" i="13"/>
  <c r="F80" i="13"/>
  <c r="M86" i="13"/>
  <c r="L86" i="13"/>
  <c r="K86" i="13"/>
  <c r="J86" i="13"/>
  <c r="I86" i="13"/>
  <c r="K92" i="13"/>
  <c r="J92" i="13"/>
  <c r="I92" i="13"/>
  <c r="H92" i="13"/>
  <c r="G92" i="13"/>
  <c r="F92" i="13"/>
  <c r="M98" i="13"/>
  <c r="L98" i="13"/>
  <c r="K98" i="13"/>
  <c r="J98" i="13"/>
  <c r="I98" i="13"/>
  <c r="K104" i="13"/>
  <c r="J104" i="13"/>
  <c r="I104" i="13"/>
  <c r="H104" i="13"/>
  <c r="G104" i="13"/>
  <c r="F104" i="13"/>
  <c r="M110" i="13"/>
  <c r="L110" i="13"/>
  <c r="K110" i="13"/>
  <c r="J110" i="13"/>
  <c r="I110" i="13"/>
  <c r="K116" i="13"/>
  <c r="J116" i="13"/>
  <c r="I116" i="13"/>
  <c r="H116" i="13"/>
  <c r="G116" i="13"/>
  <c r="F116" i="13"/>
  <c r="M122" i="13"/>
  <c r="L122" i="13"/>
  <c r="K122" i="13"/>
  <c r="J122" i="13"/>
  <c r="I122" i="13"/>
  <c r="E143" i="13"/>
  <c r="J143" i="13"/>
  <c r="H143" i="13"/>
  <c r="F143" i="13"/>
  <c r="M143" i="13"/>
  <c r="L143" i="13"/>
  <c r="K143" i="13"/>
  <c r="I143" i="13"/>
  <c r="G143" i="13"/>
  <c r="L149" i="13"/>
  <c r="K149" i="13"/>
  <c r="J149" i="13"/>
  <c r="I149" i="13"/>
  <c r="M149" i="13"/>
  <c r="H149" i="13"/>
  <c r="G149" i="13"/>
  <c r="F149" i="13"/>
  <c r="K215" i="13"/>
  <c r="J215" i="13"/>
  <c r="I215" i="13"/>
  <c r="H215" i="13"/>
  <c r="G215" i="13"/>
  <c r="F215" i="13"/>
  <c r="M215" i="13"/>
  <c r="E237" i="13"/>
  <c r="E242" i="13"/>
  <c r="E259" i="13"/>
  <c r="E270" i="13"/>
  <c r="E297" i="13"/>
  <c r="E302" i="13"/>
  <c r="E367" i="13"/>
  <c r="E388" i="13"/>
  <c r="H8" i="13"/>
  <c r="K9" i="13"/>
  <c r="H12" i="13"/>
  <c r="K13" i="13"/>
  <c r="H16" i="13"/>
  <c r="K17" i="13"/>
  <c r="H20" i="13"/>
  <c r="K21" i="13"/>
  <c r="H24" i="13"/>
  <c r="K25" i="13"/>
  <c r="H28" i="13"/>
  <c r="K29" i="13"/>
  <c r="H32" i="13"/>
  <c r="K33" i="13"/>
  <c r="H36" i="13"/>
  <c r="Q36" i="13" s="1"/>
  <c r="K37" i="13"/>
  <c r="H40" i="13"/>
  <c r="Q40" i="13" s="1"/>
  <c r="K41" i="13"/>
  <c r="H44" i="13"/>
  <c r="Q44" i="13" s="1"/>
  <c r="K45" i="13"/>
  <c r="H48" i="13"/>
  <c r="K49" i="13"/>
  <c r="H52" i="13"/>
  <c r="K53" i="13"/>
  <c r="H62" i="13"/>
  <c r="K67" i="13"/>
  <c r="H78" i="13"/>
  <c r="K83" i="13"/>
  <c r="H94" i="13"/>
  <c r="Q94" i="13" s="1"/>
  <c r="H110" i="13"/>
  <c r="K115" i="13"/>
  <c r="H126" i="13"/>
  <c r="Q126" i="13" s="1"/>
  <c r="K131" i="13"/>
  <c r="K150" i="13"/>
  <c r="L163" i="13"/>
  <c r="L179" i="13"/>
  <c r="I242" i="13"/>
  <c r="H99" i="13"/>
  <c r="Q99" i="13" s="1"/>
  <c r="G99" i="13"/>
  <c r="F99" i="13"/>
  <c r="M99" i="13"/>
  <c r="L99" i="13"/>
  <c r="M9" i="13"/>
  <c r="E63" i="13"/>
  <c r="E123" i="13"/>
  <c r="M233" i="13"/>
  <c r="L233" i="13"/>
  <c r="K233" i="13"/>
  <c r="J233" i="13"/>
  <c r="I233" i="13"/>
  <c r="H233" i="13"/>
  <c r="G233" i="13"/>
  <c r="F233" i="13"/>
  <c r="E38" i="13"/>
  <c r="E44" i="13"/>
  <c r="E50" i="13"/>
  <c r="E56" i="13"/>
  <c r="E62" i="13"/>
  <c r="E68" i="13"/>
  <c r="E74" i="13"/>
  <c r="E80" i="13"/>
  <c r="E86" i="13"/>
  <c r="E92" i="13"/>
  <c r="E98" i="13"/>
  <c r="E104" i="13"/>
  <c r="E110" i="13"/>
  <c r="E116" i="13"/>
  <c r="E122" i="13"/>
  <c r="L133" i="13"/>
  <c r="K133" i="13"/>
  <c r="J133" i="13"/>
  <c r="I133" i="13"/>
  <c r="M133" i="13"/>
  <c r="H133" i="13"/>
  <c r="G133" i="13"/>
  <c r="E149" i="13"/>
  <c r="G154" i="13"/>
  <c r="F154" i="13"/>
  <c r="M154" i="13"/>
  <c r="L154" i="13"/>
  <c r="K154" i="13"/>
  <c r="J154" i="13"/>
  <c r="I154" i="13"/>
  <c r="H154" i="13"/>
  <c r="M160" i="13"/>
  <c r="L160" i="13"/>
  <c r="K160" i="13"/>
  <c r="I160" i="13"/>
  <c r="H160" i="13"/>
  <c r="G160" i="13"/>
  <c r="F160" i="13"/>
  <c r="J160" i="13"/>
  <c r="H166" i="13"/>
  <c r="G166" i="13"/>
  <c r="F166" i="13"/>
  <c r="M166" i="13"/>
  <c r="L166" i="13"/>
  <c r="J166" i="13"/>
  <c r="I166" i="13"/>
  <c r="K171" i="13"/>
  <c r="J171" i="13"/>
  <c r="I171" i="13"/>
  <c r="H171" i="13"/>
  <c r="F171" i="13"/>
  <c r="M171" i="13"/>
  <c r="L177" i="13"/>
  <c r="K177" i="13"/>
  <c r="J177" i="13"/>
  <c r="I177" i="13"/>
  <c r="M177" i="13"/>
  <c r="H177" i="13"/>
  <c r="G177" i="13"/>
  <c r="F177" i="13"/>
  <c r="H182" i="13"/>
  <c r="G182" i="13"/>
  <c r="F182" i="13"/>
  <c r="M182" i="13"/>
  <c r="L182" i="13"/>
  <c r="J182" i="13"/>
  <c r="I182" i="13"/>
  <c r="M188" i="13"/>
  <c r="L188" i="13"/>
  <c r="K188" i="13"/>
  <c r="J188" i="13"/>
  <c r="I188" i="13"/>
  <c r="H188" i="13"/>
  <c r="G188" i="13"/>
  <c r="F188" i="13"/>
  <c r="M193" i="13"/>
  <c r="L193" i="13"/>
  <c r="K193" i="13"/>
  <c r="J193" i="13"/>
  <c r="I193" i="13"/>
  <c r="F193" i="13"/>
  <c r="E199" i="13"/>
  <c r="K199" i="13"/>
  <c r="J199" i="13"/>
  <c r="I199" i="13"/>
  <c r="H199" i="13"/>
  <c r="G199" i="13"/>
  <c r="F199" i="13"/>
  <c r="M199" i="13"/>
  <c r="M204" i="13"/>
  <c r="L204" i="13"/>
  <c r="K204" i="13"/>
  <c r="J204" i="13"/>
  <c r="I204" i="13"/>
  <c r="H204" i="13"/>
  <c r="Q204" i="13" s="1"/>
  <c r="G204" i="13"/>
  <c r="F204" i="13"/>
  <c r="H210" i="13"/>
  <c r="G210" i="13"/>
  <c r="F210" i="13"/>
  <c r="M210" i="13"/>
  <c r="L210" i="13"/>
  <c r="K210" i="13"/>
  <c r="J210" i="13"/>
  <c r="M221" i="13"/>
  <c r="L221" i="13"/>
  <c r="K221" i="13"/>
  <c r="J221" i="13"/>
  <c r="I221" i="13"/>
  <c r="H221" i="13"/>
  <c r="G221" i="13"/>
  <c r="M232" i="13"/>
  <c r="L232" i="13"/>
  <c r="K232" i="13"/>
  <c r="J232" i="13"/>
  <c r="I232" i="13"/>
  <c r="H232" i="13"/>
  <c r="G232" i="13"/>
  <c r="F232" i="13"/>
  <c r="H238" i="13"/>
  <c r="G238" i="13"/>
  <c r="F238" i="13"/>
  <c r="M238" i="13"/>
  <c r="L238" i="13"/>
  <c r="K238" i="13"/>
  <c r="J238" i="13"/>
  <c r="I238" i="13"/>
  <c r="K243" i="13"/>
  <c r="J243" i="13"/>
  <c r="I243" i="13"/>
  <c r="H243" i="13"/>
  <c r="G243" i="13"/>
  <c r="F243" i="13"/>
  <c r="M243" i="13"/>
  <c r="L243" i="13"/>
  <c r="E281" i="13"/>
  <c r="E292" i="13"/>
  <c r="E324" i="13"/>
  <c r="E330" i="13"/>
  <c r="E351" i="13"/>
  <c r="E357" i="13"/>
  <c r="F55" i="13"/>
  <c r="F58" i="13"/>
  <c r="I63" i="13"/>
  <c r="L68" i="13"/>
  <c r="F74" i="13"/>
  <c r="I79" i="13"/>
  <c r="L84" i="13"/>
  <c r="F90" i="13"/>
  <c r="I95" i="13"/>
  <c r="L100" i="13"/>
  <c r="F106" i="13"/>
  <c r="I111" i="13"/>
  <c r="L116" i="13"/>
  <c r="F122" i="13"/>
  <c r="I127" i="13"/>
  <c r="L132" i="13"/>
  <c r="I142" i="13"/>
  <c r="G153" i="13"/>
  <c r="K166" i="13"/>
  <c r="K182" i="13"/>
  <c r="M203" i="13"/>
  <c r="G225" i="13"/>
  <c r="E133" i="13"/>
  <c r="E164" i="13"/>
  <c r="E169" i="13"/>
  <c r="E188" i="13"/>
  <c r="E193" i="13"/>
  <c r="E212" i="13"/>
  <c r="E217" i="13"/>
  <c r="E236" i="13"/>
  <c r="E241" i="13"/>
  <c r="E260" i="13"/>
  <c r="E265" i="13"/>
  <c r="E284" i="13"/>
  <c r="E289" i="13"/>
  <c r="E308" i="13"/>
  <c r="E313" i="13"/>
  <c r="E332" i="13"/>
  <c r="E337" i="13"/>
  <c r="E356" i="13"/>
  <c r="E361" i="13"/>
  <c r="E380" i="13"/>
  <c r="E385" i="13"/>
  <c r="E129" i="13"/>
  <c r="E353" i="13"/>
  <c r="E372" i="13"/>
  <c r="E377" i="13"/>
  <c r="E396" i="13"/>
  <c r="E401" i="13"/>
  <c r="E157" i="13"/>
  <c r="E176" i="13"/>
  <c r="E181" i="13"/>
  <c r="E200" i="13"/>
  <c r="E205" i="13"/>
  <c r="E224" i="13"/>
  <c r="E229" i="13"/>
  <c r="E248" i="13"/>
  <c r="E253" i="13"/>
  <c r="E272" i="13"/>
  <c r="E277" i="13"/>
  <c r="E296" i="13"/>
  <c r="E301" i="13"/>
  <c r="E320" i="13"/>
  <c r="E325" i="13"/>
  <c r="E344" i="13"/>
  <c r="E349" i="13"/>
  <c r="E368" i="13"/>
  <c r="E373" i="13"/>
  <c r="E392" i="13"/>
  <c r="E397" i="13"/>
  <c r="E153" i="13"/>
  <c r="E145" i="13"/>
  <c r="E141" i="13"/>
  <c r="E168" i="13"/>
  <c r="E173" i="13"/>
  <c r="E192" i="13"/>
  <c r="E197" i="13"/>
  <c r="E216" i="13"/>
  <c r="E221" i="13"/>
  <c r="E240" i="13"/>
  <c r="E245" i="13"/>
  <c r="E264" i="13"/>
  <c r="E269" i="13"/>
  <c r="E288" i="13"/>
  <c r="E293" i="13"/>
  <c r="E312" i="13"/>
  <c r="E317" i="13"/>
  <c r="E336" i="13"/>
  <c r="E341" i="13"/>
  <c r="E360" i="13"/>
  <c r="E365" i="13"/>
  <c r="E384" i="13"/>
  <c r="E389" i="13"/>
  <c r="Q133" i="13" l="1"/>
  <c r="Q203" i="13"/>
  <c r="Q130" i="13"/>
  <c r="Q236" i="13"/>
  <c r="Q112" i="13"/>
  <c r="Q101" i="13"/>
  <c r="Q272" i="13"/>
  <c r="Q369" i="13"/>
  <c r="Q220" i="13"/>
  <c r="Q228" i="13"/>
  <c r="Q274" i="13"/>
  <c r="Q216" i="13"/>
  <c r="Q118" i="13"/>
  <c r="Q125" i="13"/>
  <c r="Q318" i="13"/>
  <c r="Q88" i="13"/>
  <c r="Q358" i="13"/>
  <c r="Q241" i="13"/>
  <c r="Q356" i="13"/>
  <c r="Q114" i="13"/>
  <c r="Q197" i="13"/>
  <c r="Q164" i="13"/>
  <c r="Q194" i="13"/>
  <c r="Q57" i="13"/>
  <c r="Q201" i="13"/>
  <c r="Q377" i="13"/>
  <c r="Q177" i="13"/>
  <c r="Q28" i="13"/>
  <c r="Q82" i="13"/>
  <c r="Q190" i="13"/>
  <c r="Q258" i="13"/>
  <c r="Q232" i="13"/>
  <c r="Q349" i="13"/>
  <c r="Q202" i="13"/>
  <c r="Q206" i="13"/>
  <c r="Q346" i="13"/>
  <c r="Q376" i="13"/>
  <c r="Q20" i="13"/>
  <c r="Q148" i="13"/>
  <c r="Q259" i="13"/>
  <c r="Q243" i="13"/>
  <c r="Q154" i="13"/>
  <c r="Q187" i="13"/>
  <c r="Q102" i="13"/>
  <c r="Q135" i="13"/>
  <c r="Q374" i="13"/>
  <c r="Q296" i="13"/>
  <c r="Q341" i="13"/>
  <c r="Q276" i="13"/>
  <c r="Q85" i="13"/>
  <c r="Q174" i="13"/>
  <c r="Q249" i="13"/>
  <c r="Q80" i="13"/>
  <c r="Q77" i="13"/>
  <c r="Q158" i="13"/>
  <c r="Q132" i="13"/>
  <c r="Q128" i="13"/>
  <c r="Q325" i="13"/>
  <c r="Q62" i="13"/>
  <c r="Q52" i="13"/>
  <c r="Q12" i="13"/>
  <c r="Q149" i="13"/>
  <c r="Q230" i="13"/>
  <c r="Q244" i="13"/>
  <c r="Q64" i="13"/>
  <c r="Q55" i="13"/>
  <c r="Q252" i="13"/>
  <c r="Q165" i="13"/>
  <c r="Q63" i="13"/>
  <c r="Q93" i="13"/>
  <c r="Q375" i="13"/>
  <c r="Q109" i="13"/>
  <c r="Q218" i="13"/>
  <c r="Q100" i="13"/>
  <c r="Q308" i="13"/>
  <c r="Q298" i="13"/>
  <c r="Q309" i="13"/>
  <c r="Q283" i="13"/>
  <c r="Q91" i="13"/>
  <c r="Q32" i="13"/>
  <c r="Q75" i="13"/>
  <c r="Q24" i="13"/>
  <c r="Q79" i="13"/>
  <c r="Q311" i="13"/>
  <c r="Q105" i="13"/>
  <c r="Q48" i="13"/>
  <c r="Q8" i="13"/>
  <c r="Q116" i="13"/>
  <c r="Q134" i="13"/>
  <c r="Q142" i="13"/>
  <c r="Q208" i="13"/>
  <c r="Q169" i="13"/>
  <c r="Q120" i="13"/>
  <c r="Q357" i="13"/>
  <c r="Q234" i="13"/>
  <c r="Q221" i="13"/>
  <c r="Q199" i="13"/>
  <c r="Q233" i="13"/>
  <c r="Q92" i="13"/>
  <c r="Q81" i="13"/>
  <c r="Q362" i="13"/>
  <c r="Q255" i="13"/>
  <c r="Q182" i="13"/>
  <c r="Q53" i="13"/>
  <c r="Q37" i="13"/>
  <c r="Q131" i="13"/>
  <c r="Q50" i="13"/>
  <c r="Q34" i="13"/>
  <c r="Q119" i="13"/>
  <c r="Q162" i="13"/>
  <c r="Q43" i="13"/>
  <c r="Q330" i="13"/>
  <c r="Q282" i="13"/>
  <c r="Q363" i="13"/>
  <c r="Q303" i="13"/>
  <c r="Q273" i="13"/>
  <c r="Q173" i="13"/>
  <c r="Q359" i="13"/>
  <c r="Q210" i="13"/>
  <c r="Q171" i="13"/>
  <c r="Q200" i="13"/>
  <c r="Q237" i="13"/>
  <c r="Q121" i="13"/>
  <c r="Q141" i="13"/>
  <c r="Q229" i="13"/>
  <c r="Q213" i="13"/>
  <c r="Q113" i="13"/>
  <c r="Q223" i="13"/>
  <c r="Q117" i="13"/>
  <c r="Q69" i="13"/>
  <c r="Q365" i="13"/>
  <c r="Q263" i="13"/>
  <c r="T27" i="13"/>
  <c r="T23" i="13"/>
  <c r="T31" i="13"/>
  <c r="Q287" i="13"/>
  <c r="Q281" i="13"/>
  <c r="Q316" i="13"/>
  <c r="Q262" i="13"/>
  <c r="Q327" i="13"/>
  <c r="Q279" i="13"/>
  <c r="Q160" i="13"/>
  <c r="Q67" i="13"/>
  <c r="Q17" i="13"/>
  <c r="Q39" i="13"/>
  <c r="Q59" i="13"/>
  <c r="Q245" i="13"/>
  <c r="Q156" i="13"/>
  <c r="Q47" i="13"/>
  <c r="Q381" i="13"/>
  <c r="Q383" i="13"/>
  <c r="Q380" i="13"/>
  <c r="Q368" i="13"/>
  <c r="Q350" i="13"/>
  <c r="Q302" i="13"/>
  <c r="Q319" i="13"/>
  <c r="Q371" i="13"/>
  <c r="Q293" i="13"/>
  <c r="Q257" i="13"/>
  <c r="Q324" i="13"/>
  <c r="Q264" i="13"/>
  <c r="Q389" i="13"/>
  <c r="Q382" i="13"/>
  <c r="Q340" i="13"/>
  <c r="Q292" i="13"/>
  <c r="Q301" i="13"/>
  <c r="Q122" i="13"/>
  <c r="Q351" i="13"/>
  <c r="Q355" i="13"/>
  <c r="Q193" i="13"/>
  <c r="Q198" i="13"/>
  <c r="Q205" i="13"/>
  <c r="Q103" i="13"/>
  <c r="Q49" i="13"/>
  <c r="Q33" i="13"/>
  <c r="Q46" i="13"/>
  <c r="Q30" i="13"/>
  <c r="Q14" i="13"/>
  <c r="Q379" i="13"/>
  <c r="Q344" i="13"/>
  <c r="Q289" i="13"/>
  <c r="Q347" i="13"/>
  <c r="Q335" i="13"/>
  <c r="Q334" i="13"/>
  <c r="Q286" i="13"/>
  <c r="Q137" i="13"/>
  <c r="Q345" i="13"/>
  <c r="Q297" i="13"/>
  <c r="Q337" i="13"/>
  <c r="Q247" i="13"/>
  <c r="Q56" i="13"/>
  <c r="Q150" i="13"/>
  <c r="Q13" i="13"/>
  <c r="Q224" i="13"/>
  <c r="Q196" i="13"/>
  <c r="Q185" i="13"/>
  <c r="Q163" i="13"/>
  <c r="Q136" i="13"/>
  <c r="Q19" i="13"/>
  <c r="T22" i="13" s="1"/>
  <c r="Q31" i="13"/>
  <c r="Q90" i="13"/>
  <c r="Q378" i="13"/>
  <c r="Q388" i="13"/>
  <c r="Q338" i="13"/>
  <c r="Q290" i="13"/>
  <c r="Q86" i="13"/>
  <c r="Q372" i="13"/>
  <c r="Q312" i="13"/>
  <c r="Q323" i="13"/>
  <c r="Q209" i="13"/>
  <c r="Q317" i="13"/>
  <c r="Q370" i="13"/>
  <c r="Q328" i="13"/>
  <c r="Q280" i="13"/>
  <c r="Q331" i="13"/>
  <c r="Q271" i="13"/>
  <c r="Q98" i="13"/>
  <c r="Q339" i="13"/>
  <c r="Q291" i="13"/>
  <c r="Q261" i="13"/>
  <c r="Q106" i="13"/>
  <c r="Q70" i="13"/>
  <c r="Q307" i="13"/>
  <c r="Q188" i="13"/>
  <c r="Q110" i="13"/>
  <c r="Q104" i="13"/>
  <c r="Q231" i="13"/>
  <c r="Q181" i="13"/>
  <c r="Q159" i="13"/>
  <c r="Q61" i="13"/>
  <c r="Q178" i="13"/>
  <c r="Q45" i="13"/>
  <c r="Q29" i="13"/>
  <c r="T32" i="13" s="1"/>
  <c r="Q183" i="13"/>
  <c r="Q191" i="13"/>
  <c r="Q108" i="13"/>
  <c r="Q239" i="13"/>
  <c r="Q227" i="13"/>
  <c r="Q139" i="13"/>
  <c r="Q240" i="13"/>
  <c r="Q168" i="13"/>
  <c r="Q42" i="13"/>
  <c r="Q26" i="13"/>
  <c r="T29" i="13" s="1"/>
  <c r="Q10" i="13"/>
  <c r="Q146" i="13"/>
  <c r="Q71" i="13"/>
  <c r="Q155" i="13"/>
  <c r="Q195" i="13"/>
  <c r="Q51" i="13"/>
  <c r="Q222" i="13"/>
  <c r="Q387" i="13"/>
  <c r="Q332" i="13"/>
  <c r="Q284" i="13"/>
  <c r="Q25" i="13"/>
  <c r="T28" i="13" s="1"/>
  <c r="Q275" i="13"/>
  <c r="Q373" i="13"/>
  <c r="Q366" i="13"/>
  <c r="Q354" i="13"/>
  <c r="Q306" i="13"/>
  <c r="Q246" i="13"/>
  <c r="Q305" i="13"/>
  <c r="Q269" i="13"/>
  <c r="Q251" i="13"/>
  <c r="Q299" i="13"/>
  <c r="Q322" i="13"/>
  <c r="Q295" i="13"/>
  <c r="Q265" i="13"/>
  <c r="Q333" i="13"/>
  <c r="Q285" i="13"/>
  <c r="Q277" i="13"/>
  <c r="Q18" i="13"/>
  <c r="T21" i="13" s="1"/>
  <c r="Q238" i="13"/>
  <c r="Q166" i="13"/>
  <c r="Q16" i="13"/>
  <c r="Q215" i="13"/>
  <c r="Q68" i="13"/>
  <c r="Q124" i="13"/>
  <c r="Q192" i="13"/>
  <c r="Q176" i="13"/>
  <c r="Q115" i="13"/>
  <c r="Q97" i="13"/>
  <c r="Q9" i="13"/>
  <c r="Q219" i="13"/>
  <c r="Q72" i="13"/>
  <c r="Q161" i="13"/>
  <c r="Q235" i="13"/>
  <c r="Q207" i="13"/>
  <c r="Q107" i="13"/>
  <c r="Q89" i="13"/>
  <c r="Q167" i="13"/>
  <c r="Q151" i="13"/>
  <c r="Q144" i="13"/>
  <c r="Q35" i="13"/>
  <c r="Q23" i="13"/>
  <c r="T26" i="13" s="1"/>
  <c r="Q385" i="13"/>
  <c r="Q326" i="13"/>
  <c r="Q278" i="13"/>
  <c r="Q266" i="13"/>
  <c r="Q353" i="13"/>
  <c r="Q348" i="13"/>
  <c r="Q300" i="13"/>
  <c r="Q74" i="13"/>
  <c r="Q41" i="13"/>
  <c r="Q214" i="13"/>
  <c r="Q76" i="13"/>
  <c r="Q152" i="13"/>
  <c r="Q54" i="13"/>
  <c r="Q38" i="13"/>
  <c r="Q22" i="13"/>
  <c r="T25" i="13" s="1"/>
  <c r="Q6" i="13"/>
  <c r="Q27" i="13"/>
  <c r="T30" i="13" s="1"/>
  <c r="Q11" i="13"/>
  <c r="Q7" i="13"/>
  <c r="Q386" i="13"/>
  <c r="Q320" i="13"/>
  <c r="Q254" i="13"/>
  <c r="Q248" i="13"/>
  <c r="Q342" i="13"/>
  <c r="Q294" i="13"/>
  <c r="Q310" i="13"/>
  <c r="Q256" i="13"/>
  <c r="Q321" i="13"/>
  <c r="Q267" i="13"/>
  <c r="Q58" i="13"/>
  <c r="Q343" i="13"/>
  <c r="Q78" i="13"/>
  <c r="Q143" i="13"/>
  <c r="Q138" i="13"/>
  <c r="Q73" i="13"/>
  <c r="Q21" i="13"/>
  <c r="T24" i="13" s="1"/>
  <c r="Q186" i="13"/>
  <c r="Q96" i="13"/>
  <c r="Q211" i="13"/>
  <c r="Q83" i="13"/>
  <c r="Q65" i="13"/>
  <c r="Q15" i="13"/>
  <c r="Q123" i="13"/>
  <c r="Q153" i="13"/>
  <c r="Q384" i="13"/>
  <c r="Q314" i="13"/>
  <c r="Q260" i="13"/>
  <c r="Q145" i="13"/>
  <c r="Q329" i="13"/>
  <c r="Q336" i="13"/>
  <c r="Q288" i="13"/>
  <c r="Q270" i="13"/>
  <c r="Q352" i="13"/>
  <c r="Q304" i="13"/>
  <c r="Q268" i="13"/>
  <c r="Q250" i="13"/>
  <c r="Q315" i="13"/>
  <c r="Q367" i="13"/>
  <c r="Q361" i="13"/>
  <c r="Q313" i="13"/>
  <c r="Q253" i="13"/>
  <c r="P368" i="13"/>
  <c r="P370" i="13"/>
  <c r="P273" i="13"/>
  <c r="P372" i="13"/>
  <c r="P343" i="13"/>
  <c r="P283" i="13"/>
  <c r="P362" i="13"/>
  <c r="P313" i="13"/>
  <c r="P256" i="13"/>
  <c r="P250" i="13"/>
  <c r="P379" i="13"/>
  <c r="P369" i="13"/>
  <c r="P373" i="13"/>
  <c r="P352" i="13"/>
  <c r="P340" i="13"/>
  <c r="P334" i="13"/>
  <c r="P328" i="13"/>
  <c r="P316" i="13"/>
  <c r="P310" i="13"/>
  <c r="P304" i="13"/>
  <c r="P298" i="13"/>
  <c r="P292" i="13"/>
  <c r="P286" i="13"/>
  <c r="P280" i="13"/>
  <c r="P378" i="13"/>
  <c r="P375" i="13"/>
  <c r="P341" i="13"/>
  <c r="P329" i="13"/>
  <c r="P311" i="13"/>
  <c r="P386" i="13"/>
  <c r="P353" i="13"/>
  <c r="P293" i="13"/>
  <c r="P359" i="13"/>
  <c r="P275" i="13"/>
  <c r="P377" i="13"/>
  <c r="P371" i="13"/>
  <c r="P389" i="13"/>
  <c r="P366" i="13"/>
  <c r="P360" i="13"/>
  <c r="P276" i="13"/>
  <c r="P270" i="13"/>
  <c r="P246" i="13"/>
  <c r="P383" i="13"/>
  <c r="P347" i="13"/>
  <c r="P323" i="13"/>
  <c r="P305" i="13"/>
  <c r="P287" i="13"/>
  <c r="P376" i="13"/>
  <c r="P358" i="13"/>
  <c r="P363" i="13"/>
  <c r="P267" i="13"/>
  <c r="P255" i="13"/>
  <c r="P367" i="13"/>
  <c r="P361" i="13"/>
  <c r="P355" i="13"/>
  <c r="P364" i="13"/>
  <c r="P260" i="13"/>
  <c r="P254" i="13"/>
  <c r="P269" i="13"/>
  <c r="P325" i="13"/>
  <c r="P301" i="13"/>
  <c r="P349" i="13"/>
  <c r="P319" i="13"/>
  <c r="P289" i="13"/>
  <c r="P271" i="13"/>
  <c r="P374" i="13"/>
  <c r="P351" i="13"/>
  <c r="P345" i="13"/>
  <c r="P339" i="13"/>
  <c r="P333" i="13"/>
  <c r="P327" i="13"/>
  <c r="P321" i="13"/>
  <c r="P315" i="13"/>
  <c r="P309" i="13"/>
  <c r="P303" i="13"/>
  <c r="P297" i="13"/>
  <c r="P291" i="13"/>
  <c r="P285" i="13"/>
  <c r="P279" i="13"/>
  <c r="P266" i="13"/>
  <c r="P259" i="13"/>
  <c r="P262" i="13"/>
  <c r="P356" i="13"/>
  <c r="P346" i="13"/>
  <c r="P322" i="13"/>
  <c r="P248" i="13"/>
  <c r="P257" i="13"/>
  <c r="P263" i="13"/>
  <c r="P274" i="13"/>
  <c r="P253" i="13"/>
  <c r="P350" i="13"/>
  <c r="P344" i="13"/>
  <c r="P338" i="13"/>
  <c r="P332" i="13"/>
  <c r="P326" i="13"/>
  <c r="P320" i="13"/>
  <c r="P314" i="13"/>
  <c r="P308" i="13"/>
  <c r="P302" i="13"/>
  <c r="P296" i="13"/>
  <c r="P290" i="13"/>
  <c r="P284" i="13"/>
  <c r="P278" i="13"/>
  <c r="P258" i="13"/>
  <c r="P251" i="13"/>
  <c r="P268" i="13"/>
  <c r="P337" i="13"/>
  <c r="P307" i="13"/>
  <c r="P277" i="13"/>
  <c r="P272" i="13"/>
  <c r="P264" i="13"/>
  <c r="P252" i="13"/>
  <c r="P265" i="13"/>
  <c r="P357" i="13"/>
  <c r="P249" i="13"/>
  <c r="P247" i="13"/>
  <c r="P365" i="13"/>
  <c r="P354" i="13"/>
  <c r="P261" i="13"/>
  <c r="P348" i="13"/>
  <c r="P342" i="13"/>
  <c r="P336" i="13"/>
  <c r="P330" i="13"/>
  <c r="P324" i="13"/>
  <c r="P318" i="13"/>
  <c r="P312" i="13"/>
  <c r="P306" i="13"/>
  <c r="P300" i="13"/>
  <c r="P294" i="13"/>
  <c r="P288" i="13"/>
  <c r="P282" i="13"/>
  <c r="P335" i="13"/>
  <c r="P317" i="13"/>
  <c r="P299" i="13"/>
  <c r="P281" i="13"/>
  <c r="P331" i="13"/>
  <c r="P295" i="13"/>
  <c r="P385" i="13"/>
  <c r="P384" i="13"/>
  <c r="P382" i="13"/>
  <c r="P381" i="13"/>
  <c r="P380" i="13"/>
  <c r="P388" i="13"/>
  <c r="P387" i="13"/>
  <c r="M396" i="13"/>
  <c r="H397" i="13"/>
  <c r="N397" i="13"/>
  <c r="F401" i="13"/>
  <c r="M399" i="13"/>
  <c r="M398" i="13"/>
  <c r="J399" i="13"/>
  <c r="J398" i="13"/>
  <c r="K395" i="13"/>
  <c r="K394" i="13"/>
  <c r="L399" i="13"/>
  <c r="L398" i="13"/>
  <c r="J400" i="13"/>
  <c r="J397" i="13"/>
  <c r="J396" i="13"/>
  <c r="M400" i="13"/>
  <c r="K399" i="13"/>
  <c r="K398" i="13"/>
  <c r="F396" i="13"/>
  <c r="I399" i="13"/>
  <c r="I398" i="13"/>
  <c r="L400" i="13"/>
  <c r="K400" i="13"/>
  <c r="H393" i="13"/>
  <c r="F394" i="13"/>
  <c r="F392" i="13"/>
  <c r="F391" i="13"/>
  <c r="F397" i="13"/>
  <c r="G399" i="13"/>
  <c r="H392" i="13"/>
  <c r="N391" i="13"/>
  <c r="N390" i="13"/>
  <c r="K393" i="13"/>
  <c r="I396" i="13"/>
  <c r="H394" i="13"/>
  <c r="Q394" i="13" s="1"/>
  <c r="G392" i="13"/>
  <c r="K392" i="13"/>
  <c r="I395" i="13"/>
  <c r="H390" i="13"/>
  <c r="G391" i="13"/>
  <c r="M393" i="13"/>
  <c r="K391" i="13"/>
  <c r="I394" i="13"/>
  <c r="K401" i="13"/>
  <c r="G390" i="13"/>
  <c r="M392" i="13"/>
  <c r="K390" i="13"/>
  <c r="I393" i="13"/>
  <c r="F395" i="13"/>
  <c r="F399" i="13"/>
  <c r="M391" i="13"/>
  <c r="F398" i="13"/>
  <c r="I390" i="13"/>
  <c r="F393" i="13"/>
  <c r="M390" i="13"/>
  <c r="J395" i="13"/>
  <c r="F400" i="13"/>
  <c r="F390" i="13"/>
  <c r="J394" i="13"/>
  <c r="L401" i="13"/>
  <c r="L393" i="13"/>
  <c r="J393" i="13"/>
  <c r="M401" i="13"/>
  <c r="G400" i="13"/>
  <c r="H395" i="13"/>
  <c r="L392" i="13"/>
  <c r="J392" i="13"/>
  <c r="H400" i="13"/>
  <c r="G396" i="13"/>
  <c r="G393" i="13"/>
  <c r="H401" i="13"/>
  <c r="N401" i="13"/>
  <c r="N393" i="13"/>
  <c r="L391" i="13"/>
  <c r="J391" i="13"/>
  <c r="H399" i="13"/>
  <c r="G395" i="13"/>
  <c r="I401" i="13"/>
  <c r="N392" i="13"/>
  <c r="L390" i="13"/>
  <c r="H398" i="13"/>
  <c r="G394" i="13"/>
  <c r="I397" i="13"/>
  <c r="L397" i="13"/>
  <c r="L396" i="13"/>
  <c r="M395" i="13"/>
  <c r="M394" i="13"/>
  <c r="G401" i="13"/>
  <c r="N399" i="13"/>
  <c r="N398" i="13"/>
  <c r="K397" i="13"/>
  <c r="K396" i="13"/>
  <c r="Q396" i="13" s="1"/>
  <c r="L395" i="13"/>
  <c r="L394" i="13"/>
  <c r="P6" i="13"/>
  <c r="Q395" i="13" l="1"/>
  <c r="Q391" i="13"/>
  <c r="Q401" i="13"/>
  <c r="Q398" i="13"/>
  <c r="Q399" i="13"/>
  <c r="Q400" i="13"/>
  <c r="Q390" i="13"/>
  <c r="Q397" i="13"/>
  <c r="Q393" i="13"/>
  <c r="Q392" i="13"/>
  <c r="P400" i="13"/>
  <c r="P399" i="13"/>
  <c r="P398" i="13"/>
  <c r="P392" i="13"/>
  <c r="P396" i="13"/>
  <c r="P394" i="13"/>
  <c r="P397" i="13"/>
  <c r="P393" i="13"/>
  <c r="P391" i="13"/>
  <c r="P390" i="13"/>
  <c r="P395" i="13"/>
  <c r="P401" i="13"/>
  <c r="G6" i="5"/>
  <c r="C20" i="3" l="1"/>
  <c r="C18" i="10"/>
  <c r="C16" i="3"/>
  <c r="C13" i="8" s="1"/>
  <c r="I16" i="8"/>
  <c r="F47" i="3"/>
  <c r="AL12" i="2"/>
  <c r="AL13" i="2"/>
  <c r="AL11" i="2"/>
  <c r="AL9" i="2"/>
  <c r="AL10" i="2"/>
  <c r="AL8" i="2"/>
  <c r="AL6" i="2"/>
  <c r="AL7" i="2"/>
  <c r="AL5" i="2"/>
  <c r="J68" i="2"/>
  <c r="K68" i="2"/>
  <c r="I68" i="2"/>
  <c r="G68" i="2"/>
  <c r="H68" i="2"/>
  <c r="F68" i="2"/>
  <c r="D68" i="2"/>
  <c r="E68" i="2"/>
  <c r="C68" i="2"/>
  <c r="C37" i="3"/>
  <c r="C36" i="3"/>
  <c r="H7" i="5"/>
  <c r="H8" i="5"/>
  <c r="H9" i="5"/>
  <c r="H10" i="5"/>
  <c r="H11" i="5"/>
  <c r="H12" i="5"/>
  <c r="H6" i="5"/>
  <c r="F79" i="3" l="1"/>
  <c r="F80" i="3"/>
  <c r="C80" i="3" s="1"/>
  <c r="G79" i="3"/>
  <c r="D16" i="2"/>
  <c r="C17" i="3"/>
  <c r="C18" i="3" s="1"/>
  <c r="E19" i="5"/>
  <c r="E33" i="5" s="1"/>
  <c r="H19" i="5"/>
  <c r="C19" i="5"/>
  <c r="G19" i="5"/>
  <c r="AG19" i="5"/>
  <c r="AH19" i="5"/>
  <c r="AI19" i="5"/>
  <c r="AJ19" i="5"/>
  <c r="AK19" i="5"/>
  <c r="AL19" i="5"/>
  <c r="F19" i="5"/>
  <c r="F16" i="2"/>
  <c r="E23" i="2"/>
  <c r="F20" i="2"/>
  <c r="D18" i="2"/>
  <c r="F21" i="2"/>
  <c r="D23" i="2"/>
  <c r="E20" i="2"/>
  <c r="F17" i="2"/>
  <c r="D19" i="2"/>
  <c r="F22" i="2"/>
  <c r="D20" i="2"/>
  <c r="E17" i="2"/>
  <c r="E24" i="2"/>
  <c r="F23" i="2"/>
  <c r="E22" i="2"/>
  <c r="F19" i="2"/>
  <c r="D17" i="2"/>
  <c r="F24" i="2"/>
  <c r="D22" i="2"/>
  <c r="E19" i="2"/>
  <c r="E16" i="2"/>
  <c r="E18" i="2"/>
  <c r="D24" i="2"/>
  <c r="E21" i="2"/>
  <c r="F18" i="2"/>
  <c r="D21" i="2"/>
  <c r="F48" i="3"/>
  <c r="G47" i="3"/>
  <c r="J16" i="8"/>
  <c r="U5" i="17"/>
  <c r="U20" i="13"/>
  <c r="U5" i="13"/>
  <c r="D35" i="6"/>
  <c r="D4" i="6"/>
  <c r="D49" i="6"/>
  <c r="U20" i="17"/>
  <c r="D18" i="6"/>
  <c r="G5" i="2" l="1"/>
  <c r="AA8" i="2"/>
  <c r="W5" i="2"/>
  <c r="AJ5" i="2"/>
  <c r="AD9" i="2"/>
  <c r="AF12" i="2"/>
  <c r="W8" i="2"/>
  <c r="J6" i="2"/>
  <c r="G12" i="2"/>
  <c r="W12" i="2"/>
  <c r="N12" i="2"/>
  <c r="O12" i="2"/>
  <c r="AD12" i="2"/>
  <c r="AE12" i="2"/>
  <c r="R5" i="2"/>
  <c r="X12" i="2"/>
  <c r="I6" i="2"/>
  <c r="Q6" i="2"/>
  <c r="U5" i="2"/>
  <c r="P5" i="2"/>
  <c r="Z5" i="2"/>
  <c r="Y6" i="2"/>
  <c r="AI5" i="2"/>
  <c r="AG6" i="2"/>
  <c r="AH5" i="2"/>
  <c r="Q5" i="2"/>
  <c r="I5" i="2"/>
  <c r="AI6" i="2"/>
  <c r="M5" i="2"/>
  <c r="AC5" i="2"/>
  <c r="N11" i="2"/>
  <c r="AI9" i="2"/>
  <c r="AE9" i="2"/>
  <c r="AA5" i="2"/>
  <c r="H5" i="2"/>
  <c r="AG5" i="2"/>
  <c r="S5" i="2"/>
  <c r="AK33" i="5"/>
  <c r="AL33" i="5"/>
  <c r="U21" i="13"/>
  <c r="U22" i="13"/>
  <c r="U23" i="13"/>
  <c r="U24" i="13"/>
  <c r="U25" i="13"/>
  <c r="U26" i="13"/>
  <c r="U27" i="13"/>
  <c r="U28" i="13"/>
  <c r="U29" i="13"/>
  <c r="U30" i="13"/>
  <c r="U31" i="13"/>
  <c r="U32" i="13"/>
  <c r="Y5" i="2"/>
  <c r="AJ13" i="2"/>
  <c r="AI8" i="2"/>
  <c r="J8" i="2"/>
  <c r="I12" i="2"/>
  <c r="G9" i="2"/>
  <c r="M9" i="2"/>
  <c r="U12" i="2"/>
  <c r="O5" i="2"/>
  <c r="K5" i="2"/>
  <c r="AE5" i="2"/>
  <c r="L9" i="2"/>
  <c r="K9" i="2"/>
  <c r="Q12" i="2"/>
  <c r="O9" i="2"/>
  <c r="AF5" i="2"/>
  <c r="AB5" i="2"/>
  <c r="T9" i="2"/>
  <c r="AD5" i="2"/>
  <c r="V12" i="2"/>
  <c r="S6" i="2"/>
  <c r="Y12" i="2"/>
  <c r="W9" i="2"/>
  <c r="X5" i="2"/>
  <c r="T5" i="2"/>
  <c r="R8" i="2"/>
  <c r="AB9" i="2"/>
  <c r="AG12" i="2"/>
  <c r="J5" i="2"/>
  <c r="L5" i="2"/>
  <c r="AA9" i="2"/>
  <c r="AJ9" i="2"/>
  <c r="P12" i="2"/>
  <c r="AB8" i="2"/>
  <c r="M8" i="2"/>
  <c r="AC9" i="2"/>
  <c r="J12" i="2"/>
  <c r="K12" i="2"/>
  <c r="K8" i="2"/>
  <c r="V11" i="2"/>
  <c r="H12" i="2"/>
  <c r="N9" i="2"/>
  <c r="O6" i="2"/>
  <c r="R12" i="2"/>
  <c r="Y8" i="2"/>
  <c r="J7" i="2"/>
  <c r="S8" i="2"/>
  <c r="V9" i="2"/>
  <c r="G8" i="2"/>
  <c r="O13" i="2"/>
  <c r="AF7" i="2"/>
  <c r="AA6" i="2"/>
  <c r="AD7" i="2"/>
  <c r="L6" i="2"/>
  <c r="AA12" i="2"/>
  <c r="N6" i="2"/>
  <c r="W6" i="2"/>
  <c r="S10" i="2"/>
  <c r="X13" i="2"/>
  <c r="P6" i="2"/>
  <c r="Z8" i="2"/>
  <c r="U8" i="2"/>
  <c r="AJ6" i="2"/>
  <c r="AI13" i="2"/>
  <c r="AF9" i="2"/>
  <c r="H6" i="2"/>
  <c r="P8" i="2"/>
  <c r="X6" i="2"/>
  <c r="AH11" i="2"/>
  <c r="AC8" i="2"/>
  <c r="R6" i="2"/>
  <c r="N8" i="2"/>
  <c r="S9" i="2"/>
  <c r="T12" i="2"/>
  <c r="AC12" i="2"/>
  <c r="T8" i="2"/>
  <c r="AF6" i="2"/>
  <c r="V5" i="2"/>
  <c r="Q8" i="2"/>
  <c r="K6" i="2"/>
  <c r="U6" i="2"/>
  <c r="L8" i="2"/>
  <c r="AH6" i="2"/>
  <c r="AG11" i="2"/>
  <c r="I10" i="2"/>
  <c r="AA10" i="2"/>
  <c r="I7" i="2"/>
  <c r="Z7" i="2"/>
  <c r="AD11" i="2"/>
  <c r="AF13" i="2"/>
  <c r="Q7" i="2"/>
  <c r="K7" i="2"/>
  <c r="W10" i="2"/>
  <c r="AA7" i="2"/>
  <c r="N5" i="2"/>
  <c r="H10" i="2"/>
  <c r="M6" i="2"/>
  <c r="O8" i="2"/>
  <c r="Q10" i="2"/>
  <c r="S12" i="2"/>
  <c r="Y7" i="2"/>
  <c r="U9" i="2"/>
  <c r="V6" i="2"/>
  <c r="X8" i="2"/>
  <c r="Z10" i="2"/>
  <c r="AB12" i="2"/>
  <c r="AJ8" i="2"/>
  <c r="AE6" i="2"/>
  <c r="AG8" i="2"/>
  <c r="AI10" i="2"/>
  <c r="P10" i="2"/>
  <c r="S7" i="2"/>
  <c r="Y10" i="2"/>
  <c r="N10" i="2"/>
  <c r="AD6" i="2"/>
  <c r="AF8" i="2"/>
  <c r="AH10" i="2"/>
  <c r="AJ12" i="2"/>
  <c r="AE11" i="2"/>
  <c r="H7" i="2"/>
  <c r="J9" i="2"/>
  <c r="L11" i="2"/>
  <c r="N13" i="2"/>
  <c r="R7" i="2"/>
  <c r="AC7" i="2"/>
  <c r="R10" i="2"/>
  <c r="AE10" i="2"/>
  <c r="M10" i="2"/>
  <c r="AB10" i="2"/>
  <c r="I13" i="2"/>
  <c r="H11" i="2"/>
  <c r="J13" i="2"/>
  <c r="T6" i="2"/>
  <c r="V8" i="2"/>
  <c r="X10" i="2"/>
  <c r="Z12" i="2"/>
  <c r="AG7" i="2"/>
  <c r="AC6" i="2"/>
  <c r="AE8" i="2"/>
  <c r="AG10" i="2"/>
  <c r="AI12" i="2"/>
  <c r="AJ10" i="2"/>
  <c r="G11" i="2"/>
  <c r="G7" i="2"/>
  <c r="I9" i="2"/>
  <c r="K11" i="2"/>
  <c r="M13" i="2"/>
  <c r="P7" i="2"/>
  <c r="R9" i="2"/>
  <c r="T11" i="2"/>
  <c r="V13" i="2"/>
  <c r="T10" i="2"/>
  <c r="U10" i="2"/>
  <c r="Q13" i="2"/>
  <c r="L10" i="2"/>
  <c r="L7" i="2"/>
  <c r="P11" i="2"/>
  <c r="R13" i="2"/>
  <c r="V10" i="2"/>
  <c r="AB6" i="2"/>
  <c r="AD8" i="2"/>
  <c r="AF10" i="2"/>
  <c r="AH12" i="2"/>
  <c r="AH8" i="2"/>
  <c r="O11" i="2"/>
  <c r="H9" i="2"/>
  <c r="J11" i="2"/>
  <c r="L13" i="2"/>
  <c r="O7" i="2"/>
  <c r="Q9" i="2"/>
  <c r="S11" i="2"/>
  <c r="U13" i="2"/>
  <c r="X7" i="2"/>
  <c r="Z9" i="2"/>
  <c r="AB11" i="2"/>
  <c r="AD13" i="2"/>
  <c r="AC11" i="2"/>
  <c r="AC10" i="2"/>
  <c r="AI7" i="2"/>
  <c r="Y13" i="2"/>
  <c r="U11" i="2"/>
  <c r="T7" i="2"/>
  <c r="X11" i="2"/>
  <c r="Z13" i="2"/>
  <c r="W11" i="2"/>
  <c r="I11" i="2"/>
  <c r="K13" i="2"/>
  <c r="N7" i="2"/>
  <c r="P9" i="2"/>
  <c r="R11" i="2"/>
  <c r="T13" i="2"/>
  <c r="G13" i="2"/>
  <c r="W7" i="2"/>
  <c r="Y9" i="2"/>
  <c r="AA11" i="2"/>
  <c r="AC13" i="2"/>
  <c r="AH9" i="2"/>
  <c r="AJ11" i="2"/>
  <c r="O10" i="2"/>
  <c r="AH7" i="2"/>
  <c r="H13" i="2"/>
  <c r="AG13" i="2"/>
  <c r="AB7" i="2"/>
  <c r="AF11" i="2"/>
  <c r="AH13" i="2"/>
  <c r="M7" i="2"/>
  <c r="Q11" i="2"/>
  <c r="S13" i="2"/>
  <c r="M11" i="2"/>
  <c r="V7" i="2"/>
  <c r="X9" i="2"/>
  <c r="Z11" i="2"/>
  <c r="AB13" i="2"/>
  <c r="AE7" i="2"/>
  <c r="AG9" i="2"/>
  <c r="AI11" i="2"/>
  <c r="G6" i="2"/>
  <c r="I8" i="2"/>
  <c r="K10" i="2"/>
  <c r="M12" i="2"/>
  <c r="AE13" i="2"/>
  <c r="P13" i="2"/>
  <c r="AD10" i="2"/>
  <c r="W13" i="2"/>
  <c r="AJ7" i="2"/>
  <c r="G10" i="2"/>
  <c r="U7" i="2"/>
  <c r="Y11" i="2"/>
  <c r="AA13" i="2"/>
  <c r="Z6" i="2"/>
  <c r="H8" i="2"/>
  <c r="J10" i="2"/>
  <c r="L12" i="2"/>
  <c r="K16" i="8"/>
  <c r="V20" i="13"/>
  <c r="V5" i="17"/>
  <c r="V5" i="13"/>
  <c r="V20" i="17"/>
  <c r="E49" i="6"/>
  <c r="E35" i="6"/>
  <c r="E4" i="6"/>
  <c r="E18" i="6"/>
  <c r="H47" i="3"/>
  <c r="C12" i="4"/>
  <c r="E6" i="4" s="1"/>
  <c r="C11" i="4"/>
  <c r="E5" i="4"/>
  <c r="E4" i="4"/>
  <c r="G48" i="3" l="1"/>
  <c r="V21" i="13"/>
  <c r="V22" i="13"/>
  <c r="V23" i="13"/>
  <c r="V24" i="13"/>
  <c r="V25" i="13"/>
  <c r="V26" i="13"/>
  <c r="V27" i="13"/>
  <c r="V28" i="13"/>
  <c r="V29" i="13"/>
  <c r="V30" i="13"/>
  <c r="V31" i="13"/>
  <c r="V32" i="13"/>
  <c r="I47" i="3"/>
  <c r="H48" i="3"/>
  <c r="L16" i="8"/>
  <c r="W20" i="13"/>
  <c r="W5" i="17"/>
  <c r="W5" i="13"/>
  <c r="W20" i="17"/>
  <c r="F35" i="6"/>
  <c r="F4" i="6"/>
  <c r="F49" i="6"/>
  <c r="F18" i="6"/>
  <c r="W21" i="13" l="1"/>
  <c r="W22" i="13"/>
  <c r="W23" i="13"/>
  <c r="W24" i="13"/>
  <c r="W25" i="13"/>
  <c r="W26" i="13"/>
  <c r="W27" i="13"/>
  <c r="W28" i="13"/>
  <c r="W29" i="13"/>
  <c r="W30" i="13"/>
  <c r="W31" i="13"/>
  <c r="W32" i="13"/>
  <c r="J47" i="3"/>
  <c r="I48" i="3"/>
  <c r="M16" i="8"/>
  <c r="X5" i="13"/>
  <c r="X20" i="17"/>
  <c r="X5" i="17"/>
  <c r="G49" i="6"/>
  <c r="G35" i="6"/>
  <c r="G18" i="6"/>
  <c r="G4" i="6"/>
  <c r="X20" i="13"/>
  <c r="G7" i="5"/>
  <c r="G8" i="5"/>
  <c r="G9" i="5"/>
  <c r="G10" i="5"/>
  <c r="G11" i="5"/>
  <c r="C35" i="3" s="1"/>
  <c r="G12" i="5"/>
  <c r="D22" i="19"/>
  <c r="X21" i="13" l="1"/>
  <c r="X22" i="13"/>
  <c r="X23" i="13"/>
  <c r="X24" i="13"/>
  <c r="X25" i="13"/>
  <c r="X26" i="13"/>
  <c r="X27" i="13"/>
  <c r="X28" i="13"/>
  <c r="X29" i="13"/>
  <c r="X30" i="13"/>
  <c r="X31" i="13"/>
  <c r="X32" i="13"/>
  <c r="K47" i="3"/>
  <c r="J48" i="3"/>
  <c r="N16" i="8"/>
  <c r="Y5" i="13"/>
  <c r="Y20" i="17"/>
  <c r="Y5" i="17"/>
  <c r="Y20" i="13"/>
  <c r="H18" i="6"/>
  <c r="H49" i="6"/>
  <c r="H35" i="6"/>
  <c r="H4" i="6"/>
  <c r="AH17" i="5"/>
  <c r="AI17" i="5"/>
  <c r="AJ17" i="5"/>
  <c r="AH20" i="5"/>
  <c r="AI20" i="5"/>
  <c r="AJ20" i="5"/>
  <c r="AJ33" i="5" l="1"/>
  <c r="AI33" i="5"/>
  <c r="AH33" i="5"/>
  <c r="Y21" i="13"/>
  <c r="Y22" i="13"/>
  <c r="Y23" i="13"/>
  <c r="Y24" i="13"/>
  <c r="Y25" i="13"/>
  <c r="Y26" i="13"/>
  <c r="Y27" i="13"/>
  <c r="Y28" i="13"/>
  <c r="Y29" i="13"/>
  <c r="Y30" i="13"/>
  <c r="Y31" i="13"/>
  <c r="Y32" i="13"/>
  <c r="O16" i="8"/>
  <c r="Z5" i="13"/>
  <c r="Z20" i="17"/>
  <c r="Z20" i="13"/>
  <c r="Z5" i="17"/>
  <c r="I18" i="6"/>
  <c r="I49" i="6"/>
  <c r="I4" i="6"/>
  <c r="I35" i="6"/>
  <c r="L47" i="3"/>
  <c r="K48" i="3"/>
  <c r="C5" i="19"/>
  <c r="C22" i="19"/>
  <c r="G24" i="19"/>
  <c r="G25" i="19"/>
  <c r="G26" i="19"/>
  <c r="G27" i="19"/>
  <c r="G28" i="19"/>
  <c r="G29" i="19"/>
  <c r="G30" i="19"/>
  <c r="G31" i="19"/>
  <c r="G32" i="19"/>
  <c r="G23" i="19"/>
  <c r="B24" i="19"/>
  <c r="B25" i="19"/>
  <c r="B26" i="19"/>
  <c r="B27" i="19"/>
  <c r="B28" i="19"/>
  <c r="B29" i="19"/>
  <c r="B30" i="19"/>
  <c r="B31" i="19"/>
  <c r="B32" i="19"/>
  <c r="F22" i="19"/>
  <c r="E22" i="19"/>
  <c r="Z21" i="13" l="1"/>
  <c r="Z22" i="13"/>
  <c r="Z23" i="13"/>
  <c r="Z24" i="13"/>
  <c r="Z25" i="13"/>
  <c r="Z26" i="13"/>
  <c r="Z27" i="13"/>
  <c r="Z28" i="13"/>
  <c r="Z29" i="13"/>
  <c r="Z30" i="13"/>
  <c r="Z31" i="13"/>
  <c r="Z32" i="13"/>
  <c r="M47" i="3"/>
  <c r="L48" i="3"/>
  <c r="P16" i="8"/>
  <c r="AA5" i="13"/>
  <c r="AA20" i="17"/>
  <c r="J49" i="6"/>
  <c r="J35" i="6"/>
  <c r="J18" i="6"/>
  <c r="J4" i="6"/>
  <c r="AA20" i="13"/>
  <c r="AA5" i="17"/>
  <c r="E32" i="19" a="1"/>
  <c r="E32" i="19" s="1"/>
  <c r="E23" i="19" a="1"/>
  <c r="E23" i="19" s="1"/>
  <c r="D23" i="19"/>
  <c r="C23" i="19" a="1"/>
  <c r="C23" i="19" s="1"/>
  <c r="C25" i="19" a="1"/>
  <c r="C25" i="19" s="1"/>
  <c r="D31" i="19"/>
  <c r="E30" i="19" a="1"/>
  <c r="E30" i="19" s="1"/>
  <c r="C24" i="19" a="1"/>
  <c r="C24" i="19" s="1"/>
  <c r="C26" i="19" a="1"/>
  <c r="C26" i="19" s="1"/>
  <c r="C31" i="19" a="1"/>
  <c r="C31" i="19" s="1"/>
  <c r="C32" i="19" a="1"/>
  <c r="C32" i="19" s="1"/>
  <c r="C30" i="19" a="1"/>
  <c r="C30" i="19" s="1"/>
  <c r="C27" i="19" a="1"/>
  <c r="C27" i="19" s="1"/>
  <c r="C28" i="19" a="1"/>
  <c r="C28" i="19" s="1"/>
  <c r="C29" i="19" a="1"/>
  <c r="C29" i="19" s="1"/>
  <c r="D28" i="19"/>
  <c r="E29" i="19" a="1"/>
  <c r="E29" i="19" s="1"/>
  <c r="D27" i="19"/>
  <c r="E28" i="19" a="1"/>
  <c r="E28" i="19" s="1"/>
  <c r="D26" i="19"/>
  <c r="E27" i="19" a="1"/>
  <c r="E27" i="19" s="1"/>
  <c r="D25" i="19"/>
  <c r="E26" i="19" a="1"/>
  <c r="E26" i="19" s="1"/>
  <c r="D32" i="19"/>
  <c r="D24" i="19"/>
  <c r="E25" i="19" a="1"/>
  <c r="E25" i="19" s="1"/>
  <c r="E24" i="19" a="1"/>
  <c r="E24" i="19" s="1"/>
  <c r="D30" i="19"/>
  <c r="E31" i="19" a="1"/>
  <c r="E31" i="19" s="1"/>
  <c r="D29" i="19"/>
  <c r="AA22" i="13" l="1"/>
  <c r="AA24" i="13"/>
  <c r="AA25" i="13"/>
  <c r="AA27" i="13"/>
  <c r="AA29" i="13"/>
  <c r="AA31" i="13"/>
  <c r="AA21" i="13"/>
  <c r="AA23" i="13"/>
  <c r="AA26" i="13"/>
  <c r="AA28" i="13"/>
  <c r="AA30" i="13"/>
  <c r="AA32" i="13"/>
  <c r="Q16" i="8"/>
  <c r="AB5" i="13"/>
  <c r="AB20" i="17"/>
  <c r="AB5" i="17"/>
  <c r="K49" i="6"/>
  <c r="AB20" i="13"/>
  <c r="K18" i="6"/>
  <c r="K4" i="6"/>
  <c r="K35" i="6"/>
  <c r="N47" i="3"/>
  <c r="M48" i="3"/>
  <c r="F23" i="19"/>
  <c r="F26" i="19"/>
  <c r="F27" i="19"/>
  <c r="F25" i="19"/>
  <c r="F28" i="19"/>
  <c r="F32" i="19"/>
  <c r="F30" i="19"/>
  <c r="F31" i="19"/>
  <c r="F29" i="19"/>
  <c r="F24" i="19"/>
  <c r="AB22" i="13" l="1"/>
  <c r="AB23" i="13"/>
  <c r="AB24" i="13"/>
  <c r="AB25" i="13"/>
  <c r="AB26" i="13"/>
  <c r="AB27" i="13"/>
  <c r="AB28" i="13"/>
  <c r="AB29" i="13"/>
  <c r="AB30" i="13"/>
  <c r="AB31" i="13"/>
  <c r="AB32" i="13"/>
  <c r="AB21" i="13"/>
  <c r="O47" i="3"/>
  <c r="N48" i="3"/>
  <c r="R16" i="8"/>
  <c r="AC5" i="17"/>
  <c r="AC20" i="13"/>
  <c r="AC5" i="13"/>
  <c r="L49" i="6"/>
  <c r="L4" i="6"/>
  <c r="L18" i="6"/>
  <c r="L35" i="6"/>
  <c r="AC20" i="17"/>
  <c r="B23" i="19"/>
  <c r="AC21" i="13" l="1"/>
  <c r="AC22" i="13"/>
  <c r="AC23" i="13"/>
  <c r="AC24" i="13"/>
  <c r="AC25" i="13"/>
  <c r="AC26" i="13"/>
  <c r="AC27" i="13"/>
  <c r="AC28" i="13"/>
  <c r="AC29" i="13"/>
  <c r="AC30" i="13"/>
  <c r="AC31" i="13"/>
  <c r="AC32" i="13"/>
  <c r="S16" i="8"/>
  <c r="AD20" i="13"/>
  <c r="AD5" i="17"/>
  <c r="AD5" i="13"/>
  <c r="AD20" i="17"/>
  <c r="M49" i="6"/>
  <c r="M35" i="6"/>
  <c r="M4" i="6"/>
  <c r="M18" i="6"/>
  <c r="P47" i="3"/>
  <c r="O48" i="3"/>
  <c r="F33" i="5"/>
  <c r="G33" i="5"/>
  <c r="E50" i="3" l="1"/>
  <c r="AG33" i="5"/>
  <c r="AD21" i="13"/>
  <c r="AD22" i="13"/>
  <c r="AD23" i="13"/>
  <c r="AD24" i="13"/>
  <c r="AD25" i="13"/>
  <c r="AD26" i="13"/>
  <c r="AD27" i="13"/>
  <c r="AD28" i="13"/>
  <c r="AD29" i="13"/>
  <c r="AD30" i="13"/>
  <c r="AD31" i="13"/>
  <c r="AD32" i="13"/>
  <c r="Q47" i="3"/>
  <c r="P48" i="3"/>
  <c r="T16" i="8"/>
  <c r="AE20" i="13"/>
  <c r="AE5" i="17"/>
  <c r="AE5" i="13"/>
  <c r="AE20" i="17"/>
  <c r="N4" i="6"/>
  <c r="N35" i="6"/>
  <c r="N49" i="6"/>
  <c r="N18" i="6"/>
  <c r="C245" i="17"/>
  <c r="B245" i="17"/>
  <c r="C244" i="17"/>
  <c r="B244" i="17"/>
  <c r="C243" i="17"/>
  <c r="B243" i="17"/>
  <c r="C242" i="17"/>
  <c r="B242" i="17"/>
  <c r="C241" i="17"/>
  <c r="B241" i="17"/>
  <c r="C240" i="17"/>
  <c r="B240" i="17"/>
  <c r="C239" i="17"/>
  <c r="B239" i="17"/>
  <c r="C238" i="17"/>
  <c r="B238" i="17"/>
  <c r="C237" i="17"/>
  <c r="B237" i="17"/>
  <c r="C236" i="17"/>
  <c r="B236" i="17"/>
  <c r="C235" i="17"/>
  <c r="B235" i="17"/>
  <c r="C234" i="17"/>
  <c r="B234" i="17"/>
  <c r="C233" i="17"/>
  <c r="B233" i="17"/>
  <c r="C232" i="17"/>
  <c r="B232" i="17"/>
  <c r="C231" i="17"/>
  <c r="B231" i="17"/>
  <c r="C230" i="17"/>
  <c r="B230" i="17"/>
  <c r="C229" i="17"/>
  <c r="B229" i="17"/>
  <c r="C228" i="17"/>
  <c r="B228" i="17"/>
  <c r="C227" i="17"/>
  <c r="B227" i="17"/>
  <c r="C226" i="17"/>
  <c r="B226" i="17"/>
  <c r="C225" i="17"/>
  <c r="B225" i="17"/>
  <c r="C224" i="17"/>
  <c r="B224" i="17"/>
  <c r="C223" i="17"/>
  <c r="B223" i="17"/>
  <c r="C222" i="17"/>
  <c r="B222" i="17"/>
  <c r="C221" i="17"/>
  <c r="B221" i="17"/>
  <c r="C220" i="17"/>
  <c r="B220" i="17"/>
  <c r="C219" i="17"/>
  <c r="B219" i="17"/>
  <c r="C218" i="17"/>
  <c r="B218" i="17"/>
  <c r="C217" i="17"/>
  <c r="B217" i="17"/>
  <c r="C216" i="17"/>
  <c r="B216" i="17"/>
  <c r="C215" i="17"/>
  <c r="B215" i="17"/>
  <c r="C214" i="17"/>
  <c r="B214" i="17"/>
  <c r="C213" i="17"/>
  <c r="B213" i="17"/>
  <c r="C212" i="17"/>
  <c r="B212" i="17"/>
  <c r="C211" i="17"/>
  <c r="B211" i="17"/>
  <c r="C210" i="17"/>
  <c r="B210" i="17"/>
  <c r="C209" i="17"/>
  <c r="B209" i="17"/>
  <c r="C208" i="17"/>
  <c r="B208" i="17"/>
  <c r="C207" i="17"/>
  <c r="B207" i="17"/>
  <c r="C206" i="17"/>
  <c r="B206" i="17"/>
  <c r="C205" i="17"/>
  <c r="B205" i="17"/>
  <c r="C204" i="17"/>
  <c r="B204" i="17"/>
  <c r="C203" i="17"/>
  <c r="B203" i="17"/>
  <c r="C202" i="17"/>
  <c r="B202" i="17"/>
  <c r="C201" i="17"/>
  <c r="B201" i="17"/>
  <c r="C200" i="17"/>
  <c r="B200" i="17"/>
  <c r="C199" i="17"/>
  <c r="B199" i="17"/>
  <c r="C198" i="17"/>
  <c r="B198" i="17"/>
  <c r="C197" i="17"/>
  <c r="B197" i="17"/>
  <c r="C196" i="17"/>
  <c r="B196" i="17"/>
  <c r="C195" i="17"/>
  <c r="B195" i="17"/>
  <c r="C194" i="17"/>
  <c r="B194" i="17"/>
  <c r="C193" i="17"/>
  <c r="B193" i="17"/>
  <c r="C192" i="17"/>
  <c r="B192" i="17"/>
  <c r="C191" i="17"/>
  <c r="B191" i="17"/>
  <c r="C190" i="17"/>
  <c r="B190" i="17"/>
  <c r="C189" i="17"/>
  <c r="B189" i="17"/>
  <c r="C188" i="17"/>
  <c r="B188" i="17"/>
  <c r="C187" i="17"/>
  <c r="B187" i="17"/>
  <c r="C186" i="17"/>
  <c r="B186" i="17"/>
  <c r="C185" i="17"/>
  <c r="B185" i="17"/>
  <c r="C184" i="17"/>
  <c r="B184" i="17"/>
  <c r="C183" i="17"/>
  <c r="B183" i="17"/>
  <c r="C182" i="17"/>
  <c r="B182" i="17"/>
  <c r="C181" i="17"/>
  <c r="B181" i="17"/>
  <c r="C180" i="17"/>
  <c r="B180" i="17"/>
  <c r="C179" i="17"/>
  <c r="B179" i="17"/>
  <c r="C178" i="17"/>
  <c r="B178" i="17"/>
  <c r="C177" i="17"/>
  <c r="B177" i="17"/>
  <c r="C176" i="17"/>
  <c r="B176" i="17"/>
  <c r="C175" i="17"/>
  <c r="B175" i="17"/>
  <c r="C174" i="17"/>
  <c r="B174" i="17"/>
  <c r="C173" i="17"/>
  <c r="B173" i="17"/>
  <c r="C172" i="17"/>
  <c r="B172" i="17"/>
  <c r="C171" i="17"/>
  <c r="B171" i="17"/>
  <c r="C170" i="17"/>
  <c r="B170" i="17"/>
  <c r="C169" i="17"/>
  <c r="B169" i="17"/>
  <c r="C168" i="17"/>
  <c r="B168" i="17"/>
  <c r="C167" i="17"/>
  <c r="B167" i="17"/>
  <c r="C166" i="17"/>
  <c r="B166" i="17"/>
  <c r="C165" i="17"/>
  <c r="B165" i="17"/>
  <c r="C164" i="17"/>
  <c r="B164" i="17"/>
  <c r="C163" i="17"/>
  <c r="B163" i="17"/>
  <c r="C162" i="17"/>
  <c r="B162" i="17"/>
  <c r="C161" i="17"/>
  <c r="B161" i="17"/>
  <c r="C160" i="17"/>
  <c r="B160" i="17"/>
  <c r="C159" i="17"/>
  <c r="B159" i="17"/>
  <c r="C158" i="17"/>
  <c r="B158" i="17"/>
  <c r="C157" i="17"/>
  <c r="B157" i="17"/>
  <c r="C156" i="17"/>
  <c r="B156" i="17"/>
  <c r="C155" i="17"/>
  <c r="B155" i="17"/>
  <c r="C154" i="17"/>
  <c r="B154" i="17"/>
  <c r="C153" i="17"/>
  <c r="B153" i="17"/>
  <c r="C152" i="17"/>
  <c r="B152" i="17"/>
  <c r="C151" i="17"/>
  <c r="B151" i="17"/>
  <c r="C150" i="17"/>
  <c r="B150" i="17"/>
  <c r="C149" i="17"/>
  <c r="B149" i="17"/>
  <c r="C148" i="17"/>
  <c r="B148" i="17"/>
  <c r="C147" i="17"/>
  <c r="B147" i="17"/>
  <c r="C146" i="17"/>
  <c r="B146" i="17"/>
  <c r="C145" i="17"/>
  <c r="B145" i="17"/>
  <c r="C144" i="17"/>
  <c r="B144" i="17"/>
  <c r="C143" i="17"/>
  <c r="B143" i="17"/>
  <c r="C142" i="17"/>
  <c r="B142" i="17"/>
  <c r="C141" i="17"/>
  <c r="B141" i="17"/>
  <c r="C140" i="17"/>
  <c r="B140" i="17"/>
  <c r="C139" i="17"/>
  <c r="B139" i="17"/>
  <c r="C138" i="17"/>
  <c r="B138" i="17"/>
  <c r="C137" i="17"/>
  <c r="B137" i="17"/>
  <c r="C136" i="17"/>
  <c r="B136" i="17"/>
  <c r="C135" i="17"/>
  <c r="B135" i="17"/>
  <c r="C134" i="17"/>
  <c r="B134" i="17"/>
  <c r="C133" i="17"/>
  <c r="B133" i="17"/>
  <c r="C132" i="17"/>
  <c r="B132" i="17"/>
  <c r="C131" i="17"/>
  <c r="B131" i="17"/>
  <c r="C130" i="17"/>
  <c r="B130" i="17"/>
  <c r="C129" i="17"/>
  <c r="B129" i="17"/>
  <c r="C128" i="17"/>
  <c r="B128" i="17"/>
  <c r="C127" i="17"/>
  <c r="B127" i="17"/>
  <c r="C126" i="17"/>
  <c r="B126" i="17"/>
  <c r="C125" i="17"/>
  <c r="B125" i="17"/>
  <c r="C124" i="17"/>
  <c r="B124" i="17"/>
  <c r="C123" i="17"/>
  <c r="B123" i="17"/>
  <c r="C122" i="17"/>
  <c r="B122" i="17"/>
  <c r="C121" i="17"/>
  <c r="B121" i="17"/>
  <c r="C120" i="17"/>
  <c r="B120" i="17"/>
  <c r="C119" i="17"/>
  <c r="B119" i="17"/>
  <c r="C118" i="17"/>
  <c r="B118" i="17"/>
  <c r="C117" i="17"/>
  <c r="B117" i="17"/>
  <c r="C116" i="17"/>
  <c r="B116" i="17"/>
  <c r="C115" i="17"/>
  <c r="B115" i="17"/>
  <c r="C114" i="17"/>
  <c r="B114" i="17"/>
  <c r="C113" i="17"/>
  <c r="B113" i="17"/>
  <c r="C112" i="17"/>
  <c r="B112" i="17"/>
  <c r="C111" i="17"/>
  <c r="B111" i="17"/>
  <c r="C110" i="17"/>
  <c r="B110" i="17"/>
  <c r="C109" i="17"/>
  <c r="B109" i="17"/>
  <c r="C108" i="17"/>
  <c r="B108" i="17"/>
  <c r="C107" i="17"/>
  <c r="B107" i="17"/>
  <c r="C106" i="17"/>
  <c r="B106" i="17"/>
  <c r="C105" i="17"/>
  <c r="B105" i="17"/>
  <c r="C104" i="17"/>
  <c r="B104" i="17"/>
  <c r="C103" i="17"/>
  <c r="B103" i="17"/>
  <c r="C102" i="17"/>
  <c r="B102" i="17"/>
  <c r="C101" i="17"/>
  <c r="B101" i="17"/>
  <c r="C100" i="17"/>
  <c r="B100" i="17"/>
  <c r="C99" i="17"/>
  <c r="B99" i="17"/>
  <c r="C98" i="17"/>
  <c r="B98" i="17"/>
  <c r="C97" i="17"/>
  <c r="B97" i="17"/>
  <c r="C96" i="17"/>
  <c r="B96" i="17"/>
  <c r="C95" i="17"/>
  <c r="B95" i="17"/>
  <c r="C94" i="17"/>
  <c r="B94" i="17"/>
  <c r="C93" i="17"/>
  <c r="B93" i="17"/>
  <c r="C92" i="17"/>
  <c r="B92" i="17"/>
  <c r="C91" i="17"/>
  <c r="B91" i="17"/>
  <c r="C90" i="17"/>
  <c r="B90" i="17"/>
  <c r="C89" i="17"/>
  <c r="B89" i="17"/>
  <c r="C88" i="17"/>
  <c r="B88" i="17"/>
  <c r="C87" i="17"/>
  <c r="B87" i="17"/>
  <c r="C86" i="17"/>
  <c r="B86" i="17"/>
  <c r="C85" i="17"/>
  <c r="B85" i="17"/>
  <c r="C84" i="17"/>
  <c r="B84" i="17"/>
  <c r="C83" i="17"/>
  <c r="B83" i="17"/>
  <c r="C82" i="17"/>
  <c r="B82" i="17"/>
  <c r="C81" i="17"/>
  <c r="B81" i="17"/>
  <c r="C80" i="17"/>
  <c r="B80" i="17"/>
  <c r="C79" i="17"/>
  <c r="B79" i="17"/>
  <c r="C78" i="17"/>
  <c r="B78" i="17"/>
  <c r="C77" i="17"/>
  <c r="B77" i="17"/>
  <c r="C76" i="17"/>
  <c r="B76" i="17"/>
  <c r="C75" i="17"/>
  <c r="B75" i="17"/>
  <c r="C74" i="17"/>
  <c r="B74" i="17"/>
  <c r="C73" i="17"/>
  <c r="B73" i="17"/>
  <c r="C72" i="17"/>
  <c r="B72" i="17"/>
  <c r="C71" i="17"/>
  <c r="B71" i="17"/>
  <c r="C70" i="17"/>
  <c r="B70" i="17"/>
  <c r="C69" i="17"/>
  <c r="B69" i="17"/>
  <c r="C68" i="17"/>
  <c r="B68" i="17"/>
  <c r="C67" i="17"/>
  <c r="B67" i="17"/>
  <c r="C66" i="17"/>
  <c r="B66" i="17"/>
  <c r="C65" i="17"/>
  <c r="B65" i="17"/>
  <c r="C64" i="17"/>
  <c r="B64" i="17"/>
  <c r="C63" i="17"/>
  <c r="B63" i="17"/>
  <c r="C62" i="17"/>
  <c r="B62" i="17"/>
  <c r="C61" i="17"/>
  <c r="B61" i="17"/>
  <c r="C60" i="17"/>
  <c r="B60" i="17"/>
  <c r="C59" i="17"/>
  <c r="B59" i="17"/>
  <c r="C58" i="17"/>
  <c r="B58" i="17"/>
  <c r="C57" i="17"/>
  <c r="B57" i="17"/>
  <c r="C56" i="17"/>
  <c r="B56" i="17"/>
  <c r="C55" i="17"/>
  <c r="B55" i="17"/>
  <c r="C54" i="17"/>
  <c r="B54" i="17"/>
  <c r="C53" i="17"/>
  <c r="B53" i="17"/>
  <c r="C52" i="17"/>
  <c r="B52" i="17"/>
  <c r="C51" i="17"/>
  <c r="B51" i="17"/>
  <c r="C50" i="17"/>
  <c r="B50" i="17"/>
  <c r="C49" i="17"/>
  <c r="B49" i="17"/>
  <c r="C48" i="17"/>
  <c r="B48" i="17"/>
  <c r="C47" i="17"/>
  <c r="B47" i="17"/>
  <c r="C46" i="17"/>
  <c r="B46" i="17"/>
  <c r="C45" i="17"/>
  <c r="B45" i="17"/>
  <c r="C44" i="17"/>
  <c r="B44" i="17"/>
  <c r="C43" i="17"/>
  <c r="B43" i="17"/>
  <c r="C42" i="17"/>
  <c r="B42" i="17"/>
  <c r="C41" i="17"/>
  <c r="B41" i="17"/>
  <c r="C40" i="17"/>
  <c r="B40" i="17"/>
  <c r="C39" i="17"/>
  <c r="B39" i="17"/>
  <c r="C38" i="17"/>
  <c r="B38" i="17"/>
  <c r="C37" i="17"/>
  <c r="B37" i="17"/>
  <c r="C36" i="17"/>
  <c r="B36" i="17"/>
  <c r="C35" i="17"/>
  <c r="B35" i="17"/>
  <c r="C34" i="17"/>
  <c r="B34" i="17"/>
  <c r="C33" i="17"/>
  <c r="B33" i="17"/>
  <c r="C32" i="17"/>
  <c r="B32" i="17"/>
  <c r="C31" i="17"/>
  <c r="B31" i="17"/>
  <c r="C30" i="17"/>
  <c r="B30" i="17"/>
  <c r="C29" i="17"/>
  <c r="B29" i="17"/>
  <c r="C28" i="17"/>
  <c r="B28" i="17"/>
  <c r="C27" i="17"/>
  <c r="B27" i="17"/>
  <c r="C26" i="17"/>
  <c r="B26" i="17"/>
  <c r="C25" i="17"/>
  <c r="B25" i="17"/>
  <c r="C24" i="17"/>
  <c r="B24" i="17"/>
  <c r="C23" i="17"/>
  <c r="B23" i="17"/>
  <c r="C22" i="17"/>
  <c r="B22" i="17"/>
  <c r="C21" i="17"/>
  <c r="B21" i="17"/>
  <c r="C20" i="17"/>
  <c r="B20" i="17"/>
  <c r="C19" i="17"/>
  <c r="B19" i="17"/>
  <c r="C18" i="17"/>
  <c r="B18" i="17"/>
  <c r="C17" i="17"/>
  <c r="B17" i="17"/>
  <c r="C16" i="17"/>
  <c r="B16" i="17"/>
  <c r="C15" i="17"/>
  <c r="B15" i="17"/>
  <c r="C14" i="17"/>
  <c r="B14" i="17"/>
  <c r="C13" i="17"/>
  <c r="B13" i="17"/>
  <c r="C12" i="17"/>
  <c r="B12" i="17"/>
  <c r="C11" i="17"/>
  <c r="B11" i="17"/>
  <c r="C10" i="17"/>
  <c r="B10" i="17"/>
  <c r="C9" i="17"/>
  <c r="B9" i="17"/>
  <c r="C8" i="17"/>
  <c r="B8" i="17"/>
  <c r="C7" i="17"/>
  <c r="B7" i="17"/>
  <c r="C6" i="17"/>
  <c r="B6" i="17"/>
  <c r="E105" i="3" l="1"/>
  <c r="AE21" i="13"/>
  <c r="AE22" i="13"/>
  <c r="AE23" i="13"/>
  <c r="AE24" i="13"/>
  <c r="AE25" i="13"/>
  <c r="AE26" i="13"/>
  <c r="AE27" i="13"/>
  <c r="AE28" i="13"/>
  <c r="AE29" i="13"/>
  <c r="AE30" i="13"/>
  <c r="AE31" i="13"/>
  <c r="AE32" i="13"/>
  <c r="E50" i="17"/>
  <c r="E62" i="17"/>
  <c r="E74" i="17"/>
  <c r="E86" i="17"/>
  <c r="E98" i="17"/>
  <c r="E110" i="17"/>
  <c r="E122" i="17"/>
  <c r="E134" i="17"/>
  <c r="E146" i="17"/>
  <c r="E30" i="17"/>
  <c r="E114" i="17"/>
  <c r="E186" i="17"/>
  <c r="E210" i="17"/>
  <c r="E18" i="17"/>
  <c r="E42" i="17"/>
  <c r="E54" i="17"/>
  <c r="E66" i="17"/>
  <c r="E102" i="17"/>
  <c r="E126" i="17"/>
  <c r="E138" i="17"/>
  <c r="E198" i="17"/>
  <c r="E78" i="17"/>
  <c r="E90" i="17"/>
  <c r="E150" i="17"/>
  <c r="E162" i="17"/>
  <c r="E174" i="17"/>
  <c r="E158" i="17"/>
  <c r="E170" i="17"/>
  <c r="E182" i="17"/>
  <c r="E194" i="17"/>
  <c r="E206" i="17"/>
  <c r="E14" i="17"/>
  <c r="E38" i="17"/>
  <c r="E26" i="17"/>
  <c r="R47" i="3"/>
  <c r="Q48" i="3"/>
  <c r="U16" i="8"/>
  <c r="AF5" i="13"/>
  <c r="AF20" i="17"/>
  <c r="AF5" i="17"/>
  <c r="O49" i="6"/>
  <c r="O35" i="6"/>
  <c r="AF20" i="13"/>
  <c r="O18" i="6"/>
  <c r="O4" i="6"/>
  <c r="E103" i="17"/>
  <c r="E115" i="17"/>
  <c r="E127" i="17"/>
  <c r="E243" i="17"/>
  <c r="E22" i="17"/>
  <c r="E82" i="17"/>
  <c r="E171" i="17"/>
  <c r="E213" i="17"/>
  <c r="E58" i="17"/>
  <c r="E106" i="17"/>
  <c r="E238" i="17"/>
  <c r="E107" i="17"/>
  <c r="E119" i="17"/>
  <c r="E131" i="17"/>
  <c r="E143" i="17"/>
  <c r="E155" i="17"/>
  <c r="E161" i="17"/>
  <c r="E167" i="17"/>
  <c r="E173" i="17"/>
  <c r="E179" i="17"/>
  <c r="E185" i="17"/>
  <c r="E191" i="17"/>
  <c r="E197" i="17"/>
  <c r="E203" i="17"/>
  <c r="E209" i="17"/>
  <c r="E215" i="17"/>
  <c r="E221" i="17"/>
  <c r="E227" i="17"/>
  <c r="E233" i="17"/>
  <c r="E239" i="17"/>
  <c r="E135" i="17"/>
  <c r="E183" i="17"/>
  <c r="E166" i="17"/>
  <c r="E99" i="17"/>
  <c r="E195" i="17"/>
  <c r="E225" i="17"/>
  <c r="E34" i="17"/>
  <c r="E118" i="17"/>
  <c r="E154" i="17"/>
  <c r="E202" i="17"/>
  <c r="E222" i="17"/>
  <c r="E234" i="17"/>
  <c r="E147" i="17"/>
  <c r="E189" i="17"/>
  <c r="E231" i="17"/>
  <c r="E70" i="17"/>
  <c r="E226" i="17"/>
  <c r="E123" i="17"/>
  <c r="E177" i="17"/>
  <c r="E201" i="17"/>
  <c r="E46" i="17"/>
  <c r="E94" i="17"/>
  <c r="E142" i="17"/>
  <c r="E190" i="17"/>
  <c r="E139" i="17"/>
  <c r="E151" i="17"/>
  <c r="E157" i="17"/>
  <c r="E163" i="17"/>
  <c r="E169" i="17"/>
  <c r="E175" i="17"/>
  <c r="E181" i="17"/>
  <c r="E187" i="17"/>
  <c r="E193" i="17"/>
  <c r="E199" i="17"/>
  <c r="E205" i="17"/>
  <c r="E211" i="17"/>
  <c r="E217" i="17"/>
  <c r="E223" i="17"/>
  <c r="E229" i="17"/>
  <c r="E235" i="17"/>
  <c r="E241" i="17"/>
  <c r="E159" i="17"/>
  <c r="E207" i="17"/>
  <c r="E10" i="17"/>
  <c r="E130" i="17"/>
  <c r="E178" i="17"/>
  <c r="E214" i="17"/>
  <c r="E111" i="17"/>
  <c r="E219" i="17"/>
  <c r="E218" i="17"/>
  <c r="E230" i="17"/>
  <c r="E242" i="17"/>
  <c r="E52" i="17"/>
  <c r="E92" i="17"/>
  <c r="E124" i="17"/>
  <c r="E140" i="17"/>
  <c r="E144" i="17"/>
  <c r="E156" i="17"/>
  <c r="E168" i="17"/>
  <c r="E172" i="17"/>
  <c r="E176" i="17"/>
  <c r="E180" i="17"/>
  <c r="E184" i="17"/>
  <c r="E188" i="17"/>
  <c r="E192" i="17"/>
  <c r="E196" i="17"/>
  <c r="E200" i="17"/>
  <c r="E204" i="17"/>
  <c r="E208" i="17"/>
  <c r="E212" i="17"/>
  <c r="E216" i="17"/>
  <c r="E220" i="17"/>
  <c r="E224" i="17"/>
  <c r="E228" i="17"/>
  <c r="E232" i="17"/>
  <c r="E236" i="17"/>
  <c r="E240" i="17"/>
  <c r="E244" i="17"/>
  <c r="E24" i="17"/>
  <c r="E76" i="17"/>
  <c r="E148" i="17"/>
  <c r="E28" i="17"/>
  <c r="E72" i="17"/>
  <c r="E116" i="17"/>
  <c r="E152" i="17"/>
  <c r="E21" i="17"/>
  <c r="E37" i="17"/>
  <c r="E53" i="17"/>
  <c r="E69" i="17"/>
  <c r="E85" i="17"/>
  <c r="E97" i="17"/>
  <c r="E109" i="17"/>
  <c r="E125" i="17"/>
  <c r="E133" i="17"/>
  <c r="E145" i="17"/>
  <c r="E153" i="17"/>
  <c r="E237" i="17"/>
  <c r="E245" i="17"/>
  <c r="E20" i="17"/>
  <c r="E44" i="17"/>
  <c r="E64" i="17"/>
  <c r="E88" i="17"/>
  <c r="E112" i="17"/>
  <c r="E128" i="17"/>
  <c r="E136" i="17"/>
  <c r="E160" i="17"/>
  <c r="E13" i="17"/>
  <c r="E25" i="17"/>
  <c r="E33" i="17"/>
  <c r="E45" i="17"/>
  <c r="E57" i="17"/>
  <c r="E65" i="17"/>
  <c r="E73" i="17"/>
  <c r="E81" i="17"/>
  <c r="E89" i="17"/>
  <c r="E93" i="17"/>
  <c r="E101" i="17"/>
  <c r="E105" i="17"/>
  <c r="E117" i="17"/>
  <c r="E121" i="17"/>
  <c r="E129" i="17"/>
  <c r="E137" i="17"/>
  <c r="E141" i="17"/>
  <c r="E149" i="17"/>
  <c r="E165" i="17"/>
  <c r="E8" i="17"/>
  <c r="E40" i="17"/>
  <c r="E60" i="17"/>
  <c r="E84" i="17"/>
  <c r="E104" i="17"/>
  <c r="E120" i="17"/>
  <c r="E132" i="17"/>
  <c r="E164" i="17"/>
  <c r="E9" i="17"/>
  <c r="E17" i="17"/>
  <c r="E29" i="17"/>
  <c r="E41" i="17"/>
  <c r="E49" i="17"/>
  <c r="E61" i="17"/>
  <c r="E77" i="17"/>
  <c r="E113" i="17"/>
  <c r="E16" i="17"/>
  <c r="E80" i="17"/>
  <c r="E48" i="17"/>
  <c r="E100" i="17"/>
  <c r="E6" i="17"/>
  <c r="E68" i="17"/>
  <c r="E32" i="17"/>
  <c r="E96" i="17"/>
  <c r="E15" i="17"/>
  <c r="E27" i="17"/>
  <c r="E39" i="17"/>
  <c r="E47" i="17"/>
  <c r="E59" i="17"/>
  <c r="E71" i="17"/>
  <c r="E87" i="17"/>
  <c r="E12" i="17"/>
  <c r="E36" i="17"/>
  <c r="E56" i="17"/>
  <c r="E108" i="17"/>
  <c r="E7" i="17"/>
  <c r="E11" i="17"/>
  <c r="E19" i="17"/>
  <c r="E23" i="17"/>
  <c r="E31" i="17"/>
  <c r="E35" i="17"/>
  <c r="E43" i="17"/>
  <c r="E51" i="17"/>
  <c r="E55" i="17"/>
  <c r="E63" i="17"/>
  <c r="E67" i="17"/>
  <c r="E75" i="17"/>
  <c r="E79" i="17"/>
  <c r="E83" i="17"/>
  <c r="E91" i="17"/>
  <c r="E95" i="17"/>
  <c r="AF21" i="13" l="1"/>
  <c r="AF22" i="13"/>
  <c r="AF23" i="13"/>
  <c r="AF24" i="13"/>
  <c r="AF25" i="13"/>
  <c r="AF26" i="13"/>
  <c r="AF27" i="13"/>
  <c r="AF28" i="13"/>
  <c r="AF29" i="13"/>
  <c r="AF30" i="13"/>
  <c r="AF31" i="13"/>
  <c r="AF32" i="13"/>
  <c r="S47" i="3"/>
  <c r="R48" i="3"/>
  <c r="V16" i="8"/>
  <c r="AG5" i="13"/>
  <c r="AG20" i="17"/>
  <c r="AG24" i="17" s="1"/>
  <c r="AG5" i="17"/>
  <c r="AG11" i="17" s="1"/>
  <c r="P24" i="6" s="1"/>
  <c r="AG20" i="13"/>
  <c r="P35" i="6"/>
  <c r="P4" i="6"/>
  <c r="P18" i="6"/>
  <c r="P49" i="6"/>
  <c r="AA22" i="17"/>
  <c r="Z23" i="17"/>
  <c r="Y24" i="17"/>
  <c r="X25" i="17"/>
  <c r="AF25" i="17"/>
  <c r="W26" i="17"/>
  <c r="AE26" i="17"/>
  <c r="V27" i="17"/>
  <c r="AD27" i="17"/>
  <c r="U28" i="17"/>
  <c r="AC28" i="17"/>
  <c r="T29" i="17"/>
  <c r="AB29" i="17"/>
  <c r="AA30" i="17"/>
  <c r="Z31" i="17"/>
  <c r="Y32" i="17"/>
  <c r="Y21" i="17"/>
  <c r="T10" i="17"/>
  <c r="C23" i="6" s="1"/>
  <c r="T22" i="17"/>
  <c r="AB22" i="17"/>
  <c r="AA23" i="17"/>
  <c r="Z24" i="17"/>
  <c r="Y25" i="17"/>
  <c r="X26" i="17"/>
  <c r="AF26" i="17"/>
  <c r="W27" i="17"/>
  <c r="AE27" i="17"/>
  <c r="V28" i="17"/>
  <c r="AD28" i="17"/>
  <c r="U29" i="17"/>
  <c r="AC29" i="17"/>
  <c r="T30" i="17"/>
  <c r="AB30" i="17"/>
  <c r="AA31" i="17"/>
  <c r="Z32" i="17"/>
  <c r="Z21" i="17"/>
  <c r="T11" i="17"/>
  <c r="C24" i="6" s="1"/>
  <c r="U22" i="17"/>
  <c r="AC22" i="17"/>
  <c r="T23" i="17"/>
  <c r="AB23" i="17"/>
  <c r="AA24" i="17"/>
  <c r="Z25" i="17"/>
  <c r="Y26" i="17"/>
  <c r="X27" i="17"/>
  <c r="AF27" i="17"/>
  <c r="W28" i="17"/>
  <c r="AE28" i="17"/>
  <c r="V29" i="17"/>
  <c r="AD29" i="17"/>
  <c r="U30" i="17"/>
  <c r="AC30" i="17"/>
  <c r="T31" i="17"/>
  <c r="AB31" i="17"/>
  <c r="AA32" i="17"/>
  <c r="AA21" i="17"/>
  <c r="T12" i="17"/>
  <c r="C25" i="6" s="1"/>
  <c r="C56" i="6" s="1"/>
  <c r="V22" i="17"/>
  <c r="AD22" i="17"/>
  <c r="U23" i="17"/>
  <c r="AC23" i="17"/>
  <c r="T24" i="17"/>
  <c r="AB24" i="17"/>
  <c r="AA25" i="17"/>
  <c r="Z26" i="17"/>
  <c r="Y27" i="17"/>
  <c r="X28" i="17"/>
  <c r="AF28" i="17"/>
  <c r="W29" i="17"/>
  <c r="AE29" i="17"/>
  <c r="V30" i="17"/>
  <c r="AD30" i="17"/>
  <c r="U31" i="17"/>
  <c r="AC31" i="17"/>
  <c r="T32" i="17"/>
  <c r="AB32" i="17"/>
  <c r="AB21" i="17"/>
  <c r="T13" i="17"/>
  <c r="C26" i="6" s="1"/>
  <c r="Y22" i="17"/>
  <c r="X23" i="17"/>
  <c r="AF23" i="17"/>
  <c r="W24" i="17"/>
  <c r="AE24" i="17"/>
  <c r="AD23" i="17"/>
  <c r="V25" i="17"/>
  <c r="U26" i="17"/>
  <c r="T27" i="17"/>
  <c r="AF31" i="17"/>
  <c r="AE32" i="17"/>
  <c r="AE21" i="17"/>
  <c r="V23" i="17"/>
  <c r="X32" i="17"/>
  <c r="T9" i="17"/>
  <c r="C22" i="6" s="1"/>
  <c r="C53" i="6" s="1"/>
  <c r="T25" i="17"/>
  <c r="AF29" i="17"/>
  <c r="AC21" i="17"/>
  <c r="W22" i="17"/>
  <c r="AE23" i="17"/>
  <c r="U24" i="17"/>
  <c r="W25" i="17"/>
  <c r="V26" i="17"/>
  <c r="U27" i="17"/>
  <c r="T28" i="17"/>
  <c r="AF32" i="17"/>
  <c r="AF21" i="17"/>
  <c r="T14" i="17"/>
  <c r="C27" i="6" s="1"/>
  <c r="AE25" i="17"/>
  <c r="AB28" i="17"/>
  <c r="Y31" i="17"/>
  <c r="W23" i="17"/>
  <c r="T26" i="17"/>
  <c r="X22" i="17"/>
  <c r="V24" i="17"/>
  <c r="AB25" i="17"/>
  <c r="AA26" i="17"/>
  <c r="Z27" i="17"/>
  <c r="Y28" i="17"/>
  <c r="X29" i="17"/>
  <c r="W30" i="17"/>
  <c r="V31" i="17"/>
  <c r="U32" i="17"/>
  <c r="U21" i="17"/>
  <c r="T21" i="17"/>
  <c r="T16" i="17"/>
  <c r="C29" i="6" s="1"/>
  <c r="C60" i="6" s="1"/>
  <c r="AD24" i="17"/>
  <c r="AC27" i="17"/>
  <c r="AA29" i="17"/>
  <c r="AE30" i="17"/>
  <c r="Y23" i="17"/>
  <c r="AF30" i="17"/>
  <c r="Z22" i="17"/>
  <c r="X24" i="17"/>
  <c r="AC25" i="17"/>
  <c r="AB26" i="17"/>
  <c r="AA27" i="17"/>
  <c r="Z28" i="17"/>
  <c r="Y29" i="17"/>
  <c r="X30" i="17"/>
  <c r="W31" i="17"/>
  <c r="V32" i="17"/>
  <c r="V21" i="17"/>
  <c r="T7" i="17"/>
  <c r="C20" i="6" s="1"/>
  <c r="T15" i="17"/>
  <c r="C28" i="6" s="1"/>
  <c r="T17" i="17"/>
  <c r="C30" i="6" s="1"/>
  <c r="C61" i="6" s="1"/>
  <c r="Z30" i="17"/>
  <c r="AF24" i="17"/>
  <c r="AC32" i="17"/>
  <c r="U25" i="17"/>
  <c r="AE22" i="17"/>
  <c r="AC24" i="17"/>
  <c r="AD25" i="17"/>
  <c r="AC26" i="17"/>
  <c r="AB27" i="17"/>
  <c r="AA28" i="17"/>
  <c r="Z29" i="17"/>
  <c r="Y30" i="17"/>
  <c r="X31" i="17"/>
  <c r="W32" i="17"/>
  <c r="W21" i="17"/>
  <c r="T8" i="17"/>
  <c r="C21" i="6" s="1"/>
  <c r="C52" i="6" s="1"/>
  <c r="T6" i="17"/>
  <c r="C19" i="6" s="1"/>
  <c r="C50" i="6" s="1"/>
  <c r="AF22" i="17"/>
  <c r="AD26" i="17"/>
  <c r="X21" i="17"/>
  <c r="AD31" i="17"/>
  <c r="AE31" i="17"/>
  <c r="AD32" i="17"/>
  <c r="AD21" i="17"/>
  <c r="U16" i="17"/>
  <c r="D29" i="6" s="1"/>
  <c r="U9" i="17"/>
  <c r="D22" i="6" s="1"/>
  <c r="U7" i="17"/>
  <c r="D20" i="6" s="1"/>
  <c r="U10" i="17"/>
  <c r="D23" i="6" s="1"/>
  <c r="U15" i="17"/>
  <c r="D28" i="6" s="1"/>
  <c r="U11" i="17"/>
  <c r="D24" i="6" s="1"/>
  <c r="U17" i="17"/>
  <c r="D30" i="6" s="1"/>
  <c r="U12" i="17"/>
  <c r="D25" i="6" s="1"/>
  <c r="U6" i="17"/>
  <c r="D19" i="6" s="1"/>
  <c r="U13" i="17"/>
  <c r="D26" i="6" s="1"/>
  <c r="U14" i="17"/>
  <c r="D27" i="6" s="1"/>
  <c r="U8" i="17"/>
  <c r="D21" i="6" s="1"/>
  <c r="V7" i="17"/>
  <c r="E20" i="6" s="1"/>
  <c r="V12" i="17"/>
  <c r="E25" i="6" s="1"/>
  <c r="V8" i="17"/>
  <c r="E21" i="6" s="1"/>
  <c r="V6" i="17"/>
  <c r="E19" i="6" s="1"/>
  <c r="V13" i="17"/>
  <c r="E26" i="6" s="1"/>
  <c r="V9" i="17"/>
  <c r="E22" i="6" s="1"/>
  <c r="V14" i="17"/>
  <c r="E27" i="6" s="1"/>
  <c r="V10" i="17"/>
  <c r="E23" i="6" s="1"/>
  <c r="V16" i="17"/>
  <c r="E29" i="6" s="1"/>
  <c r="V11" i="17"/>
  <c r="E24" i="6" s="1"/>
  <c r="V17" i="17"/>
  <c r="E30" i="6" s="1"/>
  <c r="V15" i="17"/>
  <c r="E28" i="6" s="1"/>
  <c r="W13" i="17"/>
  <c r="F26" i="6" s="1"/>
  <c r="W7" i="17"/>
  <c r="F20" i="6" s="1"/>
  <c r="W11" i="17"/>
  <c r="F24" i="6" s="1"/>
  <c r="W8" i="17"/>
  <c r="F21" i="6" s="1"/>
  <c r="F52" i="6" s="1"/>
  <c r="W14" i="17"/>
  <c r="F27" i="6" s="1"/>
  <c r="W9" i="17"/>
  <c r="F22" i="6" s="1"/>
  <c r="W15" i="17"/>
  <c r="F28" i="6" s="1"/>
  <c r="W10" i="17"/>
  <c r="F23" i="6" s="1"/>
  <c r="W12" i="17"/>
  <c r="F25" i="6" s="1"/>
  <c r="W17" i="17"/>
  <c r="F30" i="6" s="1"/>
  <c r="F61" i="6" s="1"/>
  <c r="W6" i="17"/>
  <c r="F19" i="6" s="1"/>
  <c r="W16" i="17"/>
  <c r="F29" i="6" s="1"/>
  <c r="X13" i="17"/>
  <c r="G26" i="6" s="1"/>
  <c r="X16" i="17"/>
  <c r="G29" i="6" s="1"/>
  <c r="X7" i="17"/>
  <c r="G20" i="6" s="1"/>
  <c r="X17" i="17"/>
  <c r="G30" i="6" s="1"/>
  <c r="X8" i="17"/>
  <c r="G21" i="6" s="1"/>
  <c r="X15" i="17"/>
  <c r="G28" i="6" s="1"/>
  <c r="X9" i="17"/>
  <c r="G22" i="6" s="1"/>
  <c r="X11" i="17"/>
  <c r="G24" i="6" s="1"/>
  <c r="X14" i="17"/>
  <c r="G27" i="6" s="1"/>
  <c r="X12" i="17"/>
  <c r="G25" i="6" s="1"/>
  <c r="X6" i="17"/>
  <c r="G19" i="6" s="1"/>
  <c r="X10" i="17"/>
  <c r="G23" i="6" s="1"/>
  <c r="Y14" i="17"/>
  <c r="H27" i="6" s="1"/>
  <c r="Y7" i="17"/>
  <c r="H20" i="6" s="1"/>
  <c r="Y12" i="17"/>
  <c r="H25" i="6" s="1"/>
  <c r="Y15" i="17"/>
  <c r="H28" i="6" s="1"/>
  <c r="H59" i="6" s="1"/>
  <c r="Y9" i="17"/>
  <c r="H22" i="6" s="1"/>
  <c r="Y13" i="17"/>
  <c r="H26" i="6" s="1"/>
  <c r="Y8" i="17"/>
  <c r="H21" i="6" s="1"/>
  <c r="Y10" i="17"/>
  <c r="H23" i="6" s="1"/>
  <c r="Y11" i="17"/>
  <c r="H24" i="6" s="1"/>
  <c r="H55" i="6" s="1"/>
  <c r="Y16" i="17"/>
  <c r="H29" i="6" s="1"/>
  <c r="H60" i="6" s="1"/>
  <c r="Y6" i="17"/>
  <c r="H19" i="6" s="1"/>
  <c r="Y17" i="17"/>
  <c r="H30" i="6" s="1"/>
  <c r="Z17" i="17"/>
  <c r="I30" i="6" s="1"/>
  <c r="Z12" i="17"/>
  <c r="I25" i="6" s="1"/>
  <c r="Z6" i="17"/>
  <c r="I19" i="6" s="1"/>
  <c r="Z15" i="17"/>
  <c r="I28" i="6" s="1"/>
  <c r="Z14" i="17"/>
  <c r="I27" i="6" s="1"/>
  <c r="Z8" i="17"/>
  <c r="I21" i="6" s="1"/>
  <c r="Z11" i="17"/>
  <c r="I24" i="6" s="1"/>
  <c r="Z7" i="17"/>
  <c r="I20" i="6" s="1"/>
  <c r="Z13" i="17"/>
  <c r="I26" i="6" s="1"/>
  <c r="Z10" i="17"/>
  <c r="I23" i="6" s="1"/>
  <c r="I54" i="6" s="1"/>
  <c r="Z9" i="17"/>
  <c r="I22" i="6" s="1"/>
  <c r="Z16" i="17"/>
  <c r="I29" i="6" s="1"/>
  <c r="AA16" i="17"/>
  <c r="J29" i="6" s="1"/>
  <c r="AA11" i="17"/>
  <c r="J24" i="6" s="1"/>
  <c r="AA7" i="17"/>
  <c r="J20" i="6" s="1"/>
  <c r="AA8" i="17"/>
  <c r="J21" i="6" s="1"/>
  <c r="AA15" i="17"/>
  <c r="J28" i="6" s="1"/>
  <c r="AA12" i="17"/>
  <c r="J25" i="6" s="1"/>
  <c r="AA17" i="17"/>
  <c r="J30" i="6" s="1"/>
  <c r="AA13" i="17"/>
  <c r="J26" i="6" s="1"/>
  <c r="AA6" i="17"/>
  <c r="J19" i="6" s="1"/>
  <c r="AA14" i="17"/>
  <c r="J27" i="6" s="1"/>
  <c r="AA9" i="17"/>
  <c r="J22" i="6" s="1"/>
  <c r="AA10" i="17"/>
  <c r="J23" i="6" s="1"/>
  <c r="AB15" i="17"/>
  <c r="K28" i="6" s="1"/>
  <c r="AB10" i="17"/>
  <c r="K23" i="6" s="1"/>
  <c r="AB16" i="17"/>
  <c r="K29" i="6" s="1"/>
  <c r="AB13" i="17"/>
  <c r="K26" i="6" s="1"/>
  <c r="AB6" i="17"/>
  <c r="K19" i="6" s="1"/>
  <c r="AB9" i="17"/>
  <c r="K22" i="6" s="1"/>
  <c r="AB11" i="17"/>
  <c r="K24" i="6" s="1"/>
  <c r="AB17" i="17"/>
  <c r="K30" i="6" s="1"/>
  <c r="K61" i="6" s="1"/>
  <c r="AB14" i="17"/>
  <c r="K27" i="6" s="1"/>
  <c r="AB8" i="17"/>
  <c r="K21" i="6" s="1"/>
  <c r="AB12" i="17"/>
  <c r="K25" i="6" s="1"/>
  <c r="AB7" i="17"/>
  <c r="K20" i="6" s="1"/>
  <c r="AC15" i="17"/>
  <c r="L28" i="6" s="1"/>
  <c r="AC8" i="17"/>
  <c r="L21" i="6" s="1"/>
  <c r="AC9" i="17"/>
  <c r="L22" i="6" s="1"/>
  <c r="AC16" i="17"/>
  <c r="L29" i="6" s="1"/>
  <c r="AC7" i="17"/>
  <c r="L20" i="6" s="1"/>
  <c r="AC10" i="17"/>
  <c r="L23" i="6" s="1"/>
  <c r="AC17" i="17"/>
  <c r="L30" i="6" s="1"/>
  <c r="AC11" i="17"/>
  <c r="L24" i="6" s="1"/>
  <c r="AC6" i="17"/>
  <c r="L19" i="6" s="1"/>
  <c r="AC13" i="17"/>
  <c r="L26" i="6" s="1"/>
  <c r="AC12" i="17"/>
  <c r="L25" i="6" s="1"/>
  <c r="AC14" i="17"/>
  <c r="L27" i="6" s="1"/>
  <c r="AD6" i="17"/>
  <c r="M19" i="6" s="1"/>
  <c r="AD17" i="17"/>
  <c r="M30" i="6" s="1"/>
  <c r="AD10" i="17"/>
  <c r="M23" i="6" s="1"/>
  <c r="M54" i="6" s="1"/>
  <c r="AD11" i="17"/>
  <c r="M24" i="6" s="1"/>
  <c r="AD14" i="17"/>
  <c r="M27" i="6" s="1"/>
  <c r="M58" i="6" s="1"/>
  <c r="AD8" i="17"/>
  <c r="M21" i="6" s="1"/>
  <c r="AD12" i="17"/>
  <c r="M25" i="6" s="1"/>
  <c r="AD9" i="17"/>
  <c r="M22" i="6" s="1"/>
  <c r="M53" i="6" s="1"/>
  <c r="AD15" i="17"/>
  <c r="M28" i="6" s="1"/>
  <c r="M59" i="6" s="1"/>
  <c r="AD16" i="17"/>
  <c r="M29" i="6" s="1"/>
  <c r="AD13" i="17"/>
  <c r="M26" i="6" s="1"/>
  <c r="M57" i="6" s="1"/>
  <c r="AD7" i="17"/>
  <c r="M20" i="6" s="1"/>
  <c r="M51" i="6" s="1"/>
  <c r="AE14" i="17"/>
  <c r="N27" i="6" s="1"/>
  <c r="AE6" i="17"/>
  <c r="N19" i="6" s="1"/>
  <c r="AE7" i="17"/>
  <c r="N20" i="6" s="1"/>
  <c r="AE10" i="17"/>
  <c r="N23" i="6" s="1"/>
  <c r="AE17" i="17"/>
  <c r="N30" i="6" s="1"/>
  <c r="AE11" i="17"/>
  <c r="N24" i="6" s="1"/>
  <c r="AE8" i="17"/>
  <c r="N21" i="6" s="1"/>
  <c r="AE12" i="17"/>
  <c r="N25" i="6" s="1"/>
  <c r="AE15" i="17"/>
  <c r="N28" i="6" s="1"/>
  <c r="AE16" i="17"/>
  <c r="N29" i="6" s="1"/>
  <c r="AE9" i="17"/>
  <c r="N22" i="6" s="1"/>
  <c r="AE13" i="17"/>
  <c r="N26" i="6" s="1"/>
  <c r="AF14" i="17"/>
  <c r="O27" i="6" s="1"/>
  <c r="O58" i="6" s="1"/>
  <c r="AF7" i="17"/>
  <c r="O20" i="6" s="1"/>
  <c r="AF6" i="17"/>
  <c r="O19" i="6" s="1"/>
  <c r="O50" i="6" s="1"/>
  <c r="AF12" i="17"/>
  <c r="O25" i="6" s="1"/>
  <c r="AF8" i="17"/>
  <c r="O21" i="6" s="1"/>
  <c r="AF16" i="17"/>
  <c r="O29" i="6" s="1"/>
  <c r="AF15" i="17"/>
  <c r="O28" i="6" s="1"/>
  <c r="AF9" i="17"/>
  <c r="O22" i="6" s="1"/>
  <c r="AF17" i="17"/>
  <c r="O30" i="6" s="1"/>
  <c r="O61" i="6" s="1"/>
  <c r="AF10" i="17"/>
  <c r="O23" i="6" s="1"/>
  <c r="AF11" i="17"/>
  <c r="O24" i="6" s="1"/>
  <c r="O55" i="6" s="1"/>
  <c r="AF13" i="17"/>
  <c r="O26" i="6" s="1"/>
  <c r="P221" i="13"/>
  <c r="C54" i="6" l="1"/>
  <c r="AG21" i="17"/>
  <c r="AG32" i="17"/>
  <c r="C57" i="6"/>
  <c r="AG29" i="17"/>
  <c r="AG28" i="17"/>
  <c r="AG30" i="17"/>
  <c r="AG31" i="17"/>
  <c r="AG27" i="17"/>
  <c r="AG26" i="17"/>
  <c r="AG22" i="17"/>
  <c r="AG13" i="17"/>
  <c r="P26" i="6" s="1"/>
  <c r="P57" i="6" s="1"/>
  <c r="AG23" i="17"/>
  <c r="C55" i="6"/>
  <c r="AG14" i="17"/>
  <c r="P27" i="6" s="1"/>
  <c r="P58" i="6" s="1"/>
  <c r="AG15" i="17"/>
  <c r="P28" i="6" s="1"/>
  <c r="P59" i="6" s="1"/>
  <c r="AG21" i="13"/>
  <c r="AG22" i="13"/>
  <c r="AG23" i="13"/>
  <c r="AG24" i="13"/>
  <c r="AG25" i="13"/>
  <c r="AG26" i="13"/>
  <c r="AG27" i="13"/>
  <c r="AG28" i="13"/>
  <c r="AG29" i="13"/>
  <c r="AG30" i="13"/>
  <c r="AG31" i="13"/>
  <c r="AG32" i="13"/>
  <c r="O57" i="6"/>
  <c r="H61" i="6"/>
  <c r="M60" i="6"/>
  <c r="N55" i="6"/>
  <c r="O60" i="6"/>
  <c r="O52" i="6"/>
  <c r="H57" i="6"/>
  <c r="H56" i="6"/>
  <c r="C51" i="6"/>
  <c r="O54" i="6"/>
  <c r="M55" i="6"/>
  <c r="C58" i="6"/>
  <c r="O51" i="6"/>
  <c r="O53" i="6"/>
  <c r="O59" i="6"/>
  <c r="H51" i="6"/>
  <c r="J54" i="6"/>
  <c r="H53" i="6"/>
  <c r="M50" i="6"/>
  <c r="H58" i="6"/>
  <c r="D50" i="6"/>
  <c r="C59" i="6"/>
  <c r="H50" i="6"/>
  <c r="M61" i="6"/>
  <c r="H52" i="6"/>
  <c r="M52" i="6"/>
  <c r="F58" i="6"/>
  <c r="O56" i="6"/>
  <c r="H54" i="6"/>
  <c r="M56" i="6"/>
  <c r="AG25" i="17"/>
  <c r="AG12" i="17"/>
  <c r="P25" i="6" s="1"/>
  <c r="P56" i="6" s="1"/>
  <c r="AG7" i="17"/>
  <c r="P20" i="6" s="1"/>
  <c r="P51" i="6" s="1"/>
  <c r="AG6" i="17"/>
  <c r="P19" i="6" s="1"/>
  <c r="P50" i="6" s="1"/>
  <c r="AG9" i="17"/>
  <c r="P22" i="6" s="1"/>
  <c r="P53" i="6" s="1"/>
  <c r="AG17" i="17"/>
  <c r="P30" i="6" s="1"/>
  <c r="P61" i="6" s="1"/>
  <c r="AG8" i="17"/>
  <c r="P21" i="6" s="1"/>
  <c r="P52" i="6" s="1"/>
  <c r="AG16" i="17"/>
  <c r="P29" i="6" s="1"/>
  <c r="P60" i="6" s="1"/>
  <c r="AG10" i="17"/>
  <c r="P23" i="6" s="1"/>
  <c r="P54" i="6" s="1"/>
  <c r="W16" i="8"/>
  <c r="AH5" i="13"/>
  <c r="AH20" i="17"/>
  <c r="AH20" i="13"/>
  <c r="AH5" i="17"/>
  <c r="Q18" i="6"/>
  <c r="Q35" i="6"/>
  <c r="Q49" i="6"/>
  <c r="Q4" i="6"/>
  <c r="T47" i="3"/>
  <c r="S48" i="3"/>
  <c r="N52" i="6"/>
  <c r="G56" i="6"/>
  <c r="I57" i="6"/>
  <c r="N58" i="6"/>
  <c r="G61" i="6"/>
  <c r="E52" i="6"/>
  <c r="G51" i="6"/>
  <c r="D54" i="6"/>
  <c r="D58" i="6"/>
  <c r="E55" i="6"/>
  <c r="F53" i="6"/>
  <c r="F50" i="6"/>
  <c r="K55" i="6"/>
  <c r="I56" i="6"/>
  <c r="E61" i="6"/>
  <c r="N57" i="6"/>
  <c r="K53" i="6"/>
  <c r="I53" i="6"/>
  <c r="N51" i="6"/>
  <c r="N54" i="6"/>
  <c r="D59" i="6"/>
  <c r="L55" i="6"/>
  <c r="G54" i="6"/>
  <c r="E53" i="6"/>
  <c r="K54" i="6"/>
  <c r="I60" i="6"/>
  <c r="I50" i="6"/>
  <c r="I52" i="6"/>
  <c r="J59" i="6"/>
  <c r="J50" i="6"/>
  <c r="D61" i="6"/>
  <c r="E54" i="6"/>
  <c r="P55" i="6"/>
  <c r="G52" i="6"/>
  <c r="N61" i="6"/>
  <c r="G50" i="6"/>
  <c r="L52" i="6"/>
  <c r="F54" i="6"/>
  <c r="I55" i="6"/>
  <c r="J51" i="6"/>
  <c r="N56" i="6"/>
  <c r="D55" i="6"/>
  <c r="N53" i="6"/>
  <c r="D53" i="6"/>
  <c r="D56" i="6"/>
  <c r="D52" i="6"/>
  <c r="E58" i="6"/>
  <c r="K56" i="6"/>
  <c r="K57" i="6"/>
  <c r="J61" i="6"/>
  <c r="G60" i="6"/>
  <c r="J57" i="6"/>
  <c r="G53" i="6"/>
  <c r="I51" i="6"/>
  <c r="L50" i="6"/>
  <c r="N59" i="6"/>
  <c r="L60" i="6"/>
  <c r="L57" i="6"/>
  <c r="L58" i="6"/>
  <c r="E59" i="6"/>
  <c r="F57" i="6"/>
  <c r="E50" i="6"/>
  <c r="K58" i="6"/>
  <c r="J55" i="6"/>
  <c r="D51" i="6"/>
  <c r="G59" i="6"/>
  <c r="D57" i="6"/>
  <c r="L54" i="6"/>
  <c r="F56" i="6"/>
  <c r="E51" i="6"/>
  <c r="J58" i="6"/>
  <c r="F60" i="6"/>
  <c r="I58" i="6"/>
  <c r="I61" i="6"/>
  <c r="G57" i="6"/>
  <c r="G55" i="6"/>
  <c r="N50" i="6"/>
  <c r="L51" i="6"/>
  <c r="L56" i="6"/>
  <c r="E56" i="6"/>
  <c r="E60" i="6"/>
  <c r="F55" i="6"/>
  <c r="K60" i="6"/>
  <c r="I59" i="6"/>
  <c r="K51" i="6"/>
  <c r="J53" i="6"/>
  <c r="L61" i="6"/>
  <c r="K50" i="6"/>
  <c r="N60" i="6"/>
  <c r="L53" i="6"/>
  <c r="J52" i="6"/>
  <c r="D60" i="6"/>
  <c r="L59" i="6"/>
  <c r="G58" i="6"/>
  <c r="F59" i="6"/>
  <c r="F51" i="6"/>
  <c r="K52" i="6"/>
  <c r="K59" i="6"/>
  <c r="E57" i="6"/>
  <c r="J56" i="6"/>
  <c r="J60" i="6"/>
  <c r="P7" i="13"/>
  <c r="P8" i="13"/>
  <c r="P9" i="13"/>
  <c r="P10" i="13"/>
  <c r="P11" i="13"/>
  <c r="P12" i="13"/>
  <c r="P13" i="13"/>
  <c r="P14" i="13"/>
  <c r="P15" i="13"/>
  <c r="P16" i="13"/>
  <c r="P17" i="13"/>
  <c r="P18" i="13"/>
  <c r="T6" i="13" s="1"/>
  <c r="C5" i="6" s="1"/>
  <c r="C36" i="6" s="1"/>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AG6" i="13" s="1"/>
  <c r="P175" i="13"/>
  <c r="AG7" i="13" s="1"/>
  <c r="P176" i="13"/>
  <c r="AG8" i="13" s="1"/>
  <c r="P177" i="13"/>
  <c r="AG9" i="13" s="1"/>
  <c r="P178" i="13"/>
  <c r="AG10" i="13" s="1"/>
  <c r="P179" i="13"/>
  <c r="P180" i="13"/>
  <c r="P181" i="13"/>
  <c r="P182" i="13"/>
  <c r="AG14" i="13" s="1"/>
  <c r="P183" i="13"/>
  <c r="AG15" i="13" s="1"/>
  <c r="P184" i="13"/>
  <c r="AG16" i="13" s="1"/>
  <c r="P185" i="13"/>
  <c r="AG17" i="13" s="1"/>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E77" i="3" l="1"/>
  <c r="AF17" i="13"/>
  <c r="O16" i="6" s="1"/>
  <c r="AF9" i="13"/>
  <c r="O8" i="6" s="1"/>
  <c r="AE13" i="13"/>
  <c r="N12" i="6" s="1"/>
  <c r="AD17" i="13"/>
  <c r="M16" i="6" s="1"/>
  <c r="AD9" i="13"/>
  <c r="M8" i="6" s="1"/>
  <c r="AC13" i="13"/>
  <c r="L12" i="6" s="1"/>
  <c r="AB17" i="13"/>
  <c r="K16" i="6" s="1"/>
  <c r="AB9" i="13"/>
  <c r="K8" i="6" s="1"/>
  <c r="AA13" i="13"/>
  <c r="J12" i="6" s="1"/>
  <c r="Z17" i="13"/>
  <c r="I16" i="6" s="1"/>
  <c r="Z9" i="13"/>
  <c r="I8" i="6" s="1"/>
  <c r="Y13" i="13"/>
  <c r="H12" i="6" s="1"/>
  <c r="X17" i="13"/>
  <c r="G16" i="6" s="1"/>
  <c r="X9" i="13"/>
  <c r="G8" i="6" s="1"/>
  <c r="W13" i="13"/>
  <c r="F12" i="6" s="1"/>
  <c r="V17" i="13"/>
  <c r="E16" i="6" s="1"/>
  <c r="V9" i="13"/>
  <c r="E8" i="6" s="1"/>
  <c r="U13" i="13"/>
  <c r="D12" i="6" s="1"/>
  <c r="T17" i="13"/>
  <c r="C16" i="6" s="1"/>
  <c r="T9" i="13"/>
  <c r="C8" i="6" s="1"/>
  <c r="AF16" i="13"/>
  <c r="O15" i="6" s="1"/>
  <c r="AF8" i="13"/>
  <c r="O7" i="6" s="1"/>
  <c r="AE12" i="13"/>
  <c r="N11" i="6" s="1"/>
  <c r="AD16" i="13"/>
  <c r="M15" i="6" s="1"/>
  <c r="AD8" i="13"/>
  <c r="M7" i="6" s="1"/>
  <c r="AC12" i="13"/>
  <c r="L11" i="6" s="1"/>
  <c r="AB16" i="13"/>
  <c r="K15" i="6" s="1"/>
  <c r="AB8" i="13"/>
  <c r="K7" i="6" s="1"/>
  <c r="AA12" i="13"/>
  <c r="J11" i="6" s="1"/>
  <c r="Z16" i="13"/>
  <c r="I15" i="6" s="1"/>
  <c r="Z8" i="13"/>
  <c r="I7" i="6" s="1"/>
  <c r="Y12" i="13"/>
  <c r="H11" i="6" s="1"/>
  <c r="X16" i="13"/>
  <c r="G15" i="6" s="1"/>
  <c r="X8" i="13"/>
  <c r="G7" i="6" s="1"/>
  <c r="W12" i="13"/>
  <c r="F11" i="6" s="1"/>
  <c r="V16" i="13"/>
  <c r="E15" i="6" s="1"/>
  <c r="V8" i="13"/>
  <c r="E7" i="6" s="1"/>
  <c r="U12" i="13"/>
  <c r="D11" i="6" s="1"/>
  <c r="T16" i="13"/>
  <c r="C15" i="6" s="1"/>
  <c r="T8" i="13"/>
  <c r="C7" i="6" s="1"/>
  <c r="AF15" i="13"/>
  <c r="O14" i="6" s="1"/>
  <c r="AF7" i="13"/>
  <c r="O6" i="6" s="1"/>
  <c r="AE11" i="13"/>
  <c r="N10" i="6" s="1"/>
  <c r="AD15" i="13"/>
  <c r="M14" i="6" s="1"/>
  <c r="AD7" i="13"/>
  <c r="M6" i="6" s="1"/>
  <c r="AC11" i="13"/>
  <c r="AB15" i="13"/>
  <c r="K14" i="6" s="1"/>
  <c r="AB7" i="13"/>
  <c r="K6" i="6" s="1"/>
  <c r="AA11" i="13"/>
  <c r="J10" i="6" s="1"/>
  <c r="Z15" i="13"/>
  <c r="I14" i="6" s="1"/>
  <c r="Z7" i="13"/>
  <c r="I6" i="6" s="1"/>
  <c r="Y11" i="13"/>
  <c r="H10" i="6" s="1"/>
  <c r="X15" i="13"/>
  <c r="G14" i="6" s="1"/>
  <c r="X7" i="13"/>
  <c r="G6" i="6" s="1"/>
  <c r="W11" i="13"/>
  <c r="F10" i="6" s="1"/>
  <c r="V15" i="13"/>
  <c r="E14" i="6" s="1"/>
  <c r="V7" i="13"/>
  <c r="E6" i="6" s="1"/>
  <c r="U11" i="13"/>
  <c r="T15" i="13"/>
  <c r="C14" i="6" s="1"/>
  <c r="T7" i="13"/>
  <c r="C6" i="6" s="1"/>
  <c r="C37" i="6" s="1"/>
  <c r="P9" i="6"/>
  <c r="AF14" i="13"/>
  <c r="O13" i="6" s="1"/>
  <c r="AF6" i="13"/>
  <c r="O5" i="6" s="1"/>
  <c r="AE10" i="13"/>
  <c r="N9" i="6" s="1"/>
  <c r="AD14" i="13"/>
  <c r="M13" i="6" s="1"/>
  <c r="AD6" i="13"/>
  <c r="M5" i="6" s="1"/>
  <c r="AC10" i="13"/>
  <c r="L9" i="6" s="1"/>
  <c r="AB14" i="13"/>
  <c r="K13" i="6" s="1"/>
  <c r="AB6" i="13"/>
  <c r="K5" i="6" s="1"/>
  <c r="AA10" i="13"/>
  <c r="J9" i="6" s="1"/>
  <c r="Z14" i="13"/>
  <c r="I13" i="6" s="1"/>
  <c r="Z6" i="13"/>
  <c r="I5" i="6" s="1"/>
  <c r="Y10" i="13"/>
  <c r="H9" i="6" s="1"/>
  <c r="X14" i="13"/>
  <c r="G13" i="6" s="1"/>
  <c r="X6" i="13"/>
  <c r="G5" i="6" s="1"/>
  <c r="W10" i="13"/>
  <c r="V14" i="13"/>
  <c r="E13" i="6" s="1"/>
  <c r="V6" i="13"/>
  <c r="E5" i="6" s="1"/>
  <c r="U10" i="13"/>
  <c r="D9" i="6" s="1"/>
  <c r="T14" i="13"/>
  <c r="C13" i="6" s="1"/>
  <c r="AH21" i="13"/>
  <c r="AH22" i="13"/>
  <c r="AH23" i="13"/>
  <c r="AH24" i="13"/>
  <c r="AH25" i="13"/>
  <c r="AH26" i="13"/>
  <c r="AH27" i="13"/>
  <c r="AH28" i="13"/>
  <c r="AH29" i="13"/>
  <c r="AH30" i="13"/>
  <c r="AH31" i="13"/>
  <c r="AH32" i="13"/>
  <c r="P16" i="6"/>
  <c r="P8" i="6"/>
  <c r="AF13" i="13"/>
  <c r="O12" i="6" s="1"/>
  <c r="AE17" i="13"/>
  <c r="N16" i="6" s="1"/>
  <c r="AE9" i="13"/>
  <c r="N8" i="6" s="1"/>
  <c r="AD13" i="13"/>
  <c r="M12" i="6" s="1"/>
  <c r="AC17" i="13"/>
  <c r="L16" i="6" s="1"/>
  <c r="AC9" i="13"/>
  <c r="L8" i="6" s="1"/>
  <c r="AB13" i="13"/>
  <c r="K12" i="6" s="1"/>
  <c r="AA17" i="13"/>
  <c r="J16" i="6" s="1"/>
  <c r="AA9" i="13"/>
  <c r="J8" i="6" s="1"/>
  <c r="Z13" i="13"/>
  <c r="I12" i="6" s="1"/>
  <c r="Y17" i="13"/>
  <c r="H16" i="6" s="1"/>
  <c r="Y9" i="13"/>
  <c r="H8" i="6" s="1"/>
  <c r="X13" i="13"/>
  <c r="G12" i="6" s="1"/>
  <c r="W17" i="13"/>
  <c r="F16" i="6" s="1"/>
  <c r="W9" i="13"/>
  <c r="F8" i="6" s="1"/>
  <c r="V13" i="13"/>
  <c r="E12" i="6" s="1"/>
  <c r="U17" i="13"/>
  <c r="D16" i="6" s="1"/>
  <c r="U9" i="13"/>
  <c r="D8" i="6" s="1"/>
  <c r="T13" i="13"/>
  <c r="C12" i="6" s="1"/>
  <c r="P15" i="6"/>
  <c r="P7" i="6"/>
  <c r="AF12" i="13"/>
  <c r="O11" i="6" s="1"/>
  <c r="AE16" i="13"/>
  <c r="N15" i="6" s="1"/>
  <c r="AE8" i="13"/>
  <c r="N7" i="6" s="1"/>
  <c r="AD12" i="13"/>
  <c r="M11" i="6" s="1"/>
  <c r="AC16" i="13"/>
  <c r="L15" i="6" s="1"/>
  <c r="AC8" i="13"/>
  <c r="L7" i="6" s="1"/>
  <c r="AB12" i="13"/>
  <c r="AA16" i="13"/>
  <c r="J15" i="6" s="1"/>
  <c r="AA8" i="13"/>
  <c r="J7" i="6" s="1"/>
  <c r="Z12" i="13"/>
  <c r="I11" i="6" s="1"/>
  <c r="Y16" i="13"/>
  <c r="H15" i="6" s="1"/>
  <c r="Y8" i="13"/>
  <c r="H7" i="6" s="1"/>
  <c r="X12" i="13"/>
  <c r="G11" i="6" s="1"/>
  <c r="W16" i="13"/>
  <c r="F15" i="6" s="1"/>
  <c r="W8" i="13"/>
  <c r="F7" i="6" s="1"/>
  <c r="V12" i="13"/>
  <c r="E11" i="6" s="1"/>
  <c r="U16" i="13"/>
  <c r="D15" i="6" s="1"/>
  <c r="U8" i="13"/>
  <c r="D7" i="6" s="1"/>
  <c r="T12" i="13"/>
  <c r="AH7" i="13"/>
  <c r="Q6" i="6" s="1"/>
  <c r="AH6" i="13"/>
  <c r="Q5" i="6" s="1"/>
  <c r="AH9" i="13"/>
  <c r="Q8" i="6" s="1"/>
  <c r="AH16" i="13"/>
  <c r="Q15" i="6" s="1"/>
  <c r="AH17" i="13"/>
  <c r="Q16" i="6" s="1"/>
  <c r="AH13" i="13"/>
  <c r="Q12" i="6" s="1"/>
  <c r="AH11" i="13"/>
  <c r="Q10" i="6" s="1"/>
  <c r="AH15" i="13"/>
  <c r="Q14" i="6" s="1"/>
  <c r="AH8" i="13"/>
  <c r="Q7" i="6" s="1"/>
  <c r="AH14" i="13"/>
  <c r="Q13" i="6" s="1"/>
  <c r="AH10" i="13"/>
  <c r="Q9" i="6" s="1"/>
  <c r="AH12" i="13"/>
  <c r="Q11" i="6" s="1"/>
  <c r="AG13" i="13"/>
  <c r="P12" i="6" s="1"/>
  <c r="P14" i="6"/>
  <c r="P6" i="6"/>
  <c r="AF11" i="13"/>
  <c r="O10" i="6" s="1"/>
  <c r="AE15" i="13"/>
  <c r="N14" i="6" s="1"/>
  <c r="AE7" i="13"/>
  <c r="N6" i="6" s="1"/>
  <c r="AD11" i="13"/>
  <c r="M10" i="6" s="1"/>
  <c r="AC15" i="13"/>
  <c r="L14" i="6" s="1"/>
  <c r="AC7" i="13"/>
  <c r="L6" i="6" s="1"/>
  <c r="AB11" i="13"/>
  <c r="K10" i="6" s="1"/>
  <c r="AA15" i="13"/>
  <c r="J14" i="6" s="1"/>
  <c r="AA7" i="13"/>
  <c r="J6" i="6" s="1"/>
  <c r="Z11" i="13"/>
  <c r="I10" i="6" s="1"/>
  <c r="Y15" i="13"/>
  <c r="H14" i="6" s="1"/>
  <c r="Y7" i="13"/>
  <c r="H6" i="6" s="1"/>
  <c r="X11" i="13"/>
  <c r="G10" i="6" s="1"/>
  <c r="W15" i="13"/>
  <c r="F14" i="6" s="1"/>
  <c r="W7" i="13"/>
  <c r="F6" i="6" s="1"/>
  <c r="V11" i="13"/>
  <c r="E10" i="6" s="1"/>
  <c r="U15" i="13"/>
  <c r="D14" i="6" s="1"/>
  <c r="U7" i="13"/>
  <c r="D6" i="6" s="1"/>
  <c r="T11" i="13"/>
  <c r="C10" i="6" s="1"/>
  <c r="AG12" i="13"/>
  <c r="P11" i="6" s="1"/>
  <c r="P13" i="6"/>
  <c r="P5" i="6"/>
  <c r="AF10" i="13"/>
  <c r="O9" i="6" s="1"/>
  <c r="AE14" i="13"/>
  <c r="N13" i="6" s="1"/>
  <c r="AE6" i="13"/>
  <c r="AD10" i="13"/>
  <c r="AC14" i="13"/>
  <c r="L13" i="6" s="1"/>
  <c r="AC6" i="13"/>
  <c r="L5" i="6" s="1"/>
  <c r="AB10" i="13"/>
  <c r="K9" i="6" s="1"/>
  <c r="AA14" i="13"/>
  <c r="J13" i="6" s="1"/>
  <c r="AA6" i="13"/>
  <c r="J5" i="6" s="1"/>
  <c r="Z10" i="13"/>
  <c r="I9" i="6" s="1"/>
  <c r="Y14" i="13"/>
  <c r="H13" i="6" s="1"/>
  <c r="Y6" i="13"/>
  <c r="X10" i="13"/>
  <c r="W14" i="13"/>
  <c r="F13" i="6" s="1"/>
  <c r="W6" i="13"/>
  <c r="F5" i="6" s="1"/>
  <c r="V10" i="13"/>
  <c r="U14" i="13"/>
  <c r="D13" i="6" s="1"/>
  <c r="U6" i="13"/>
  <c r="D5" i="6" s="1"/>
  <c r="T10" i="13"/>
  <c r="C9" i="6" s="1"/>
  <c r="AG11" i="13"/>
  <c r="U47" i="3"/>
  <c r="T48" i="3"/>
  <c r="X16" i="8"/>
  <c r="AI5" i="13"/>
  <c r="AI20" i="17"/>
  <c r="R49" i="6"/>
  <c r="R35" i="6"/>
  <c r="R18" i="6"/>
  <c r="R4" i="6"/>
  <c r="AI20" i="13"/>
  <c r="AI5" i="17"/>
  <c r="AH30" i="17"/>
  <c r="AH27" i="17"/>
  <c r="AH24" i="17"/>
  <c r="AH32" i="17"/>
  <c r="AH29" i="17"/>
  <c r="AH28" i="17"/>
  <c r="AH26" i="17"/>
  <c r="AH23" i="17"/>
  <c r="AH31" i="17"/>
  <c r="AH22" i="17"/>
  <c r="AH21" i="17"/>
  <c r="AH25" i="17"/>
  <c r="AH11" i="17"/>
  <c r="Q24" i="6" s="1"/>
  <c r="AH6" i="17"/>
  <c r="Q19" i="6" s="1"/>
  <c r="AH12" i="17"/>
  <c r="Q25" i="6" s="1"/>
  <c r="AH9" i="17"/>
  <c r="Q22" i="6" s="1"/>
  <c r="AH7" i="17"/>
  <c r="Q20" i="6" s="1"/>
  <c r="AH10" i="17"/>
  <c r="Q23" i="6" s="1"/>
  <c r="AH15" i="17"/>
  <c r="Q28" i="6" s="1"/>
  <c r="AH13" i="17"/>
  <c r="Q26" i="6" s="1"/>
  <c r="AH8" i="17"/>
  <c r="Q21" i="6" s="1"/>
  <c r="AH17" i="17"/>
  <c r="Q30" i="6" s="1"/>
  <c r="AH14" i="17"/>
  <c r="Q27" i="6" s="1"/>
  <c r="AH16" i="17"/>
  <c r="Q29" i="6" s="1"/>
  <c r="C16" i="15"/>
  <c r="C4" i="15" s="1"/>
  <c r="C21" i="15" l="1"/>
  <c r="AG18" i="13"/>
  <c r="V18" i="13"/>
  <c r="X18" i="13"/>
  <c r="Y18" i="13"/>
  <c r="AD18" i="13"/>
  <c r="AE18" i="13"/>
  <c r="G9" i="6"/>
  <c r="AA18" i="13"/>
  <c r="AH18" i="13"/>
  <c r="U18" i="13"/>
  <c r="AC18" i="13"/>
  <c r="T18" i="13"/>
  <c r="AB18" i="13"/>
  <c r="D10" i="6"/>
  <c r="L10" i="6"/>
  <c r="AI12" i="13"/>
  <c r="R11" i="6" s="1"/>
  <c r="AI7" i="13"/>
  <c r="AI8" i="13"/>
  <c r="R7" i="6" s="1"/>
  <c r="AI6" i="13"/>
  <c r="R5" i="6" s="1"/>
  <c r="AI9" i="13"/>
  <c r="R8" i="6" s="1"/>
  <c r="AI16" i="13"/>
  <c r="R15" i="6" s="1"/>
  <c r="AI17" i="13"/>
  <c r="R16" i="6" s="1"/>
  <c r="AI11" i="13"/>
  <c r="R10" i="6" s="1"/>
  <c r="AI13" i="13"/>
  <c r="R12" i="6" s="1"/>
  <c r="AI15" i="13"/>
  <c r="R14" i="6" s="1"/>
  <c r="AI10" i="13"/>
  <c r="R9" i="6" s="1"/>
  <c r="AI14" i="13"/>
  <c r="R13" i="6" s="1"/>
  <c r="E9" i="6"/>
  <c r="H5" i="6"/>
  <c r="M9" i="6"/>
  <c r="C11" i="6"/>
  <c r="K11" i="6"/>
  <c r="AI21" i="13"/>
  <c r="AI22" i="13"/>
  <c r="AI23" i="13"/>
  <c r="AI24" i="13"/>
  <c r="AI25" i="13"/>
  <c r="AI26" i="13"/>
  <c r="AI27" i="13"/>
  <c r="AI28" i="13"/>
  <c r="AI29" i="13"/>
  <c r="AI30" i="13"/>
  <c r="AI31" i="13"/>
  <c r="AI32" i="13"/>
  <c r="N5" i="6"/>
  <c r="P10" i="6"/>
  <c r="W18" i="13"/>
  <c r="F9" i="6"/>
  <c r="AF18" i="13"/>
  <c r="Z18" i="13"/>
  <c r="Q55" i="6"/>
  <c r="Q52" i="6"/>
  <c r="Q57" i="6"/>
  <c r="Q58" i="6"/>
  <c r="Q54" i="6"/>
  <c r="Q61" i="6"/>
  <c r="Q50" i="6"/>
  <c r="Q53" i="6"/>
  <c r="Q51" i="6"/>
  <c r="Q56" i="6"/>
  <c r="Q60" i="6"/>
  <c r="Q59" i="6"/>
  <c r="AI25" i="17"/>
  <c r="AI28" i="17"/>
  <c r="AI22" i="17"/>
  <c r="AI30" i="17"/>
  <c r="AI21" i="17"/>
  <c r="AI24" i="17"/>
  <c r="AI32" i="17"/>
  <c r="AI26" i="17"/>
  <c r="AI27" i="17"/>
  <c r="AI23" i="17"/>
  <c r="AI31" i="17"/>
  <c r="AI29" i="17"/>
  <c r="R6" i="6"/>
  <c r="AI9" i="17"/>
  <c r="R22" i="6" s="1"/>
  <c r="AI16" i="17"/>
  <c r="R29" i="6" s="1"/>
  <c r="AI7" i="17"/>
  <c r="R20" i="6" s="1"/>
  <c r="AI14" i="17"/>
  <c r="R27" i="6" s="1"/>
  <c r="AI12" i="17"/>
  <c r="R25" i="6" s="1"/>
  <c r="AI8" i="17"/>
  <c r="R21" i="6" s="1"/>
  <c r="AI17" i="17"/>
  <c r="R30" i="6" s="1"/>
  <c r="AI11" i="17"/>
  <c r="R24" i="6" s="1"/>
  <c r="AI10" i="17"/>
  <c r="R23" i="6" s="1"/>
  <c r="AI13" i="17"/>
  <c r="R26" i="6" s="1"/>
  <c r="AI6" i="17"/>
  <c r="R19" i="6" s="1"/>
  <c r="AI15" i="17"/>
  <c r="R28" i="6" s="1"/>
  <c r="Y16" i="8"/>
  <c r="AJ5" i="13"/>
  <c r="AJ20" i="17"/>
  <c r="AJ5" i="17"/>
  <c r="S49" i="6"/>
  <c r="AJ20" i="13"/>
  <c r="S18" i="6"/>
  <c r="S35" i="6"/>
  <c r="S4" i="6"/>
  <c r="V47" i="3"/>
  <c r="U48" i="3"/>
  <c r="E4" i="15" l="1"/>
  <c r="D4" i="15"/>
  <c r="E51" i="3" s="1"/>
  <c r="C7" i="15"/>
  <c r="E52" i="3" s="1"/>
  <c r="AJ7" i="13"/>
  <c r="S6" i="6" s="1"/>
  <c r="AJ8" i="13"/>
  <c r="S7" i="6" s="1"/>
  <c r="AJ9" i="13"/>
  <c r="S8" i="6" s="1"/>
  <c r="AJ10" i="13"/>
  <c r="S9" i="6" s="1"/>
  <c r="AJ12" i="13"/>
  <c r="S11" i="6" s="1"/>
  <c r="AJ14" i="13"/>
  <c r="S13" i="6" s="1"/>
  <c r="AJ6" i="13"/>
  <c r="S5" i="6" s="1"/>
  <c r="AJ16" i="13"/>
  <c r="S15" i="6" s="1"/>
  <c r="AJ17" i="13"/>
  <c r="S16" i="6" s="1"/>
  <c r="AJ11" i="13"/>
  <c r="S10" i="6" s="1"/>
  <c r="AJ13" i="13"/>
  <c r="S12" i="6" s="1"/>
  <c r="AJ15" i="13"/>
  <c r="S14" i="6" s="1"/>
  <c r="AI18" i="13"/>
  <c r="AJ22" i="13"/>
  <c r="AJ23" i="13"/>
  <c r="AJ24" i="13"/>
  <c r="AJ25" i="13"/>
  <c r="AJ26" i="13"/>
  <c r="AJ27" i="13"/>
  <c r="AJ28" i="13"/>
  <c r="AJ29" i="13"/>
  <c r="AJ30" i="13"/>
  <c r="AJ31" i="13"/>
  <c r="AJ32" i="13"/>
  <c r="AJ21" i="13"/>
  <c r="R58" i="6"/>
  <c r="R59" i="6"/>
  <c r="R60" i="6"/>
  <c r="R51" i="6"/>
  <c r="R52" i="6"/>
  <c r="R57" i="6"/>
  <c r="R56" i="6"/>
  <c r="R54" i="6"/>
  <c r="R55" i="6"/>
  <c r="R61" i="6"/>
  <c r="R53" i="6"/>
  <c r="R50" i="6"/>
  <c r="W47" i="3"/>
  <c r="V48" i="3"/>
  <c r="Z16" i="8"/>
  <c r="AK5" i="17"/>
  <c r="AK20" i="13"/>
  <c r="AK5" i="13"/>
  <c r="T4" i="6"/>
  <c r="AK20" i="17"/>
  <c r="T49" i="6"/>
  <c r="T18" i="6"/>
  <c r="T35" i="6"/>
  <c r="AJ15" i="17"/>
  <c r="S28" i="6" s="1"/>
  <c r="AJ17" i="17"/>
  <c r="S30" i="6" s="1"/>
  <c r="AJ11" i="17"/>
  <c r="S24" i="6" s="1"/>
  <c r="AJ14" i="17"/>
  <c r="S27" i="6" s="1"/>
  <c r="AJ7" i="17"/>
  <c r="S20" i="6" s="1"/>
  <c r="AJ8" i="17"/>
  <c r="S21" i="6" s="1"/>
  <c r="AJ10" i="17"/>
  <c r="S23" i="6" s="1"/>
  <c r="AJ9" i="17"/>
  <c r="S22" i="6" s="1"/>
  <c r="AJ13" i="17"/>
  <c r="S26" i="6" s="1"/>
  <c r="AJ16" i="17"/>
  <c r="S29" i="6" s="1"/>
  <c r="AJ6" i="17"/>
  <c r="S19" i="6" s="1"/>
  <c r="AJ12" i="17"/>
  <c r="S25" i="6" s="1"/>
  <c r="AJ23" i="17"/>
  <c r="AJ31" i="17"/>
  <c r="AJ21" i="17"/>
  <c r="AJ26" i="17"/>
  <c r="AJ22" i="17"/>
  <c r="AJ30" i="17"/>
  <c r="AJ24" i="17"/>
  <c r="AJ32" i="17"/>
  <c r="AJ28" i="17"/>
  <c r="AJ29" i="17"/>
  <c r="AJ25" i="17"/>
  <c r="AJ27" i="17"/>
  <c r="E141" i="3" l="1"/>
  <c r="E144" i="3"/>
  <c r="E138" i="3"/>
  <c r="E139" i="3"/>
  <c r="E133" i="3"/>
  <c r="E137" i="3"/>
  <c r="E140" i="3"/>
  <c r="E136" i="3"/>
  <c r="E143" i="3"/>
  <c r="E135" i="3"/>
  <c r="E142" i="3"/>
  <c r="E134" i="3"/>
  <c r="E128" i="3"/>
  <c r="E129" i="3"/>
  <c r="E122" i="3"/>
  <c r="E123" i="3"/>
  <c r="E121" i="3"/>
  <c r="E119" i="3"/>
  <c r="E120" i="3"/>
  <c r="E127" i="3"/>
  <c r="E130" i="3"/>
  <c r="E125" i="3"/>
  <c r="E126" i="3"/>
  <c r="E124" i="3"/>
  <c r="S54" i="6"/>
  <c r="S58" i="6"/>
  <c r="S61" i="6"/>
  <c r="S60" i="6"/>
  <c r="S53" i="6"/>
  <c r="AK7" i="13"/>
  <c r="T6" i="6" s="1"/>
  <c r="AK8" i="13"/>
  <c r="T7" i="6" s="1"/>
  <c r="AK9" i="13"/>
  <c r="T8" i="6" s="1"/>
  <c r="AK10" i="13"/>
  <c r="T9" i="6" s="1"/>
  <c r="AK11" i="13"/>
  <c r="T10" i="6" s="1"/>
  <c r="AK12" i="13"/>
  <c r="T11" i="6" s="1"/>
  <c r="AK13" i="13"/>
  <c r="T12" i="6" s="1"/>
  <c r="AK14" i="13"/>
  <c r="T13" i="6" s="1"/>
  <c r="AK15" i="13"/>
  <c r="T14" i="6" s="1"/>
  <c r="AK6" i="13"/>
  <c r="T5" i="6" s="1"/>
  <c r="AK16" i="13"/>
  <c r="T15" i="6" s="1"/>
  <c r="AK17" i="13"/>
  <c r="T16" i="6" s="1"/>
  <c r="AK21" i="13"/>
  <c r="AK22" i="13"/>
  <c r="AK23" i="13"/>
  <c r="AK24" i="13"/>
  <c r="AK25" i="13"/>
  <c r="AK26" i="13"/>
  <c r="AK27" i="13"/>
  <c r="AK28" i="13"/>
  <c r="AK29" i="13"/>
  <c r="AK30" i="13"/>
  <c r="AK31" i="13"/>
  <c r="AK32" i="13"/>
  <c r="AJ18" i="13"/>
  <c r="S51" i="6"/>
  <c r="S57" i="6"/>
  <c r="S59" i="6"/>
  <c r="S52" i="6"/>
  <c r="S56" i="6"/>
  <c r="S55" i="6"/>
  <c r="S50" i="6"/>
  <c r="AK32" i="17"/>
  <c r="AK23" i="17"/>
  <c r="AK31" i="17"/>
  <c r="AK28" i="17"/>
  <c r="AK21" i="17"/>
  <c r="AK24" i="17"/>
  <c r="AK27" i="17"/>
  <c r="AK25" i="17"/>
  <c r="AK22" i="17"/>
  <c r="AK30" i="17"/>
  <c r="AK26" i="17"/>
  <c r="AK29" i="17"/>
  <c r="AK12" i="17"/>
  <c r="T25" i="6" s="1"/>
  <c r="AK6" i="17"/>
  <c r="T19" i="6" s="1"/>
  <c r="AK15" i="17"/>
  <c r="T28" i="6" s="1"/>
  <c r="AK13" i="17"/>
  <c r="T26" i="6" s="1"/>
  <c r="AK14" i="17"/>
  <c r="T27" i="6" s="1"/>
  <c r="AK16" i="17"/>
  <c r="T29" i="6" s="1"/>
  <c r="AK9" i="17"/>
  <c r="T22" i="6" s="1"/>
  <c r="AK8" i="17"/>
  <c r="T21" i="6" s="1"/>
  <c r="AK17" i="17"/>
  <c r="T30" i="6" s="1"/>
  <c r="AK10" i="17"/>
  <c r="T23" i="6" s="1"/>
  <c r="AK7" i="17"/>
  <c r="T20" i="6" s="1"/>
  <c r="AK11" i="17"/>
  <c r="T24" i="6" s="1"/>
  <c r="AA16" i="8"/>
  <c r="AL20" i="13"/>
  <c r="AL5" i="17"/>
  <c r="AL5" i="13"/>
  <c r="AL20" i="17"/>
  <c r="U49" i="6"/>
  <c r="U35" i="6"/>
  <c r="U4" i="6"/>
  <c r="U18" i="6"/>
  <c r="X47" i="3"/>
  <c r="W48" i="3"/>
  <c r="C39" i="6"/>
  <c r="E80" i="3" s="1"/>
  <c r="C42" i="6"/>
  <c r="E83" i="3" s="1"/>
  <c r="C45" i="6"/>
  <c r="E86" i="3" s="1"/>
  <c r="C38" i="6"/>
  <c r="C41" i="6"/>
  <c r="E82" i="3" s="1"/>
  <c r="C44" i="6"/>
  <c r="E85" i="3" s="1"/>
  <c r="C47" i="6"/>
  <c r="E88" i="3" s="1"/>
  <c r="E78" i="3"/>
  <c r="C40" i="6"/>
  <c r="E81" i="3" s="1"/>
  <c r="C46" i="6"/>
  <c r="E87" i="3" s="1"/>
  <c r="C43" i="6"/>
  <c r="E84" i="3" s="1"/>
  <c r="E79" i="3" l="1"/>
  <c r="AK18" i="13"/>
  <c r="AL21" i="13"/>
  <c r="AL22" i="13"/>
  <c r="AL23" i="13"/>
  <c r="AL24" i="13"/>
  <c r="AL25" i="13"/>
  <c r="AL26" i="13"/>
  <c r="AL27" i="13"/>
  <c r="AL28" i="13"/>
  <c r="AL29" i="13"/>
  <c r="AL30" i="13"/>
  <c r="AL31" i="13"/>
  <c r="AL32" i="13"/>
  <c r="AL7" i="13"/>
  <c r="U6" i="6" s="1"/>
  <c r="AL8" i="13"/>
  <c r="U7" i="6" s="1"/>
  <c r="U38" i="6" s="1"/>
  <c r="W79" i="3" s="1"/>
  <c r="AL10" i="13"/>
  <c r="U9" i="6" s="1"/>
  <c r="AL12" i="13"/>
  <c r="U11" i="6" s="1"/>
  <c r="U42" i="6" s="1"/>
  <c r="W83" i="3" s="1"/>
  <c r="AL14" i="13"/>
  <c r="U13" i="6" s="1"/>
  <c r="U44" i="6" s="1"/>
  <c r="W85" i="3" s="1"/>
  <c r="AL9" i="13"/>
  <c r="U8" i="6" s="1"/>
  <c r="U39" i="6" s="1"/>
  <c r="W80" i="3" s="1"/>
  <c r="AL6" i="13"/>
  <c r="U5" i="6" s="1"/>
  <c r="AL11" i="13"/>
  <c r="U10" i="6" s="1"/>
  <c r="U41" i="6" s="1"/>
  <c r="W82" i="3" s="1"/>
  <c r="AL13" i="13"/>
  <c r="U12" i="6" s="1"/>
  <c r="U43" i="6" s="1"/>
  <c r="W84" i="3" s="1"/>
  <c r="AL15" i="13"/>
  <c r="U14" i="6" s="1"/>
  <c r="U45" i="6" s="1"/>
  <c r="W86" i="3" s="1"/>
  <c r="AL16" i="13"/>
  <c r="U15" i="6" s="1"/>
  <c r="AL17" i="13"/>
  <c r="U16" i="6" s="1"/>
  <c r="U47" i="6" s="1"/>
  <c r="W88" i="3" s="1"/>
  <c r="T55" i="6"/>
  <c r="T60" i="6"/>
  <c r="T59" i="6"/>
  <c r="T52" i="6"/>
  <c r="T51" i="6"/>
  <c r="T61" i="6"/>
  <c r="T54" i="6"/>
  <c r="T56" i="6"/>
  <c r="T53" i="6"/>
  <c r="T50" i="6"/>
  <c r="T58" i="6"/>
  <c r="T57" i="6"/>
  <c r="AL15" i="17"/>
  <c r="U28" i="6" s="1"/>
  <c r="AL8" i="17"/>
  <c r="U21" i="6" s="1"/>
  <c r="AL16" i="17"/>
  <c r="U29" i="6" s="1"/>
  <c r="AL13" i="17"/>
  <c r="U26" i="6" s="1"/>
  <c r="AL9" i="17"/>
  <c r="U22" i="6" s="1"/>
  <c r="AL6" i="17"/>
  <c r="U19" i="6" s="1"/>
  <c r="AL10" i="17"/>
  <c r="U23" i="6" s="1"/>
  <c r="AL14" i="17"/>
  <c r="U27" i="6" s="1"/>
  <c r="AL11" i="17"/>
  <c r="U24" i="6" s="1"/>
  <c r="AL12" i="17"/>
  <c r="U25" i="6" s="1"/>
  <c r="AL17" i="17"/>
  <c r="U30" i="6" s="1"/>
  <c r="AL7" i="17"/>
  <c r="U20" i="6" s="1"/>
  <c r="Y47" i="3"/>
  <c r="X48" i="3"/>
  <c r="AB16" i="8"/>
  <c r="AM20" i="13"/>
  <c r="AM5" i="17"/>
  <c r="AM5" i="13"/>
  <c r="AM20" i="17"/>
  <c r="V4" i="6"/>
  <c r="V49" i="6"/>
  <c r="V35" i="6"/>
  <c r="V18" i="6"/>
  <c r="AL29" i="17"/>
  <c r="AL21" i="17"/>
  <c r="AL24" i="17"/>
  <c r="AL26" i="17"/>
  <c r="U55" i="6" s="1"/>
  <c r="AL28" i="17"/>
  <c r="AL25" i="17"/>
  <c r="AL23" i="17"/>
  <c r="AL22" i="17"/>
  <c r="AL30" i="17"/>
  <c r="AL27" i="17"/>
  <c r="AL31" i="17"/>
  <c r="AL32" i="17"/>
  <c r="T37" i="6"/>
  <c r="V78" i="3" s="1"/>
  <c r="T40" i="6"/>
  <c r="V81" i="3" s="1"/>
  <c r="T43" i="6"/>
  <c r="V84" i="3" s="1"/>
  <c r="T46" i="6"/>
  <c r="V87" i="3" s="1"/>
  <c r="T36" i="6"/>
  <c r="V77" i="3" s="1"/>
  <c r="T39" i="6"/>
  <c r="V80" i="3" s="1"/>
  <c r="T42" i="6"/>
  <c r="V83" i="3" s="1"/>
  <c r="T45" i="6"/>
  <c r="V86" i="3" s="1"/>
  <c r="T41" i="6"/>
  <c r="V82" i="3" s="1"/>
  <c r="T38" i="6"/>
  <c r="V79" i="3" s="1"/>
  <c r="T44" i="6"/>
  <c r="V85" i="3" s="1"/>
  <c r="T47" i="6"/>
  <c r="V88" i="3" s="1"/>
  <c r="S37" i="6"/>
  <c r="U78" i="3" s="1"/>
  <c r="S40" i="6"/>
  <c r="U81" i="3" s="1"/>
  <c r="S43" i="6"/>
  <c r="U84" i="3" s="1"/>
  <c r="S46" i="6"/>
  <c r="U87" i="3" s="1"/>
  <c r="S36" i="6"/>
  <c r="U77" i="3" s="1"/>
  <c r="S39" i="6"/>
  <c r="U80" i="3" s="1"/>
  <c r="S42" i="6"/>
  <c r="U83" i="3" s="1"/>
  <c r="S45" i="6"/>
  <c r="U86" i="3" s="1"/>
  <c r="S38" i="6"/>
  <c r="U79" i="3" s="1"/>
  <c r="S41" i="6"/>
  <c r="U82" i="3" s="1"/>
  <c r="S44" i="6"/>
  <c r="U85" i="3" s="1"/>
  <c r="S47" i="6"/>
  <c r="U88" i="3" s="1"/>
  <c r="U57" i="6" l="1"/>
  <c r="U59" i="6"/>
  <c r="U50" i="6"/>
  <c r="U58" i="6"/>
  <c r="U61" i="6"/>
  <c r="U56" i="6"/>
  <c r="U52" i="6"/>
  <c r="U54" i="6"/>
  <c r="AL18" i="13"/>
  <c r="AM7" i="13"/>
  <c r="V6" i="6" s="1"/>
  <c r="AM8" i="13"/>
  <c r="V7" i="6" s="1"/>
  <c r="AM9" i="13"/>
  <c r="V8" i="6" s="1"/>
  <c r="AM10" i="13"/>
  <c r="V9" i="6" s="1"/>
  <c r="AM12" i="13"/>
  <c r="V11" i="6" s="1"/>
  <c r="AM14" i="13"/>
  <c r="V13" i="6" s="1"/>
  <c r="AM13" i="13"/>
  <c r="V12" i="6" s="1"/>
  <c r="AM15" i="13"/>
  <c r="V14" i="6" s="1"/>
  <c r="AM6" i="13"/>
  <c r="V5" i="6" s="1"/>
  <c r="AM11" i="13"/>
  <c r="V10" i="6" s="1"/>
  <c r="AM16" i="13"/>
  <c r="V15" i="6" s="1"/>
  <c r="AM17" i="13"/>
  <c r="V16" i="6" s="1"/>
  <c r="AM21" i="13"/>
  <c r="AM22" i="13"/>
  <c r="AM23" i="13"/>
  <c r="AM24" i="13"/>
  <c r="AM25" i="13"/>
  <c r="AM26" i="13"/>
  <c r="AM27" i="13"/>
  <c r="AM28" i="13"/>
  <c r="AM29" i="13"/>
  <c r="AM30" i="13"/>
  <c r="AM31" i="13"/>
  <c r="AM32" i="13"/>
  <c r="U60" i="6"/>
  <c r="U51" i="6"/>
  <c r="U36" i="6"/>
  <c r="W77" i="3" s="1"/>
  <c r="U53" i="6"/>
  <c r="U37" i="6"/>
  <c r="W78" i="3" s="1"/>
  <c r="U46" i="6"/>
  <c r="W87" i="3" s="1"/>
  <c r="U40" i="6"/>
  <c r="W81" i="3" s="1"/>
  <c r="AM29" i="17"/>
  <c r="AM23" i="17"/>
  <c r="AM26" i="17"/>
  <c r="AM32" i="17"/>
  <c r="AM27" i="17"/>
  <c r="AM25" i="17"/>
  <c r="AM28" i="17"/>
  <c r="AM30" i="17"/>
  <c r="AM31" i="17"/>
  <c r="AM24" i="17"/>
  <c r="AM21" i="17"/>
  <c r="AM22" i="17"/>
  <c r="Z47" i="3"/>
  <c r="Y48" i="3"/>
  <c r="AM16" i="17"/>
  <c r="V29" i="6" s="1"/>
  <c r="AM7" i="17"/>
  <c r="V20" i="6" s="1"/>
  <c r="AM6" i="17"/>
  <c r="V19" i="6" s="1"/>
  <c r="AM8" i="17"/>
  <c r="V21" i="6" s="1"/>
  <c r="AM15" i="17"/>
  <c r="V28" i="6" s="1"/>
  <c r="AM14" i="17"/>
  <c r="V27" i="6" s="1"/>
  <c r="AM10" i="17"/>
  <c r="V23" i="6" s="1"/>
  <c r="AM13" i="17"/>
  <c r="V26" i="6" s="1"/>
  <c r="AM12" i="17"/>
  <c r="V25" i="6" s="1"/>
  <c r="AM9" i="17"/>
  <c r="V22" i="6" s="1"/>
  <c r="AM17" i="17"/>
  <c r="V30" i="6" s="1"/>
  <c r="AM11" i="17"/>
  <c r="V24" i="6" s="1"/>
  <c r="AC16" i="8"/>
  <c r="AN5" i="13"/>
  <c r="AN20" i="17"/>
  <c r="AN5" i="17"/>
  <c r="W49" i="6"/>
  <c r="W35" i="6"/>
  <c r="W4" i="6"/>
  <c r="AN20" i="13"/>
  <c r="W18" i="6"/>
  <c r="N36" i="6"/>
  <c r="P77" i="3" s="1"/>
  <c r="D36" i="6"/>
  <c r="F77" i="3" s="1"/>
  <c r="E37" i="6"/>
  <c r="G78" i="3" s="1"/>
  <c r="E36" i="6"/>
  <c r="G77" i="3" s="1"/>
  <c r="D37" i="6"/>
  <c r="F78" i="3" s="1"/>
  <c r="M39" i="6"/>
  <c r="O80" i="3" s="1"/>
  <c r="AN21" i="13" l="1"/>
  <c r="AN22" i="13"/>
  <c r="AN23" i="13"/>
  <c r="AN24" i="13"/>
  <c r="AN25" i="13"/>
  <c r="AN26" i="13"/>
  <c r="AN27" i="13"/>
  <c r="AN28" i="13"/>
  <c r="AN29" i="13"/>
  <c r="AN30" i="13"/>
  <c r="AN31" i="13"/>
  <c r="AN32" i="13"/>
  <c r="AN7" i="13"/>
  <c r="W6" i="6" s="1"/>
  <c r="AN8" i="13"/>
  <c r="W7" i="6" s="1"/>
  <c r="AN9" i="13"/>
  <c r="W8" i="6" s="1"/>
  <c r="AN10" i="13"/>
  <c r="AN11" i="13"/>
  <c r="W10" i="6" s="1"/>
  <c r="AN12" i="13"/>
  <c r="W11" i="6" s="1"/>
  <c r="AN13" i="13"/>
  <c r="W12" i="6" s="1"/>
  <c r="AN14" i="13"/>
  <c r="W13" i="6" s="1"/>
  <c r="AN15" i="13"/>
  <c r="W14" i="6" s="1"/>
  <c r="AN16" i="13"/>
  <c r="W15" i="6" s="1"/>
  <c r="AN17" i="13"/>
  <c r="W16" i="6" s="1"/>
  <c r="AN6" i="13"/>
  <c r="W5" i="6" s="1"/>
  <c r="AM18" i="13"/>
  <c r="V53" i="6"/>
  <c r="V60" i="6"/>
  <c r="V58" i="6"/>
  <c r="V59" i="6"/>
  <c r="V52" i="6"/>
  <c r="V57" i="6"/>
  <c r="V54" i="6"/>
  <c r="V44" i="6"/>
  <c r="X85" i="3" s="1"/>
  <c r="V39" i="6"/>
  <c r="X80" i="3" s="1"/>
  <c r="V56" i="6"/>
  <c r="V51" i="6"/>
  <c r="V61" i="6"/>
  <c r="V50" i="6"/>
  <c r="V55" i="6"/>
  <c r="V42" i="6"/>
  <c r="X83" i="3" s="1"/>
  <c r="V37" i="6"/>
  <c r="X78" i="3" s="1"/>
  <c r="V40" i="6"/>
  <c r="X81" i="3" s="1"/>
  <c r="V47" i="6"/>
  <c r="X88" i="3" s="1"/>
  <c r="V38" i="6"/>
  <c r="X79" i="3" s="1"/>
  <c r="V36" i="6"/>
  <c r="X77" i="3" s="1"/>
  <c r="V45" i="6"/>
  <c r="X86" i="3" s="1"/>
  <c r="V43" i="6"/>
  <c r="X84" i="3" s="1"/>
  <c r="V46" i="6"/>
  <c r="X87" i="3" s="1"/>
  <c r="V41" i="6"/>
  <c r="X82" i="3" s="1"/>
  <c r="AN27" i="17"/>
  <c r="AN32" i="17"/>
  <c r="AN23" i="17"/>
  <c r="AN31" i="17"/>
  <c r="AN29" i="17"/>
  <c r="AN30" i="17"/>
  <c r="AN26" i="17"/>
  <c r="AN28" i="17"/>
  <c r="AN24" i="17"/>
  <c r="AN21" i="17"/>
  <c r="AN25" i="17"/>
  <c r="AN22" i="17"/>
  <c r="AA47" i="3"/>
  <c r="Z48" i="3"/>
  <c r="W9" i="6"/>
  <c r="AN16" i="17"/>
  <c r="W29" i="6" s="1"/>
  <c r="AN14" i="17"/>
  <c r="W27" i="6" s="1"/>
  <c r="AN15" i="17"/>
  <c r="W28" i="6" s="1"/>
  <c r="AN7" i="17"/>
  <c r="W20" i="6" s="1"/>
  <c r="AN10" i="17"/>
  <c r="W23" i="6" s="1"/>
  <c r="AN9" i="17"/>
  <c r="W22" i="6" s="1"/>
  <c r="AN8" i="17"/>
  <c r="W21" i="6" s="1"/>
  <c r="AN11" i="17"/>
  <c r="W24" i="6" s="1"/>
  <c r="AN6" i="17"/>
  <c r="W19" i="6" s="1"/>
  <c r="AN13" i="17"/>
  <c r="W26" i="6" s="1"/>
  <c r="AN17" i="17"/>
  <c r="W30" i="6" s="1"/>
  <c r="AN12" i="17"/>
  <c r="W25" i="6" s="1"/>
  <c r="AD16" i="8"/>
  <c r="AO5" i="13"/>
  <c r="AO20" i="17"/>
  <c r="AO20" i="13"/>
  <c r="X4" i="6"/>
  <c r="AO5" i="17"/>
  <c r="X49" i="6"/>
  <c r="X35" i="6"/>
  <c r="X18" i="6"/>
  <c r="O47" i="6"/>
  <c r="Q88" i="3" s="1"/>
  <c r="P40" i="6"/>
  <c r="R81" i="3" s="1"/>
  <c r="N47" i="6"/>
  <c r="P88" i="3" s="1"/>
  <c r="L46" i="6"/>
  <c r="N87" i="3" s="1"/>
  <c r="M47" i="6"/>
  <c r="O88" i="3" s="1"/>
  <c r="R44" i="6"/>
  <c r="T85" i="3" s="1"/>
  <c r="Q43" i="6"/>
  <c r="S84" i="3" s="1"/>
  <c r="P42" i="6"/>
  <c r="R83" i="3" s="1"/>
  <c r="O41" i="6"/>
  <c r="Q82" i="3" s="1"/>
  <c r="N40" i="6"/>
  <c r="P81" i="3" s="1"/>
  <c r="R36" i="6"/>
  <c r="T77" i="3" s="1"/>
  <c r="L36" i="6"/>
  <c r="N77" i="3" s="1"/>
  <c r="N38" i="6"/>
  <c r="P79" i="3" s="1"/>
  <c r="M46" i="6"/>
  <c r="O87" i="3" s="1"/>
  <c r="O40" i="6"/>
  <c r="Q81" i="3" s="1"/>
  <c r="N39" i="6"/>
  <c r="P80" i="3" s="1"/>
  <c r="M38" i="6"/>
  <c r="O79" i="3" s="1"/>
  <c r="L37" i="6"/>
  <c r="N78" i="3" s="1"/>
  <c r="N41" i="6"/>
  <c r="P82" i="3" s="1"/>
  <c r="M40" i="6"/>
  <c r="O81" i="3" s="1"/>
  <c r="R37" i="6"/>
  <c r="T78" i="3" s="1"/>
  <c r="Q36" i="6"/>
  <c r="S77" i="3" s="1"/>
  <c r="Q41" i="6"/>
  <c r="S82" i="3" s="1"/>
  <c r="M37" i="6"/>
  <c r="O78" i="3" s="1"/>
  <c r="R43" i="6"/>
  <c r="T84" i="3" s="1"/>
  <c r="L45" i="6"/>
  <c r="N86" i="3" s="1"/>
  <c r="R45" i="6"/>
  <c r="T86" i="3" s="1"/>
  <c r="Q44" i="6"/>
  <c r="S85" i="3" s="1"/>
  <c r="P43" i="6"/>
  <c r="R84" i="3" s="1"/>
  <c r="R46" i="6"/>
  <c r="T87" i="3" s="1"/>
  <c r="Q45" i="6"/>
  <c r="S86" i="3" s="1"/>
  <c r="P44" i="6"/>
  <c r="R85" i="3" s="1"/>
  <c r="O43" i="6"/>
  <c r="Q84" i="3" s="1"/>
  <c r="N42" i="6"/>
  <c r="P83" i="3" s="1"/>
  <c r="M41" i="6"/>
  <c r="O82" i="3" s="1"/>
  <c r="R38" i="6"/>
  <c r="T79" i="3" s="1"/>
  <c r="Q37" i="6"/>
  <c r="S78" i="3" s="1"/>
  <c r="P36" i="6"/>
  <c r="R77" i="3" s="1"/>
  <c r="R42" i="6"/>
  <c r="T83" i="3" s="1"/>
  <c r="O39" i="6"/>
  <c r="Q80" i="3" s="1"/>
  <c r="L47" i="6"/>
  <c r="N88" i="3" s="1"/>
  <c r="Q42" i="6"/>
  <c r="S83" i="3" s="1"/>
  <c r="P41" i="6"/>
  <c r="R82" i="3" s="1"/>
  <c r="L38" i="6"/>
  <c r="N79" i="3" s="1"/>
  <c r="O42" i="6"/>
  <c r="Q83" i="3" s="1"/>
  <c r="L44" i="6"/>
  <c r="N85" i="3" s="1"/>
  <c r="L43" i="6"/>
  <c r="N84" i="3" s="1"/>
  <c r="R47" i="6"/>
  <c r="T88" i="3" s="1"/>
  <c r="Q46" i="6"/>
  <c r="S87" i="3" s="1"/>
  <c r="P45" i="6"/>
  <c r="R86" i="3" s="1"/>
  <c r="O44" i="6"/>
  <c r="Q85" i="3" s="1"/>
  <c r="N43" i="6"/>
  <c r="P84" i="3" s="1"/>
  <c r="M42" i="6"/>
  <c r="O83" i="3" s="1"/>
  <c r="R39" i="6"/>
  <c r="T80" i="3" s="1"/>
  <c r="Q38" i="6"/>
  <c r="S79" i="3" s="1"/>
  <c r="P37" i="6"/>
  <c r="R78" i="3" s="1"/>
  <c r="O36" i="6"/>
  <c r="Q77" i="3" s="1"/>
  <c r="L42" i="6"/>
  <c r="N83" i="3" s="1"/>
  <c r="Q47" i="6"/>
  <c r="S88" i="3" s="1"/>
  <c r="P46" i="6"/>
  <c r="R87" i="3" s="1"/>
  <c r="O45" i="6"/>
  <c r="Q86" i="3" s="1"/>
  <c r="N44" i="6"/>
  <c r="P85" i="3" s="1"/>
  <c r="M43" i="6"/>
  <c r="O84" i="3" s="1"/>
  <c r="R40" i="6"/>
  <c r="T81" i="3" s="1"/>
  <c r="Q39" i="6"/>
  <c r="S80" i="3" s="1"/>
  <c r="P38" i="6"/>
  <c r="R79" i="3" s="1"/>
  <c r="O37" i="6"/>
  <c r="Q78" i="3" s="1"/>
  <c r="L40" i="6"/>
  <c r="N81" i="3" s="1"/>
  <c r="N46" i="6"/>
  <c r="P87" i="3" s="1"/>
  <c r="M45" i="6"/>
  <c r="O86" i="3" s="1"/>
  <c r="L39" i="6"/>
  <c r="N80" i="3" s="1"/>
  <c r="L41" i="6"/>
  <c r="N82" i="3" s="1"/>
  <c r="P47" i="6"/>
  <c r="R88" i="3" s="1"/>
  <c r="O46" i="6"/>
  <c r="Q87" i="3" s="1"/>
  <c r="N45" i="6"/>
  <c r="P86" i="3" s="1"/>
  <c r="M44" i="6"/>
  <c r="O85" i="3" s="1"/>
  <c r="R41" i="6"/>
  <c r="T82" i="3" s="1"/>
  <c r="Q40" i="6"/>
  <c r="S81" i="3" s="1"/>
  <c r="P39" i="6"/>
  <c r="R80" i="3" s="1"/>
  <c r="O38" i="6"/>
  <c r="Q79" i="3" s="1"/>
  <c r="N37" i="6"/>
  <c r="P78" i="3" s="1"/>
  <c r="M36" i="6"/>
  <c r="O77" i="3" s="1"/>
  <c r="AN18" i="13" l="1"/>
  <c r="AO21" i="13"/>
  <c r="AO22" i="13"/>
  <c r="AO23" i="13"/>
  <c r="AO24" i="13"/>
  <c r="AO25" i="13"/>
  <c r="AO26" i="13"/>
  <c r="AO27" i="13"/>
  <c r="AO28" i="13"/>
  <c r="AO29" i="13"/>
  <c r="AO30" i="13"/>
  <c r="AO31" i="13"/>
  <c r="AO32" i="13"/>
  <c r="AO7" i="13"/>
  <c r="X6" i="6" s="1"/>
  <c r="AO8" i="13"/>
  <c r="X7" i="6" s="1"/>
  <c r="AO9" i="13"/>
  <c r="X8" i="6" s="1"/>
  <c r="AO10" i="13"/>
  <c r="X9" i="6" s="1"/>
  <c r="AO11" i="13"/>
  <c r="X10" i="6" s="1"/>
  <c r="AO12" i="13"/>
  <c r="X11" i="6" s="1"/>
  <c r="AO13" i="13"/>
  <c r="X12" i="6" s="1"/>
  <c r="AO14" i="13"/>
  <c r="X13" i="6" s="1"/>
  <c r="AO15" i="13"/>
  <c r="X14" i="6" s="1"/>
  <c r="AO6" i="13"/>
  <c r="AO16" i="13"/>
  <c r="X15" i="6" s="1"/>
  <c r="AO17" i="13"/>
  <c r="X16" i="6" s="1"/>
  <c r="W51" i="6"/>
  <c r="W60" i="6"/>
  <c r="W54" i="6"/>
  <c r="W52" i="6"/>
  <c r="W50" i="6"/>
  <c r="W61" i="6"/>
  <c r="W36" i="6"/>
  <c r="Y77" i="3" s="1"/>
  <c r="W53" i="6"/>
  <c r="W56" i="6"/>
  <c r="W57" i="6"/>
  <c r="W55" i="6"/>
  <c r="W59" i="6"/>
  <c r="W40" i="6"/>
  <c r="Y81" i="3" s="1"/>
  <c r="W58" i="6"/>
  <c r="W38" i="6"/>
  <c r="Y79" i="3" s="1"/>
  <c r="W41" i="6"/>
  <c r="Y82" i="3" s="1"/>
  <c r="W46" i="6"/>
  <c r="Y87" i="3" s="1"/>
  <c r="W37" i="6"/>
  <c r="Y78" i="3" s="1"/>
  <c r="W42" i="6"/>
  <c r="Y83" i="3" s="1"/>
  <c r="W45" i="6"/>
  <c r="Y86" i="3" s="1"/>
  <c r="W47" i="6"/>
  <c r="Y88" i="3" s="1"/>
  <c r="W39" i="6"/>
  <c r="Y80" i="3" s="1"/>
  <c r="W43" i="6"/>
  <c r="Y84" i="3" s="1"/>
  <c r="W44" i="6"/>
  <c r="Y85" i="3" s="1"/>
  <c r="AO28" i="17"/>
  <c r="AO29" i="17"/>
  <c r="AO27" i="17"/>
  <c r="AO23" i="17"/>
  <c r="AO31" i="17"/>
  <c r="AO25" i="17"/>
  <c r="AO24" i="17"/>
  <c r="AO32" i="17"/>
  <c r="AO26" i="17"/>
  <c r="AO30" i="17"/>
  <c r="AO22" i="17"/>
  <c r="AO21" i="17"/>
  <c r="AB47" i="3"/>
  <c r="AA48" i="3"/>
  <c r="AO14" i="17"/>
  <c r="X27" i="6" s="1"/>
  <c r="AO11" i="17"/>
  <c r="X24" i="6" s="1"/>
  <c r="AO13" i="17"/>
  <c r="X26" i="6" s="1"/>
  <c r="AO7" i="17"/>
  <c r="X20" i="6" s="1"/>
  <c r="AO9" i="17"/>
  <c r="X22" i="6" s="1"/>
  <c r="AO8" i="17"/>
  <c r="X21" i="6" s="1"/>
  <c r="AO15" i="17"/>
  <c r="X28" i="6" s="1"/>
  <c r="AO16" i="17"/>
  <c r="X29" i="6" s="1"/>
  <c r="AO17" i="17"/>
  <c r="X30" i="6" s="1"/>
  <c r="AO10" i="17"/>
  <c r="X23" i="6" s="1"/>
  <c r="AO12" i="17"/>
  <c r="X25" i="6" s="1"/>
  <c r="AO6" i="17"/>
  <c r="X19" i="6" s="1"/>
  <c r="AE16" i="8"/>
  <c r="AP5" i="13"/>
  <c r="AP20" i="17"/>
  <c r="AP20" i="13"/>
  <c r="AP5" i="17"/>
  <c r="Y49" i="6"/>
  <c r="Y35" i="6"/>
  <c r="Y18" i="6"/>
  <c r="Y4" i="6"/>
  <c r="E42" i="6"/>
  <c r="G83" i="3" s="1"/>
  <c r="D40" i="6"/>
  <c r="F81" i="3" s="1"/>
  <c r="D44" i="6"/>
  <c r="F85" i="3" s="1"/>
  <c r="D39" i="6"/>
  <c r="D38" i="6"/>
  <c r="G47" i="6"/>
  <c r="I88" i="3" s="1"/>
  <c r="D47" i="6"/>
  <c r="F88" i="3" s="1"/>
  <c r="D46" i="6"/>
  <c r="F87" i="3" s="1"/>
  <c r="AO18" i="13" l="1"/>
  <c r="AP11" i="13"/>
  <c r="Y10" i="6" s="1"/>
  <c r="Y41" i="6" s="1"/>
  <c r="AA82" i="3" s="1"/>
  <c r="AP13" i="13"/>
  <c r="Y12" i="6" s="1"/>
  <c r="Y43" i="6" s="1"/>
  <c r="AA84" i="3" s="1"/>
  <c r="AP10" i="13"/>
  <c r="Y9" i="6" s="1"/>
  <c r="AP6" i="13"/>
  <c r="Y5" i="6" s="1"/>
  <c r="Y36" i="6" s="1"/>
  <c r="AA77" i="3" s="1"/>
  <c r="AP7" i="13"/>
  <c r="Y6" i="6" s="1"/>
  <c r="AP8" i="13"/>
  <c r="Y7" i="6" s="1"/>
  <c r="Y38" i="6" s="1"/>
  <c r="AA79" i="3" s="1"/>
  <c r="AP16" i="13"/>
  <c r="Y15" i="6" s="1"/>
  <c r="AP17" i="13"/>
  <c r="Y16" i="6" s="1"/>
  <c r="AP12" i="13"/>
  <c r="Y11" i="6" s="1"/>
  <c r="AP14" i="13"/>
  <c r="Y13" i="6" s="1"/>
  <c r="AP9" i="13"/>
  <c r="Y8" i="6" s="1"/>
  <c r="Y39" i="6" s="1"/>
  <c r="AA80" i="3" s="1"/>
  <c r="AP15" i="13"/>
  <c r="Y14" i="6" s="1"/>
  <c r="Y45" i="6" s="1"/>
  <c r="AA86" i="3" s="1"/>
  <c r="X5" i="6"/>
  <c r="X36" i="6" s="1"/>
  <c r="Z77" i="3" s="1"/>
  <c r="AP21" i="13"/>
  <c r="AP22" i="13"/>
  <c r="AP23" i="13"/>
  <c r="AP24" i="13"/>
  <c r="AP25" i="13"/>
  <c r="AP26" i="13"/>
  <c r="AP27" i="13"/>
  <c r="AP28" i="13"/>
  <c r="AP29" i="13"/>
  <c r="AP30" i="13"/>
  <c r="AP31" i="13"/>
  <c r="AP32" i="13"/>
  <c r="X60" i="6"/>
  <c r="X50" i="6"/>
  <c r="X52" i="6"/>
  <c r="X51" i="6"/>
  <c r="X56" i="6"/>
  <c r="X59" i="6"/>
  <c r="X58" i="6"/>
  <c r="X44" i="6"/>
  <c r="Z85" i="3" s="1"/>
  <c r="X55" i="6"/>
  <c r="X57" i="6"/>
  <c r="X61" i="6"/>
  <c r="X45" i="6"/>
  <c r="Z86" i="3" s="1"/>
  <c r="X40" i="6"/>
  <c r="Z81" i="3" s="1"/>
  <c r="X53" i="6"/>
  <c r="X54" i="6"/>
  <c r="X41" i="6"/>
  <c r="Z82" i="3" s="1"/>
  <c r="X42" i="6"/>
  <c r="Z83" i="3" s="1"/>
  <c r="X43" i="6"/>
  <c r="Z84" i="3" s="1"/>
  <c r="X38" i="6"/>
  <c r="Z79" i="3" s="1"/>
  <c r="X39" i="6"/>
  <c r="Z80" i="3" s="1"/>
  <c r="X47" i="6"/>
  <c r="Z88" i="3" s="1"/>
  <c r="X37" i="6"/>
  <c r="Z78" i="3" s="1"/>
  <c r="X46" i="6"/>
  <c r="Z87" i="3" s="1"/>
  <c r="AP25" i="17"/>
  <c r="AP21" i="17"/>
  <c r="AP22" i="17"/>
  <c r="AP24" i="17"/>
  <c r="AP32" i="17"/>
  <c r="AP30" i="17"/>
  <c r="AP26" i="17"/>
  <c r="AP29" i="17"/>
  <c r="AP23" i="17"/>
  <c r="AP31" i="17"/>
  <c r="AP27" i="17"/>
  <c r="AP28" i="17"/>
  <c r="AF16" i="8"/>
  <c r="AQ5" i="13"/>
  <c r="AQ20" i="17"/>
  <c r="Z49" i="6"/>
  <c r="Z35" i="6"/>
  <c r="Z18" i="6"/>
  <c r="Z4" i="6"/>
  <c r="AQ20" i="13"/>
  <c r="AQ5" i="17"/>
  <c r="AC47" i="3"/>
  <c r="AB48" i="3"/>
  <c r="AP6" i="17"/>
  <c r="Y19" i="6" s="1"/>
  <c r="AP7" i="17"/>
  <c r="Y20" i="6" s="1"/>
  <c r="AP14" i="17"/>
  <c r="Y27" i="6" s="1"/>
  <c r="AP13" i="17"/>
  <c r="Y26" i="6" s="1"/>
  <c r="AP12" i="17"/>
  <c r="Y25" i="6" s="1"/>
  <c r="AP10" i="17"/>
  <c r="Y23" i="6" s="1"/>
  <c r="AP9" i="17"/>
  <c r="Y22" i="6" s="1"/>
  <c r="AP16" i="17"/>
  <c r="Y29" i="6" s="1"/>
  <c r="AP15" i="17"/>
  <c r="Y28" i="6" s="1"/>
  <c r="AP17" i="17"/>
  <c r="Y30" i="6" s="1"/>
  <c r="AP8" i="17"/>
  <c r="Y21" i="6" s="1"/>
  <c r="AP11" i="17"/>
  <c r="Y24" i="6" s="1"/>
  <c r="H43" i="6"/>
  <c r="J84" i="3" s="1"/>
  <c r="I39" i="6"/>
  <c r="K80" i="3" s="1"/>
  <c r="H45" i="6"/>
  <c r="J86" i="3" s="1"/>
  <c r="I43" i="6"/>
  <c r="K84" i="3" s="1"/>
  <c r="K41" i="6"/>
  <c r="M82" i="3" s="1"/>
  <c r="K43" i="6"/>
  <c r="M84" i="3" s="1"/>
  <c r="H41" i="6"/>
  <c r="J82" i="3" s="1"/>
  <c r="H42" i="6"/>
  <c r="J83" i="3" s="1"/>
  <c r="J46" i="6"/>
  <c r="L87" i="3" s="1"/>
  <c r="K46" i="6"/>
  <c r="M87" i="3" s="1"/>
  <c r="I46" i="6"/>
  <c r="K87" i="3" s="1"/>
  <c r="H46" i="6"/>
  <c r="J87" i="3" s="1"/>
  <c r="H38" i="6"/>
  <c r="J79" i="3" s="1"/>
  <c r="I38" i="6"/>
  <c r="K79" i="3" s="1"/>
  <c r="J38" i="6"/>
  <c r="L79" i="3" s="1"/>
  <c r="K38" i="6"/>
  <c r="M79" i="3" s="1"/>
  <c r="F43" i="6"/>
  <c r="H84" i="3" s="1"/>
  <c r="F42" i="6"/>
  <c r="H83" i="3" s="1"/>
  <c r="E44" i="6"/>
  <c r="G85" i="3" s="1"/>
  <c r="H44" i="6"/>
  <c r="J85" i="3" s="1"/>
  <c r="E46" i="6"/>
  <c r="G87" i="3" s="1"/>
  <c r="G42" i="6"/>
  <c r="I83" i="3" s="1"/>
  <c r="G36" i="6"/>
  <c r="I77" i="3" s="1"/>
  <c r="E40" i="6"/>
  <c r="G81" i="3" s="1"/>
  <c r="J41" i="6"/>
  <c r="L82" i="3" s="1"/>
  <c r="E38" i="6"/>
  <c r="G38" i="6"/>
  <c r="I79" i="3" s="1"/>
  <c r="F40" i="6"/>
  <c r="H81" i="3" s="1"/>
  <c r="D41" i="6"/>
  <c r="F82" i="3" s="1"/>
  <c r="F41" i="6"/>
  <c r="H82" i="3" s="1"/>
  <c r="G39" i="6"/>
  <c r="I80" i="3" s="1"/>
  <c r="J39" i="6"/>
  <c r="L80" i="3" s="1"/>
  <c r="D42" i="6"/>
  <c r="F83" i="3" s="1"/>
  <c r="D43" i="6"/>
  <c r="F84" i="3" s="1"/>
  <c r="E43" i="6"/>
  <c r="G84" i="3" s="1"/>
  <c r="F36" i="6"/>
  <c r="H77" i="3" s="1"/>
  <c r="E47" i="6"/>
  <c r="G88" i="3" s="1"/>
  <c r="E41" i="6"/>
  <c r="G82" i="3" s="1"/>
  <c r="F39" i="6"/>
  <c r="H80" i="3" s="1"/>
  <c r="F38" i="6"/>
  <c r="H79" i="3" s="1"/>
  <c r="K44" i="6"/>
  <c r="M85" i="3" s="1"/>
  <c r="F45" i="6"/>
  <c r="H86" i="3" s="1"/>
  <c r="J44" i="6"/>
  <c r="L85" i="3" s="1"/>
  <c r="H39" i="6"/>
  <c r="J80" i="3" s="1"/>
  <c r="D45" i="6"/>
  <c r="F86" i="3" s="1"/>
  <c r="F37" i="6"/>
  <c r="H78" i="3" s="1"/>
  <c r="G37" i="6"/>
  <c r="I78" i="3" s="1"/>
  <c r="F47" i="6"/>
  <c r="H88" i="3" s="1"/>
  <c r="G40" i="6"/>
  <c r="I81" i="3" s="1"/>
  <c r="E39" i="6"/>
  <c r="G80" i="3" s="1"/>
  <c r="G46" i="6"/>
  <c r="I87" i="3" s="1"/>
  <c r="G44" i="6"/>
  <c r="I85" i="3" s="1"/>
  <c r="G41" i="6"/>
  <c r="I82" i="3" s="1"/>
  <c r="E45" i="6"/>
  <c r="G86" i="3" s="1"/>
  <c r="F46" i="6"/>
  <c r="H87" i="3" s="1"/>
  <c r="G45" i="6"/>
  <c r="I86" i="3" s="1"/>
  <c r="G43" i="6"/>
  <c r="I84" i="3" s="1"/>
  <c r="F44" i="6"/>
  <c r="H85" i="3" s="1"/>
  <c r="K39" i="6"/>
  <c r="M80" i="3" s="1"/>
  <c r="K45" i="6"/>
  <c r="M86" i="3" s="1"/>
  <c r="J37" i="6"/>
  <c r="L78" i="3" s="1"/>
  <c r="J45" i="6"/>
  <c r="L86" i="3" s="1"/>
  <c r="I45" i="6"/>
  <c r="K86" i="3" s="1"/>
  <c r="H40" i="6"/>
  <c r="J81" i="3" s="1"/>
  <c r="I40" i="6"/>
  <c r="K81" i="3" s="1"/>
  <c r="J42" i="6"/>
  <c r="L83" i="3" s="1"/>
  <c r="K42" i="6"/>
  <c r="M83" i="3" s="1"/>
  <c r="J43" i="6"/>
  <c r="L84" i="3" s="1"/>
  <c r="I41" i="6"/>
  <c r="K82" i="3" s="1"/>
  <c r="I44" i="6"/>
  <c r="K85" i="3" s="1"/>
  <c r="AP18" i="13" l="1"/>
  <c r="AQ11" i="13"/>
  <c r="Z10" i="6" s="1"/>
  <c r="AQ13" i="13"/>
  <c r="Z12" i="6" s="1"/>
  <c r="AQ15" i="13"/>
  <c r="Z14" i="6" s="1"/>
  <c r="AQ10" i="13"/>
  <c r="Z9" i="6" s="1"/>
  <c r="AQ6" i="13"/>
  <c r="Z5" i="6" s="1"/>
  <c r="Z36" i="6" s="1"/>
  <c r="AB77" i="3" s="1"/>
  <c r="AQ8" i="13"/>
  <c r="Z7" i="6" s="1"/>
  <c r="AQ7" i="13"/>
  <c r="Z6" i="6" s="1"/>
  <c r="AQ16" i="13"/>
  <c r="Z15" i="6" s="1"/>
  <c r="AQ17" i="13"/>
  <c r="Z16" i="6" s="1"/>
  <c r="AQ12" i="13"/>
  <c r="Z11" i="6" s="1"/>
  <c r="Z42" i="6" s="1"/>
  <c r="AB83" i="3" s="1"/>
  <c r="AQ14" i="13"/>
  <c r="Z13" i="6" s="1"/>
  <c r="AQ9" i="13"/>
  <c r="Z8" i="6" s="1"/>
  <c r="Z39" i="6" s="1"/>
  <c r="AB80" i="3" s="1"/>
  <c r="AQ21" i="13"/>
  <c r="AQ23" i="13"/>
  <c r="AQ31" i="13"/>
  <c r="AQ22" i="13"/>
  <c r="AQ24" i="13"/>
  <c r="AQ25" i="13"/>
  <c r="AQ26" i="13"/>
  <c r="AQ27" i="13"/>
  <c r="AQ28" i="13"/>
  <c r="AQ29" i="13"/>
  <c r="AQ30" i="13"/>
  <c r="AQ32" i="13"/>
  <c r="Y42" i="6"/>
  <c r="AA83" i="3" s="1"/>
  <c r="Y40" i="6"/>
  <c r="AA81" i="3" s="1"/>
  <c r="Y44" i="6"/>
  <c r="AA85" i="3" s="1"/>
  <c r="Y58" i="6"/>
  <c r="Y55" i="6"/>
  <c r="Y59" i="6"/>
  <c r="Y61" i="6"/>
  <c r="Y57" i="6"/>
  <c r="Y53" i="6"/>
  <c r="Y56" i="6"/>
  <c r="Y51" i="6"/>
  <c r="Y60" i="6"/>
  <c r="Y50" i="6"/>
  <c r="Y52" i="6"/>
  <c r="Y54" i="6"/>
  <c r="Y37" i="6"/>
  <c r="AA78" i="3" s="1"/>
  <c r="Y47" i="6"/>
  <c r="AA88" i="3" s="1"/>
  <c r="Y46" i="6"/>
  <c r="AA87" i="3" s="1"/>
  <c r="AQ21" i="17"/>
  <c r="AQ31" i="17"/>
  <c r="AQ25" i="17"/>
  <c r="AQ22" i="17"/>
  <c r="AQ30" i="17"/>
  <c r="AQ28" i="17"/>
  <c r="AQ24" i="17"/>
  <c r="AQ32" i="17"/>
  <c r="AQ26" i="17"/>
  <c r="AQ27" i="17"/>
  <c r="AQ23" i="17"/>
  <c r="AQ29" i="17"/>
  <c r="AD47" i="3"/>
  <c r="AC48" i="3"/>
  <c r="AQ16" i="17"/>
  <c r="Z29" i="6" s="1"/>
  <c r="AQ17" i="17"/>
  <c r="Z30" i="6" s="1"/>
  <c r="AQ11" i="17"/>
  <c r="Z24" i="6" s="1"/>
  <c r="AQ7" i="17"/>
  <c r="Z20" i="6" s="1"/>
  <c r="AQ12" i="17"/>
  <c r="Z25" i="6" s="1"/>
  <c r="AQ6" i="17"/>
  <c r="Z19" i="6" s="1"/>
  <c r="AQ13" i="17"/>
  <c r="Z26" i="6" s="1"/>
  <c r="AQ15" i="17"/>
  <c r="Z28" i="6" s="1"/>
  <c r="AQ14" i="17"/>
  <c r="Z27" i="6" s="1"/>
  <c r="AQ8" i="17"/>
  <c r="Z21" i="6" s="1"/>
  <c r="AQ9" i="17"/>
  <c r="Z22" i="6" s="1"/>
  <c r="AQ10" i="17"/>
  <c r="Z23" i="6" s="1"/>
  <c r="AG16" i="8"/>
  <c r="AR5" i="13"/>
  <c r="AR20" i="17"/>
  <c r="AR5" i="17"/>
  <c r="AA49" i="6"/>
  <c r="AA35" i="6"/>
  <c r="AR20" i="13"/>
  <c r="AA18" i="6"/>
  <c r="AA4" i="6"/>
  <c r="I42" i="6"/>
  <c r="K83" i="3" s="1"/>
  <c r="I36" i="6"/>
  <c r="K77" i="3" s="1"/>
  <c r="K36" i="6"/>
  <c r="M77" i="3" s="1"/>
  <c r="J36" i="6"/>
  <c r="L77" i="3" s="1"/>
  <c r="H36" i="6"/>
  <c r="J77" i="3" s="1"/>
  <c r="K40" i="6"/>
  <c r="M81" i="3" s="1"/>
  <c r="J40" i="6"/>
  <c r="L81" i="3" s="1"/>
  <c r="I47" i="6"/>
  <c r="K88" i="3" s="1"/>
  <c r="H47" i="6"/>
  <c r="J88" i="3" s="1"/>
  <c r="K47" i="6"/>
  <c r="M88" i="3" s="1"/>
  <c r="J47" i="6"/>
  <c r="L88" i="3" s="1"/>
  <c r="H37" i="6"/>
  <c r="J78" i="3" s="1"/>
  <c r="I37" i="6"/>
  <c r="K78" i="3" s="1"/>
  <c r="K37" i="6"/>
  <c r="M78" i="3" s="1"/>
  <c r="B53" i="8"/>
  <c r="B52" i="8"/>
  <c r="AQ18" i="13" l="1"/>
  <c r="AR22" i="13"/>
  <c r="AR23" i="13"/>
  <c r="AR24" i="13"/>
  <c r="AR25" i="13"/>
  <c r="AR26" i="13"/>
  <c r="AR27" i="13"/>
  <c r="AR28" i="13"/>
  <c r="AR29" i="13"/>
  <c r="AR30" i="13"/>
  <c r="AR31" i="13"/>
  <c r="AR32" i="13"/>
  <c r="AR21" i="13"/>
  <c r="AR7" i="13"/>
  <c r="AA6" i="6" s="1"/>
  <c r="AR8" i="13"/>
  <c r="AA7" i="6" s="1"/>
  <c r="AR9" i="13"/>
  <c r="AA8" i="6" s="1"/>
  <c r="AR10" i="13"/>
  <c r="AA9" i="6" s="1"/>
  <c r="AR11" i="13"/>
  <c r="AA10" i="6" s="1"/>
  <c r="AR13" i="13"/>
  <c r="AA12" i="6" s="1"/>
  <c r="AR15" i="13"/>
  <c r="AA14" i="6" s="1"/>
  <c r="AR6" i="13"/>
  <c r="AA5" i="6" s="1"/>
  <c r="AR16" i="13"/>
  <c r="AA15" i="6" s="1"/>
  <c r="AR17" i="13"/>
  <c r="AA16" i="6" s="1"/>
  <c r="AR12" i="13"/>
  <c r="AA11" i="6" s="1"/>
  <c r="AR14" i="13"/>
  <c r="AA13" i="6" s="1"/>
  <c r="Z43" i="6"/>
  <c r="AB84" i="3" s="1"/>
  <c r="Z47" i="6"/>
  <c r="AB88" i="3" s="1"/>
  <c r="Z44" i="6"/>
  <c r="AB85" i="3" s="1"/>
  <c r="Z55" i="6"/>
  <c r="Z50" i="6"/>
  <c r="Z37" i="6"/>
  <c r="AB78" i="3" s="1"/>
  <c r="Z61" i="6"/>
  <c r="Z53" i="6"/>
  <c r="Z57" i="6"/>
  <c r="Z59" i="6"/>
  <c r="Z58" i="6"/>
  <c r="Z51" i="6"/>
  <c r="Z45" i="6"/>
  <c r="AB86" i="3" s="1"/>
  <c r="Z52" i="6"/>
  <c r="Z54" i="6"/>
  <c r="Z38" i="6"/>
  <c r="AB79" i="3" s="1"/>
  <c r="Z56" i="6"/>
  <c r="Z60" i="6"/>
  <c r="Z40" i="6"/>
  <c r="AB81" i="3" s="1"/>
  <c r="Z41" i="6"/>
  <c r="AB82" i="3" s="1"/>
  <c r="Z46" i="6"/>
  <c r="AB87" i="3" s="1"/>
  <c r="AH16" i="8"/>
  <c r="AS5" i="17"/>
  <c r="AS20" i="13"/>
  <c r="AB49" i="6"/>
  <c r="AB18" i="6"/>
  <c r="AB35" i="6"/>
  <c r="AS20" i="17"/>
  <c r="AB4" i="6"/>
  <c r="AS5" i="13"/>
  <c r="AE47" i="3"/>
  <c r="AD48" i="3"/>
  <c r="AR16" i="17"/>
  <c r="AA29" i="6" s="1"/>
  <c r="AR12" i="17"/>
  <c r="AA25" i="6" s="1"/>
  <c r="AR6" i="17"/>
  <c r="AA19" i="6" s="1"/>
  <c r="AR10" i="17"/>
  <c r="AA23" i="6" s="1"/>
  <c r="AR17" i="17"/>
  <c r="AA30" i="6" s="1"/>
  <c r="AR11" i="17"/>
  <c r="AA24" i="6" s="1"/>
  <c r="AR14" i="17"/>
  <c r="AA27" i="6" s="1"/>
  <c r="AR9" i="17"/>
  <c r="AA22" i="6" s="1"/>
  <c r="AR13" i="17"/>
  <c r="AA26" i="6" s="1"/>
  <c r="AR7" i="17"/>
  <c r="AA20" i="6" s="1"/>
  <c r="AR8" i="17"/>
  <c r="AA21" i="6" s="1"/>
  <c r="AR15" i="17"/>
  <c r="AA28" i="6" s="1"/>
  <c r="AR23" i="17"/>
  <c r="AR31" i="17"/>
  <c r="AR21" i="17"/>
  <c r="AR27" i="17"/>
  <c r="AR29" i="17"/>
  <c r="AR25" i="17"/>
  <c r="AR26" i="17"/>
  <c r="AR28" i="17"/>
  <c r="AR22" i="17"/>
  <c r="AR30" i="17"/>
  <c r="AR24" i="17"/>
  <c r="AR32" i="17"/>
  <c r="AG17" i="5"/>
  <c r="AG20" i="5"/>
  <c r="C51" i="2"/>
  <c r="AA61" i="6" l="1"/>
  <c r="AA53" i="6"/>
  <c r="AA54" i="6"/>
  <c r="AA56" i="6"/>
  <c r="AA51" i="6"/>
  <c r="AA58" i="6"/>
  <c r="AA50" i="6"/>
  <c r="AR18" i="13"/>
  <c r="AS7" i="13"/>
  <c r="AB6" i="6" s="1"/>
  <c r="AS8" i="13"/>
  <c r="AB7" i="6" s="1"/>
  <c r="AS9" i="13"/>
  <c r="AB8" i="6" s="1"/>
  <c r="AS10" i="13"/>
  <c r="AB9" i="6" s="1"/>
  <c r="AS11" i="13"/>
  <c r="AS12" i="13"/>
  <c r="AB11" i="6" s="1"/>
  <c r="AS13" i="13"/>
  <c r="AB12" i="6" s="1"/>
  <c r="AS14" i="13"/>
  <c r="AB13" i="6" s="1"/>
  <c r="AS15" i="13"/>
  <c r="AB14" i="6" s="1"/>
  <c r="AS6" i="13"/>
  <c r="AB5" i="6" s="1"/>
  <c r="AS16" i="13"/>
  <c r="AB15" i="6" s="1"/>
  <c r="AS17" i="13"/>
  <c r="AB16" i="6" s="1"/>
  <c r="AS21" i="13"/>
  <c r="AS22" i="13"/>
  <c r="AS23" i="13"/>
  <c r="AS24" i="13"/>
  <c r="AS25" i="13"/>
  <c r="AS26" i="13"/>
  <c r="AS27" i="13"/>
  <c r="AS28" i="13"/>
  <c r="AS29" i="13"/>
  <c r="AS30" i="13"/>
  <c r="AS31" i="13"/>
  <c r="AS32" i="13"/>
  <c r="AA59" i="6"/>
  <c r="AA55" i="6"/>
  <c r="AA52" i="6"/>
  <c r="AA57" i="6"/>
  <c r="AA42" i="6"/>
  <c r="AC83" i="3" s="1"/>
  <c r="AA45" i="6"/>
  <c r="AC86" i="3" s="1"/>
  <c r="AA41" i="6"/>
  <c r="AC82" i="3" s="1"/>
  <c r="AA39" i="6"/>
  <c r="AC80" i="3" s="1"/>
  <c r="AA60" i="6"/>
  <c r="AA44" i="6"/>
  <c r="AC85" i="3" s="1"/>
  <c r="AA40" i="6"/>
  <c r="AC81" i="3" s="1"/>
  <c r="AA36" i="6"/>
  <c r="AC77" i="3" s="1"/>
  <c r="AA47" i="6"/>
  <c r="AC88" i="3" s="1"/>
  <c r="AA46" i="6"/>
  <c r="AC87" i="3" s="1"/>
  <c r="AA43" i="6"/>
  <c r="AC84" i="3" s="1"/>
  <c r="AA38" i="6"/>
  <c r="AC79" i="3" s="1"/>
  <c r="AA37" i="6"/>
  <c r="AC78" i="3" s="1"/>
  <c r="AF47" i="3"/>
  <c r="AE48" i="3"/>
  <c r="AB10" i="6"/>
  <c r="AI16" i="8"/>
  <c r="AT20" i="13"/>
  <c r="AT5" i="17"/>
  <c r="AT5" i="13"/>
  <c r="AT20" i="17"/>
  <c r="AC49" i="6"/>
  <c r="AC35" i="6"/>
  <c r="AC18" i="6"/>
  <c r="AC4" i="6"/>
  <c r="AS12" i="17"/>
  <c r="AB25" i="6" s="1"/>
  <c r="AS6" i="17"/>
  <c r="AB19" i="6" s="1"/>
  <c r="AS8" i="17"/>
  <c r="AB21" i="6" s="1"/>
  <c r="AS15" i="17"/>
  <c r="AB28" i="6" s="1"/>
  <c r="AS7" i="17"/>
  <c r="AB20" i="6" s="1"/>
  <c r="AS11" i="17"/>
  <c r="AB24" i="6" s="1"/>
  <c r="AS17" i="17"/>
  <c r="AB30" i="6" s="1"/>
  <c r="AS13" i="17"/>
  <c r="AB26" i="6" s="1"/>
  <c r="AS10" i="17"/>
  <c r="AB23" i="6" s="1"/>
  <c r="AS14" i="17"/>
  <c r="AB27" i="6" s="1"/>
  <c r="AS9" i="17"/>
  <c r="AB22" i="6" s="1"/>
  <c r="AS16" i="17"/>
  <c r="AB29" i="6" s="1"/>
  <c r="AS29" i="17"/>
  <c r="AS24" i="17"/>
  <c r="AS25" i="17"/>
  <c r="AS21" i="17"/>
  <c r="AS26" i="17"/>
  <c r="AS23" i="17"/>
  <c r="AS31" i="17"/>
  <c r="AS28" i="17"/>
  <c r="AS22" i="17"/>
  <c r="AS30" i="17"/>
  <c r="AS27" i="17"/>
  <c r="AS32" i="17"/>
  <c r="C55" i="2"/>
  <c r="C56" i="2"/>
  <c r="AB52" i="6" l="1"/>
  <c r="AB61" i="6"/>
  <c r="AB57" i="6"/>
  <c r="AB51" i="6"/>
  <c r="AB56" i="6"/>
  <c r="AB50" i="6"/>
  <c r="AS18" i="13"/>
  <c r="AT7" i="13"/>
  <c r="AC6" i="6" s="1"/>
  <c r="AC37" i="6" s="1"/>
  <c r="AE78" i="3" s="1"/>
  <c r="AT8" i="13"/>
  <c r="AC7" i="6" s="1"/>
  <c r="AC38" i="6" s="1"/>
  <c r="AE79" i="3" s="1"/>
  <c r="AT10" i="13"/>
  <c r="AC9" i="6" s="1"/>
  <c r="AT11" i="13"/>
  <c r="AC10" i="6" s="1"/>
  <c r="AT13" i="13"/>
  <c r="AC12" i="6" s="1"/>
  <c r="AT15" i="13"/>
  <c r="AC14" i="6" s="1"/>
  <c r="AT6" i="13"/>
  <c r="AC5" i="6" s="1"/>
  <c r="AC36" i="6" s="1"/>
  <c r="AE77" i="3" s="1"/>
  <c r="AT9" i="13"/>
  <c r="AC8" i="6" s="1"/>
  <c r="AC39" i="6" s="1"/>
  <c r="AE80" i="3" s="1"/>
  <c r="AT12" i="13"/>
  <c r="AC11" i="6" s="1"/>
  <c r="AC42" i="6" s="1"/>
  <c r="AE83" i="3" s="1"/>
  <c r="AT16" i="13"/>
  <c r="AC15" i="6" s="1"/>
  <c r="AT17" i="13"/>
  <c r="AC16" i="6" s="1"/>
  <c r="AC47" i="6" s="1"/>
  <c r="AE88" i="3" s="1"/>
  <c r="AT14" i="13"/>
  <c r="AC13" i="6" s="1"/>
  <c r="AC44" i="6" s="1"/>
  <c r="AE85" i="3" s="1"/>
  <c r="AT21" i="13"/>
  <c r="AT22" i="13"/>
  <c r="AT23" i="13"/>
  <c r="AT24" i="13"/>
  <c r="AT25" i="13"/>
  <c r="AT26" i="13"/>
  <c r="AT27" i="13"/>
  <c r="AT28" i="13"/>
  <c r="AT29" i="13"/>
  <c r="AT30" i="13"/>
  <c r="AT31" i="13"/>
  <c r="AT32" i="13"/>
  <c r="AB60" i="6"/>
  <c r="AB59" i="6"/>
  <c r="AB53" i="6"/>
  <c r="AB44" i="6"/>
  <c r="AD85" i="3" s="1"/>
  <c r="AB58" i="6"/>
  <c r="AB38" i="6"/>
  <c r="AD79" i="3" s="1"/>
  <c r="AB55" i="6"/>
  <c r="AB54" i="6"/>
  <c r="AB43" i="6"/>
  <c r="AD84" i="3" s="1"/>
  <c r="AB41" i="6"/>
  <c r="AD82" i="3" s="1"/>
  <c r="AB37" i="6"/>
  <c r="AD78" i="3" s="1"/>
  <c r="AB46" i="6"/>
  <c r="AD87" i="3" s="1"/>
  <c r="AB42" i="6"/>
  <c r="AD83" i="3" s="1"/>
  <c r="AB40" i="6"/>
  <c r="AD81" i="3" s="1"/>
  <c r="AB36" i="6"/>
  <c r="AD77" i="3" s="1"/>
  <c r="AB45" i="6"/>
  <c r="AD86" i="3" s="1"/>
  <c r="AB47" i="6"/>
  <c r="AD88" i="3" s="1"/>
  <c r="AB39" i="6"/>
  <c r="AD80" i="3" s="1"/>
  <c r="AT31" i="17"/>
  <c r="AT29" i="17"/>
  <c r="AT27" i="17"/>
  <c r="AT23" i="17"/>
  <c r="AT32" i="17"/>
  <c r="AT21" i="17"/>
  <c r="AT28" i="17"/>
  <c r="AT26" i="17"/>
  <c r="AT25" i="17"/>
  <c r="AT22" i="17"/>
  <c r="AT30" i="17"/>
  <c r="AT24" i="17"/>
  <c r="AT11" i="17"/>
  <c r="AC24" i="6" s="1"/>
  <c r="AT16" i="17"/>
  <c r="AC29" i="6" s="1"/>
  <c r="AT12" i="17"/>
  <c r="AC25" i="6" s="1"/>
  <c r="AT10" i="17"/>
  <c r="AC23" i="6" s="1"/>
  <c r="AT6" i="17"/>
  <c r="AC19" i="6" s="1"/>
  <c r="AT7" i="17"/>
  <c r="AC20" i="6" s="1"/>
  <c r="AT14" i="17"/>
  <c r="AC27" i="6" s="1"/>
  <c r="AT13" i="17"/>
  <c r="AC26" i="6" s="1"/>
  <c r="AT15" i="17"/>
  <c r="AC28" i="6" s="1"/>
  <c r="AT8" i="17"/>
  <c r="AC21" i="6" s="1"/>
  <c r="AT17" i="17"/>
  <c r="AC30" i="6" s="1"/>
  <c r="AT9" i="17"/>
  <c r="AC22" i="6" s="1"/>
  <c r="AG47" i="3"/>
  <c r="AF48" i="3"/>
  <c r="AJ16" i="8"/>
  <c r="AU20" i="13"/>
  <c r="AU5" i="17"/>
  <c r="AU5" i="13"/>
  <c r="AU20" i="17"/>
  <c r="AD35" i="6"/>
  <c r="AD4" i="6"/>
  <c r="AD18" i="6"/>
  <c r="AD49" i="6"/>
  <c r="H16" i="5"/>
  <c r="AT18" i="13" l="1"/>
  <c r="AU7" i="13"/>
  <c r="AD6" i="6" s="1"/>
  <c r="AU8" i="13"/>
  <c r="AD7" i="6" s="1"/>
  <c r="AU9" i="13"/>
  <c r="AD8" i="6" s="1"/>
  <c r="AU10" i="13"/>
  <c r="AD9" i="6" s="1"/>
  <c r="AU12" i="13"/>
  <c r="AD11" i="6" s="1"/>
  <c r="AU11" i="13"/>
  <c r="AD10" i="6" s="1"/>
  <c r="AU13" i="13"/>
  <c r="AD12" i="6" s="1"/>
  <c r="AU15" i="13"/>
  <c r="AD14" i="6" s="1"/>
  <c r="AU14" i="13"/>
  <c r="AD13" i="6" s="1"/>
  <c r="AU16" i="13"/>
  <c r="AD15" i="6" s="1"/>
  <c r="AU17" i="13"/>
  <c r="AD16" i="6" s="1"/>
  <c r="AU6" i="13"/>
  <c r="AD5" i="6" s="1"/>
  <c r="AU21" i="13"/>
  <c r="AU22" i="13"/>
  <c r="AU23" i="13"/>
  <c r="AU24" i="13"/>
  <c r="AU25" i="13"/>
  <c r="AU26" i="13"/>
  <c r="AU27" i="13"/>
  <c r="AU28" i="13"/>
  <c r="AU29" i="13"/>
  <c r="AU30" i="13"/>
  <c r="AU31" i="13"/>
  <c r="AU32" i="13"/>
  <c r="AC46" i="6"/>
  <c r="AE87" i="3" s="1"/>
  <c r="AC41" i="6"/>
  <c r="AE82" i="3" s="1"/>
  <c r="AC51" i="6"/>
  <c r="AC58" i="6"/>
  <c r="AC54" i="6"/>
  <c r="AC60" i="6"/>
  <c r="AC55" i="6"/>
  <c r="AC57" i="6"/>
  <c r="AC50" i="6"/>
  <c r="AC61" i="6"/>
  <c r="AC43" i="6"/>
  <c r="AE84" i="3" s="1"/>
  <c r="AC53" i="6"/>
  <c r="AC52" i="6"/>
  <c r="AC59" i="6"/>
  <c r="AC56" i="6"/>
  <c r="AC45" i="6"/>
  <c r="AE86" i="3" s="1"/>
  <c r="AC40" i="6"/>
  <c r="AE81" i="3" s="1"/>
  <c r="H33" i="5"/>
  <c r="AH47" i="3"/>
  <c r="AG48" i="3"/>
  <c r="AK16" i="8"/>
  <c r="AV5" i="13"/>
  <c r="AV20" i="17"/>
  <c r="AV5" i="17"/>
  <c r="AE49" i="6"/>
  <c r="AE35" i="6"/>
  <c r="AV20" i="13"/>
  <c r="AE4" i="6"/>
  <c r="AE18" i="6"/>
  <c r="AU13" i="17"/>
  <c r="AD26" i="6" s="1"/>
  <c r="AU7" i="17"/>
  <c r="AD20" i="6" s="1"/>
  <c r="AU14" i="17"/>
  <c r="AD27" i="6" s="1"/>
  <c r="AU8" i="17"/>
  <c r="AD21" i="6" s="1"/>
  <c r="AU15" i="17"/>
  <c r="AD28" i="6" s="1"/>
  <c r="AU9" i="17"/>
  <c r="AD22" i="6" s="1"/>
  <c r="AU12" i="17"/>
  <c r="AD25" i="6" s="1"/>
  <c r="AU11" i="17"/>
  <c r="AD24" i="6" s="1"/>
  <c r="AU10" i="17"/>
  <c r="AD23" i="6" s="1"/>
  <c r="AU6" i="17"/>
  <c r="AD19" i="6" s="1"/>
  <c r="AU17" i="17"/>
  <c r="AD30" i="6" s="1"/>
  <c r="AU16" i="17"/>
  <c r="AD29" i="6" s="1"/>
  <c r="AU27" i="17"/>
  <c r="AU32" i="17"/>
  <c r="AU23" i="17"/>
  <c r="AU29" i="17"/>
  <c r="AU26" i="17"/>
  <c r="AU21" i="17"/>
  <c r="AU24" i="17"/>
  <c r="AU30" i="17"/>
  <c r="AU28" i="17"/>
  <c r="AU22" i="17"/>
  <c r="AU25" i="17"/>
  <c r="AU31" i="17"/>
  <c r="H20" i="5"/>
  <c r="AD55" i="6" l="1"/>
  <c r="AD50" i="6"/>
  <c r="AD53" i="6"/>
  <c r="AD59" i="6"/>
  <c r="AD60" i="6"/>
  <c r="AD52" i="6"/>
  <c r="AD56" i="6"/>
  <c r="AU18" i="13"/>
  <c r="AV21" i="13"/>
  <c r="AV22" i="13"/>
  <c r="AV23" i="13"/>
  <c r="AV24" i="13"/>
  <c r="AV25" i="13"/>
  <c r="AV26" i="13"/>
  <c r="AV27" i="13"/>
  <c r="AV28" i="13"/>
  <c r="AV29" i="13"/>
  <c r="AV30" i="13"/>
  <c r="AV31" i="13"/>
  <c r="AV32" i="13"/>
  <c r="AV7" i="13"/>
  <c r="AE6" i="6" s="1"/>
  <c r="AV8" i="13"/>
  <c r="AE7" i="6" s="1"/>
  <c r="AV9" i="13"/>
  <c r="AE8" i="6" s="1"/>
  <c r="AV10" i="13"/>
  <c r="AE9" i="6" s="1"/>
  <c r="AV11" i="13"/>
  <c r="AE10" i="6" s="1"/>
  <c r="AV12" i="13"/>
  <c r="AE11" i="6" s="1"/>
  <c r="AV13" i="13"/>
  <c r="AE12" i="6" s="1"/>
  <c r="AV14" i="13"/>
  <c r="AE13" i="6" s="1"/>
  <c r="AV15" i="13"/>
  <c r="AE14" i="6" s="1"/>
  <c r="AV16" i="13"/>
  <c r="AE15" i="6" s="1"/>
  <c r="AV6" i="13"/>
  <c r="AV17" i="13"/>
  <c r="AE16" i="6" s="1"/>
  <c r="AD51" i="6"/>
  <c r="AD54" i="6"/>
  <c r="AD57" i="6"/>
  <c r="AD46" i="6"/>
  <c r="AF87" i="3" s="1"/>
  <c r="F50" i="3"/>
  <c r="F52" i="3" s="1"/>
  <c r="AD44" i="6"/>
  <c r="AF85" i="3" s="1"/>
  <c r="AD39" i="6"/>
  <c r="AF80" i="3" s="1"/>
  <c r="AD42" i="6"/>
  <c r="AF83" i="3" s="1"/>
  <c r="AD37" i="6"/>
  <c r="AF78" i="3" s="1"/>
  <c r="AD58" i="6"/>
  <c r="AD61" i="6"/>
  <c r="AD40" i="6"/>
  <c r="AF81" i="3" s="1"/>
  <c r="AD47" i="6"/>
  <c r="AF88" i="3" s="1"/>
  <c r="AD38" i="6"/>
  <c r="AF79" i="3" s="1"/>
  <c r="AD36" i="6"/>
  <c r="AF77" i="3" s="1"/>
  <c r="AD45" i="6"/>
  <c r="AF86" i="3" s="1"/>
  <c r="AD43" i="6"/>
  <c r="AF84" i="3" s="1"/>
  <c r="AD41" i="6"/>
  <c r="AF82" i="3" s="1"/>
  <c r="AL16" i="8"/>
  <c r="AW5" i="13"/>
  <c r="AW20" i="17"/>
  <c r="AF49" i="6"/>
  <c r="AW20" i="13"/>
  <c r="AF4" i="6"/>
  <c r="AW5" i="17"/>
  <c r="AF18" i="6"/>
  <c r="AF35" i="6"/>
  <c r="AI47" i="3"/>
  <c r="AH48" i="3"/>
  <c r="AV13" i="17"/>
  <c r="AE26" i="6" s="1"/>
  <c r="AV17" i="17"/>
  <c r="AE30" i="6" s="1"/>
  <c r="AV16" i="17"/>
  <c r="AE29" i="6" s="1"/>
  <c r="AV10" i="17"/>
  <c r="AE23" i="6" s="1"/>
  <c r="AV11" i="17"/>
  <c r="AE24" i="6" s="1"/>
  <c r="AV12" i="17"/>
  <c r="AE25" i="6" s="1"/>
  <c r="AV6" i="17"/>
  <c r="AE19" i="6" s="1"/>
  <c r="AV7" i="17"/>
  <c r="AE20" i="6" s="1"/>
  <c r="AV15" i="17"/>
  <c r="AE28" i="6" s="1"/>
  <c r="AV8" i="17"/>
  <c r="AE21" i="6" s="1"/>
  <c r="AV14" i="17"/>
  <c r="AE27" i="6" s="1"/>
  <c r="AV9" i="17"/>
  <c r="AE22" i="6" s="1"/>
  <c r="AV30" i="17"/>
  <c r="AV27" i="17"/>
  <c r="AV25" i="17"/>
  <c r="AV23" i="17"/>
  <c r="AV29" i="17"/>
  <c r="AV31" i="17"/>
  <c r="AV22" i="17"/>
  <c r="AV26" i="17"/>
  <c r="AV24" i="17"/>
  <c r="AV21" i="17"/>
  <c r="AV32" i="17"/>
  <c r="AV28" i="17"/>
  <c r="D45" i="2"/>
  <c r="D46" i="2" s="1"/>
  <c r="E45" i="2"/>
  <c r="E46" i="2" s="1"/>
  <c r="F45" i="2"/>
  <c r="F46" i="2" s="1"/>
  <c r="G45" i="2"/>
  <c r="G46" i="2" s="1"/>
  <c r="H45" i="2"/>
  <c r="H51" i="2" s="1"/>
  <c r="I45" i="2"/>
  <c r="I51" i="2" s="1"/>
  <c r="J45" i="2"/>
  <c r="J46" i="2" s="1"/>
  <c r="K45" i="2"/>
  <c r="K46" i="2" s="1"/>
  <c r="C46" i="2"/>
  <c r="C49" i="2"/>
  <c r="D49" i="2"/>
  <c r="E49" i="2"/>
  <c r="F49" i="2"/>
  <c r="G49" i="2"/>
  <c r="H49" i="2"/>
  <c r="I49" i="2"/>
  <c r="J49" i="2"/>
  <c r="K49" i="2"/>
  <c r="C66" i="2"/>
  <c r="AE61" i="6" l="1"/>
  <c r="AE56" i="6"/>
  <c r="AE60" i="6"/>
  <c r="AE52" i="6"/>
  <c r="AE53" i="6"/>
  <c r="AE50" i="6"/>
  <c r="AE51" i="6"/>
  <c r="AV18" i="13"/>
  <c r="F141" i="3"/>
  <c r="F134" i="3"/>
  <c r="F142" i="3"/>
  <c r="F143" i="3"/>
  <c r="F136" i="3"/>
  <c r="F144" i="3"/>
  <c r="F133" i="3"/>
  <c r="F137" i="3"/>
  <c r="F138" i="3"/>
  <c r="F139" i="3"/>
  <c r="F140" i="3"/>
  <c r="AW7" i="13"/>
  <c r="AF6" i="6" s="1"/>
  <c r="AW8" i="13"/>
  <c r="AF7" i="6" s="1"/>
  <c r="AW9" i="13"/>
  <c r="AF8" i="6" s="1"/>
  <c r="AW10" i="13"/>
  <c r="AF9" i="6" s="1"/>
  <c r="AW11" i="13"/>
  <c r="AW12" i="13"/>
  <c r="AF11" i="6" s="1"/>
  <c r="AW13" i="13"/>
  <c r="AW14" i="13"/>
  <c r="AW15" i="13"/>
  <c r="AF14" i="6" s="1"/>
  <c r="AW16" i="13"/>
  <c r="AF15" i="6" s="1"/>
  <c r="AW17" i="13"/>
  <c r="AF16" i="6" s="1"/>
  <c r="AW6" i="13"/>
  <c r="AF5" i="6" s="1"/>
  <c r="AE5" i="6"/>
  <c r="AE36" i="6" s="1"/>
  <c r="AG77" i="3" s="1"/>
  <c r="AW21" i="13"/>
  <c r="AW22" i="13"/>
  <c r="AW23" i="13"/>
  <c r="AW24" i="13"/>
  <c r="AW25" i="13"/>
  <c r="AW26" i="13"/>
  <c r="AW27" i="13"/>
  <c r="AW28" i="13"/>
  <c r="AW29" i="13"/>
  <c r="AW30" i="13"/>
  <c r="AW31" i="13"/>
  <c r="AW32" i="13"/>
  <c r="AE57" i="6"/>
  <c r="F51" i="3"/>
  <c r="AE58" i="6"/>
  <c r="AE54" i="6"/>
  <c r="AE59" i="6"/>
  <c r="AE55" i="6"/>
  <c r="AE43" i="6"/>
  <c r="AG84" i="3" s="1"/>
  <c r="AE37" i="6"/>
  <c r="AG78" i="3" s="1"/>
  <c r="AE44" i="6"/>
  <c r="AG85" i="3" s="1"/>
  <c r="AE46" i="6"/>
  <c r="AG87" i="3" s="1"/>
  <c r="AE41" i="6"/>
  <c r="AG82" i="3" s="1"/>
  <c r="AE38" i="6"/>
  <c r="AG79" i="3" s="1"/>
  <c r="AE45" i="6"/>
  <c r="AG86" i="3" s="1"/>
  <c r="AE42" i="6"/>
  <c r="AG83" i="3" s="1"/>
  <c r="AE47" i="6"/>
  <c r="AG88" i="3" s="1"/>
  <c r="AE39" i="6"/>
  <c r="AG80" i="3" s="1"/>
  <c r="AE40" i="6"/>
  <c r="AG81" i="3" s="1"/>
  <c r="AJ47" i="3"/>
  <c r="AI48" i="3"/>
  <c r="AW17" i="17"/>
  <c r="AF30" i="6" s="1"/>
  <c r="AW13" i="17"/>
  <c r="AF26" i="6" s="1"/>
  <c r="AW6" i="17"/>
  <c r="AF19" i="6" s="1"/>
  <c r="AW15" i="17"/>
  <c r="AF28" i="6" s="1"/>
  <c r="AW10" i="17"/>
  <c r="AF23" i="6" s="1"/>
  <c r="AW16" i="17"/>
  <c r="AF29" i="6" s="1"/>
  <c r="AW9" i="17"/>
  <c r="AF22" i="6" s="1"/>
  <c r="AW8" i="17"/>
  <c r="AF21" i="6" s="1"/>
  <c r="AW12" i="17"/>
  <c r="AF25" i="6" s="1"/>
  <c r="AW14" i="17"/>
  <c r="AF27" i="6" s="1"/>
  <c r="AW7" i="17"/>
  <c r="AF20" i="6" s="1"/>
  <c r="AW11" i="17"/>
  <c r="AF24" i="6" s="1"/>
  <c r="AW25" i="17"/>
  <c r="AW23" i="17"/>
  <c r="AW28" i="17"/>
  <c r="AW27" i="17"/>
  <c r="AW24" i="17"/>
  <c r="AW32" i="17"/>
  <c r="AW31" i="17"/>
  <c r="AW26" i="17"/>
  <c r="AW30" i="17"/>
  <c r="AW22" i="17"/>
  <c r="AW29" i="17"/>
  <c r="AW21" i="17"/>
  <c r="AF50" i="6" s="1"/>
  <c r="AF10" i="6"/>
  <c r="AF13" i="6"/>
  <c r="AF12" i="6"/>
  <c r="AM16" i="8"/>
  <c r="AX5" i="13"/>
  <c r="AX20" i="17"/>
  <c r="AG49" i="6"/>
  <c r="AX20" i="13"/>
  <c r="AX5" i="17"/>
  <c r="AG35" i="6"/>
  <c r="AG18" i="6"/>
  <c r="AG4" i="6"/>
  <c r="E51" i="2"/>
  <c r="E56" i="2" s="1"/>
  <c r="K51" i="2"/>
  <c r="K65" i="2" s="1"/>
  <c r="G51" i="2"/>
  <c r="G55" i="2" s="1"/>
  <c r="F52" i="2"/>
  <c r="F63" i="2" s="1"/>
  <c r="K57" i="2"/>
  <c r="I46" i="2"/>
  <c r="I52" i="2" s="1"/>
  <c r="D52" i="2"/>
  <c r="D63" i="2" s="1"/>
  <c r="G42" i="3" s="1"/>
  <c r="C57" i="2"/>
  <c r="F51" i="2"/>
  <c r="F55" i="2" s="1"/>
  <c r="C52" i="2"/>
  <c r="C58" i="2" s="1"/>
  <c r="K52" i="2"/>
  <c r="K62" i="2" s="1"/>
  <c r="C65" i="2"/>
  <c r="D51" i="2"/>
  <c r="D57" i="2" s="1"/>
  <c r="G36" i="3" s="1"/>
  <c r="F93" i="3" s="1"/>
  <c r="H46" i="2"/>
  <c r="H52" i="2" s="1"/>
  <c r="G52" i="2"/>
  <c r="G61" i="2" s="1"/>
  <c r="E52" i="2"/>
  <c r="E63" i="2" s="1"/>
  <c r="J52" i="2"/>
  <c r="I57" i="2"/>
  <c r="I56" i="2"/>
  <c r="I55" i="2"/>
  <c r="I65" i="2"/>
  <c r="I66" i="2"/>
  <c r="H66" i="2"/>
  <c r="H55" i="2"/>
  <c r="H65" i="2"/>
  <c r="H56" i="2"/>
  <c r="H57" i="2"/>
  <c r="E66" i="2"/>
  <c r="G56" i="2"/>
  <c r="J51" i="2"/>
  <c r="E65" i="2"/>
  <c r="E57" i="2"/>
  <c r="AF55" i="6" l="1"/>
  <c r="AF51" i="6"/>
  <c r="AF61" i="6"/>
  <c r="AF59" i="6"/>
  <c r="AF54" i="6"/>
  <c r="AH99" i="3"/>
  <c r="AF60" i="6"/>
  <c r="AF53" i="6"/>
  <c r="E93" i="3"/>
  <c r="G93"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E99" i="3"/>
  <c r="F99" i="3"/>
  <c r="G99" i="3"/>
  <c r="H99" i="3"/>
  <c r="I99" i="3"/>
  <c r="J99" i="3"/>
  <c r="K99" i="3"/>
  <c r="L99" i="3"/>
  <c r="M99" i="3"/>
  <c r="N99" i="3"/>
  <c r="O99" i="3"/>
  <c r="P99" i="3"/>
  <c r="Q99" i="3"/>
  <c r="R99" i="3"/>
  <c r="S99" i="3"/>
  <c r="T99" i="3"/>
  <c r="U99" i="3"/>
  <c r="V99" i="3"/>
  <c r="W99" i="3"/>
  <c r="X99" i="3"/>
  <c r="Y99" i="3"/>
  <c r="Z99" i="3"/>
  <c r="AA99" i="3"/>
  <c r="AB99" i="3"/>
  <c r="AC99" i="3"/>
  <c r="AD99" i="3"/>
  <c r="AE99" i="3"/>
  <c r="AF99" i="3"/>
  <c r="AG99" i="3"/>
  <c r="AF56" i="6"/>
  <c r="AW18" i="13"/>
  <c r="F123" i="3"/>
  <c r="F124" i="3"/>
  <c r="F125" i="3"/>
  <c r="F126" i="3"/>
  <c r="F128" i="3"/>
  <c r="F129" i="3"/>
  <c r="F121" i="3"/>
  <c r="F120" i="3"/>
  <c r="F127" i="3"/>
  <c r="F130" i="3"/>
  <c r="F119" i="3"/>
  <c r="F122" i="3"/>
  <c r="AI99" i="3"/>
  <c r="AI93" i="3"/>
  <c r="AX21" i="13"/>
  <c r="AX22" i="13"/>
  <c r="AX23" i="13"/>
  <c r="AX24" i="13"/>
  <c r="AX25" i="13"/>
  <c r="AX26" i="13"/>
  <c r="AX27" i="13"/>
  <c r="AX28" i="13"/>
  <c r="AX29" i="13"/>
  <c r="AX30" i="13"/>
  <c r="AX31" i="13"/>
  <c r="AX32" i="13"/>
  <c r="AX12" i="13"/>
  <c r="AG11" i="6" s="1"/>
  <c r="AX14" i="13"/>
  <c r="AG13" i="6" s="1"/>
  <c r="AX6" i="13"/>
  <c r="AG5" i="6" s="1"/>
  <c r="AX16" i="13"/>
  <c r="AG15" i="6" s="1"/>
  <c r="AX17" i="13"/>
  <c r="AX7" i="13"/>
  <c r="AX8" i="13"/>
  <c r="AG7" i="6" s="1"/>
  <c r="AX10" i="13"/>
  <c r="AG9" i="6" s="1"/>
  <c r="AX11" i="13"/>
  <c r="AX13" i="13"/>
  <c r="AX15" i="13"/>
  <c r="AG14" i="6" s="1"/>
  <c r="AX9" i="13"/>
  <c r="AG8" i="6" s="1"/>
  <c r="AF58" i="6"/>
  <c r="AF57" i="6"/>
  <c r="AF39" i="6"/>
  <c r="AH80" i="3" s="1"/>
  <c r="AF52" i="6"/>
  <c r="AF46" i="6"/>
  <c r="AH87" i="3" s="1"/>
  <c r="AF47" i="6"/>
  <c r="AH88" i="3" s="1"/>
  <c r="AF37" i="6"/>
  <c r="AH78" i="3" s="1"/>
  <c r="AF44" i="6"/>
  <c r="AH85" i="3" s="1"/>
  <c r="AF42" i="6"/>
  <c r="AH83" i="3" s="1"/>
  <c r="AF45" i="6"/>
  <c r="AH86" i="3" s="1"/>
  <c r="AF40" i="6"/>
  <c r="AH81" i="3" s="1"/>
  <c r="AF43" i="6"/>
  <c r="AH84" i="3" s="1"/>
  <c r="AF38" i="6"/>
  <c r="AH79" i="3" s="1"/>
  <c r="AF41" i="6"/>
  <c r="AH82" i="3" s="1"/>
  <c r="AF36" i="6"/>
  <c r="AH77" i="3" s="1"/>
  <c r="AX11" i="17"/>
  <c r="AG24" i="6" s="1"/>
  <c r="AX15" i="17"/>
  <c r="AG28" i="6" s="1"/>
  <c r="AX17" i="17"/>
  <c r="AG30" i="6" s="1"/>
  <c r="AX14" i="17"/>
  <c r="AG27" i="6" s="1"/>
  <c r="AX8" i="17"/>
  <c r="AG21" i="6" s="1"/>
  <c r="AX7" i="17"/>
  <c r="AG20" i="6" s="1"/>
  <c r="AX9" i="17"/>
  <c r="AG22" i="6" s="1"/>
  <c r="AX12" i="17"/>
  <c r="AG25" i="6" s="1"/>
  <c r="AX10" i="17"/>
  <c r="AG23" i="6" s="1"/>
  <c r="AX13" i="17"/>
  <c r="AG26" i="6" s="1"/>
  <c r="AX6" i="17"/>
  <c r="AG19" i="6" s="1"/>
  <c r="AX16" i="17"/>
  <c r="AG29" i="6" s="1"/>
  <c r="G65" i="2"/>
  <c r="K55" i="2"/>
  <c r="G57" i="2"/>
  <c r="AX21" i="17"/>
  <c r="AX28" i="17"/>
  <c r="AX22" i="17"/>
  <c r="AX25" i="17"/>
  <c r="AX30" i="17"/>
  <c r="AX29" i="17"/>
  <c r="AX31" i="17"/>
  <c r="AX24" i="17"/>
  <c r="AX32" i="17"/>
  <c r="AX27" i="17"/>
  <c r="AX23" i="17"/>
  <c r="AX26" i="17"/>
  <c r="AG6" i="6"/>
  <c r="AG16" i="6"/>
  <c r="AG12" i="6"/>
  <c r="AG10" i="6"/>
  <c r="D65" i="2"/>
  <c r="G44" i="3" s="1"/>
  <c r="G66" i="2"/>
  <c r="K66" i="2"/>
  <c r="E55" i="2"/>
  <c r="AY5" i="13"/>
  <c r="AY20" i="17"/>
  <c r="AH49" i="6"/>
  <c r="AH35" i="6"/>
  <c r="AH18" i="6"/>
  <c r="AH4" i="6"/>
  <c r="AY20" i="13"/>
  <c r="AY5" i="17"/>
  <c r="C72" i="3"/>
  <c r="E16" i="3"/>
  <c r="AJ48" i="3"/>
  <c r="K56" i="2"/>
  <c r="D66" i="2"/>
  <c r="G45" i="3" s="1"/>
  <c r="E61" i="2"/>
  <c r="E59" i="2"/>
  <c r="E58" i="2"/>
  <c r="F62" i="2"/>
  <c r="F58" i="2"/>
  <c r="F64" i="2"/>
  <c r="F61" i="2"/>
  <c r="D62" i="2"/>
  <c r="G41" i="3" s="1"/>
  <c r="E62" i="2"/>
  <c r="D61" i="2"/>
  <c r="G40" i="3" s="1"/>
  <c r="K61" i="2"/>
  <c r="C60" i="2"/>
  <c r="F59" i="2"/>
  <c r="E60" i="2"/>
  <c r="D60" i="2"/>
  <c r="G39" i="3" s="1"/>
  <c r="K63" i="2"/>
  <c r="C59" i="2"/>
  <c r="K64" i="2"/>
  <c r="K60" i="2"/>
  <c r="K58" i="2"/>
  <c r="K59" i="2"/>
  <c r="F65" i="2"/>
  <c r="F60" i="2"/>
  <c r="E64" i="2"/>
  <c r="H59" i="2"/>
  <c r="H61" i="2"/>
  <c r="I61" i="2"/>
  <c r="I64" i="2"/>
  <c r="I63" i="2"/>
  <c r="I58" i="2"/>
  <c r="I62" i="2"/>
  <c r="I60" i="2"/>
  <c r="I59" i="2"/>
  <c r="G58" i="2"/>
  <c r="G64" i="2"/>
  <c r="D64" i="2"/>
  <c r="G43" i="3" s="1"/>
  <c r="E100" i="3" s="1"/>
  <c r="D59" i="2"/>
  <c r="G38" i="3" s="1"/>
  <c r="D58" i="2"/>
  <c r="G37" i="3" s="1"/>
  <c r="F56" i="2"/>
  <c r="F66" i="2"/>
  <c r="D55" i="2"/>
  <c r="G34" i="3" s="1"/>
  <c r="E91" i="3" s="1"/>
  <c r="C61" i="2"/>
  <c r="C64" i="2"/>
  <c r="C63" i="2"/>
  <c r="F57" i="2"/>
  <c r="H58" i="2"/>
  <c r="D56" i="2"/>
  <c r="G35" i="3" s="1"/>
  <c r="E92" i="3" s="1"/>
  <c r="C62" i="2"/>
  <c r="H64" i="2"/>
  <c r="G60" i="2"/>
  <c r="H63" i="2"/>
  <c r="G59" i="2"/>
  <c r="H62" i="2"/>
  <c r="G63" i="2"/>
  <c r="G62" i="2"/>
  <c r="H60" i="2"/>
  <c r="J59" i="2"/>
  <c r="J60" i="2"/>
  <c r="J61" i="2"/>
  <c r="J63" i="2"/>
  <c r="J64" i="2"/>
  <c r="J62" i="2"/>
  <c r="J58" i="2"/>
  <c r="J65" i="2"/>
  <c r="J66" i="2"/>
  <c r="J55" i="2"/>
  <c r="J56" i="2"/>
  <c r="J57" i="2"/>
  <c r="AG55" i="6" l="1"/>
  <c r="AG61" i="6"/>
  <c r="AG56" i="6"/>
  <c r="AG51" i="6"/>
  <c r="AI95" i="3"/>
  <c r="AI97" i="3"/>
  <c r="AI96" i="3"/>
  <c r="AG58" i="6"/>
  <c r="C99" i="3"/>
  <c r="F169" i="3" s="1"/>
  <c r="C93" i="3"/>
  <c r="F163" i="3" s="1"/>
  <c r="C77" i="3"/>
  <c r="E161" i="3" s="1"/>
  <c r="C84" i="3"/>
  <c r="E168" i="3" s="1"/>
  <c r="C82" i="3"/>
  <c r="E166" i="3" s="1"/>
  <c r="C86" i="3"/>
  <c r="E170" i="3" s="1"/>
  <c r="C88" i="3"/>
  <c r="E172" i="3" s="1"/>
  <c r="C78" i="3"/>
  <c r="E162" i="3" s="1"/>
  <c r="C79" i="3"/>
  <c r="E163" i="3" s="1"/>
  <c r="C87" i="3"/>
  <c r="E171" i="3" s="1"/>
  <c r="C85" i="3"/>
  <c r="E169" i="3" s="1"/>
  <c r="C81" i="3"/>
  <c r="E165" i="3" s="1"/>
  <c r="C83" i="3"/>
  <c r="E167" i="3" s="1"/>
  <c r="E164" i="3"/>
  <c r="AG50" i="6"/>
  <c r="AG60" i="6"/>
  <c r="F100" i="3"/>
  <c r="G100" i="3"/>
  <c r="H100" i="3"/>
  <c r="I100" i="3"/>
  <c r="J100" i="3"/>
  <c r="K100" i="3"/>
  <c r="L100" i="3"/>
  <c r="M100" i="3"/>
  <c r="N100" i="3"/>
  <c r="O100" i="3"/>
  <c r="P100" i="3"/>
  <c r="Q100" i="3"/>
  <c r="R100" i="3"/>
  <c r="S100" i="3"/>
  <c r="T100" i="3"/>
  <c r="U100" i="3"/>
  <c r="V100" i="3"/>
  <c r="W100" i="3"/>
  <c r="X100" i="3"/>
  <c r="Y100" i="3"/>
  <c r="Z100" i="3"/>
  <c r="AA100" i="3"/>
  <c r="AB100" i="3"/>
  <c r="AC100" i="3"/>
  <c r="AD100" i="3"/>
  <c r="AE100" i="3"/>
  <c r="AF100" i="3"/>
  <c r="AG100" i="3"/>
  <c r="AH100" i="3"/>
  <c r="AG54" i="6"/>
  <c r="F97" i="3"/>
  <c r="E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F91" i="3"/>
  <c r="G91" i="3"/>
  <c r="H91" i="3"/>
  <c r="I91" i="3"/>
  <c r="J91" i="3"/>
  <c r="K91" i="3"/>
  <c r="L91" i="3"/>
  <c r="M91" i="3"/>
  <c r="N91" i="3"/>
  <c r="O91" i="3"/>
  <c r="P91" i="3"/>
  <c r="Q91" i="3"/>
  <c r="R91" i="3"/>
  <c r="S91" i="3"/>
  <c r="T91" i="3"/>
  <c r="U91" i="3"/>
  <c r="V91" i="3"/>
  <c r="W91" i="3"/>
  <c r="X91" i="3"/>
  <c r="Y91" i="3"/>
  <c r="Z91" i="3"/>
  <c r="AA91" i="3"/>
  <c r="AB91" i="3"/>
  <c r="AC91" i="3"/>
  <c r="AD91" i="3"/>
  <c r="AE91" i="3"/>
  <c r="AF91" i="3"/>
  <c r="AG91" i="3"/>
  <c r="AH91" i="3"/>
  <c r="F98" i="3"/>
  <c r="E98" i="3"/>
  <c r="G98" i="3"/>
  <c r="H98" i="3"/>
  <c r="I98" i="3"/>
  <c r="J98" i="3"/>
  <c r="K98" i="3"/>
  <c r="L98" i="3"/>
  <c r="M98" i="3"/>
  <c r="N98" i="3"/>
  <c r="O98" i="3"/>
  <c r="P98" i="3"/>
  <c r="Q98" i="3"/>
  <c r="R98" i="3"/>
  <c r="S98" i="3"/>
  <c r="T98" i="3"/>
  <c r="U98" i="3"/>
  <c r="V98" i="3"/>
  <c r="W98" i="3"/>
  <c r="X98" i="3"/>
  <c r="Y98" i="3"/>
  <c r="Z98" i="3"/>
  <c r="AA98" i="3"/>
  <c r="AB98" i="3"/>
  <c r="AC98" i="3"/>
  <c r="AD98" i="3"/>
  <c r="AE98" i="3"/>
  <c r="AF98" i="3"/>
  <c r="AG98" i="3"/>
  <c r="AH98" i="3"/>
  <c r="E102" i="3"/>
  <c r="F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0" i="3"/>
  <c r="AI91"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E96" i="3"/>
  <c r="F96" i="3"/>
  <c r="G96" i="3"/>
  <c r="H96" i="3"/>
  <c r="I96" i="3"/>
  <c r="J96" i="3"/>
  <c r="K96" i="3"/>
  <c r="L96" i="3"/>
  <c r="M96" i="3"/>
  <c r="N96" i="3"/>
  <c r="O96" i="3"/>
  <c r="P96" i="3"/>
  <c r="Q96" i="3"/>
  <c r="R96" i="3"/>
  <c r="S96" i="3"/>
  <c r="T96" i="3"/>
  <c r="U96" i="3"/>
  <c r="V96" i="3"/>
  <c r="W96" i="3"/>
  <c r="X96" i="3"/>
  <c r="Y96" i="3"/>
  <c r="Z96" i="3"/>
  <c r="AA96" i="3"/>
  <c r="AB96" i="3"/>
  <c r="AC96" i="3"/>
  <c r="AD96" i="3"/>
  <c r="AE96" i="3"/>
  <c r="AF96" i="3"/>
  <c r="AG96" i="3"/>
  <c r="AH96" i="3"/>
  <c r="F101" i="3"/>
  <c r="E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92" i="3"/>
  <c r="AI102" i="3"/>
  <c r="E94" i="3"/>
  <c r="F94" i="3"/>
  <c r="G94" i="3"/>
  <c r="H94" i="3"/>
  <c r="I94" i="3"/>
  <c r="J94" i="3"/>
  <c r="K94" i="3"/>
  <c r="L94" i="3"/>
  <c r="M94" i="3"/>
  <c r="N94" i="3"/>
  <c r="O94" i="3"/>
  <c r="P94" i="3"/>
  <c r="Q94" i="3"/>
  <c r="R94" i="3"/>
  <c r="S94" i="3"/>
  <c r="T94" i="3"/>
  <c r="U94" i="3"/>
  <c r="V94" i="3"/>
  <c r="W94" i="3"/>
  <c r="X94" i="3"/>
  <c r="Y94" i="3"/>
  <c r="Z94" i="3"/>
  <c r="AA94" i="3"/>
  <c r="AB94" i="3"/>
  <c r="AC94" i="3"/>
  <c r="AD94" i="3"/>
  <c r="AE94" i="3"/>
  <c r="AF94" i="3"/>
  <c r="AG94" i="3"/>
  <c r="AH94" i="3"/>
  <c r="AI101" i="3"/>
  <c r="AI94" i="3"/>
  <c r="E95" i="3"/>
  <c r="F95" i="3"/>
  <c r="G95" i="3"/>
  <c r="H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8" i="3"/>
  <c r="AJ93" i="3"/>
  <c r="AJ101" i="3"/>
  <c r="AJ100" i="3"/>
  <c r="AJ94" i="3"/>
  <c r="AJ102" i="3"/>
  <c r="AJ91" i="3"/>
  <c r="AJ95" i="3"/>
  <c r="AJ96" i="3"/>
  <c r="AJ98" i="3"/>
  <c r="AJ97" i="3"/>
  <c r="AJ99" i="3"/>
  <c r="AJ92" i="3"/>
  <c r="AY21" i="13"/>
  <c r="AY22" i="13"/>
  <c r="AY23" i="13"/>
  <c r="AY24" i="13"/>
  <c r="AY25" i="13"/>
  <c r="AY26" i="13"/>
  <c r="AY27" i="13"/>
  <c r="AY28" i="13"/>
  <c r="AY29" i="13"/>
  <c r="AY30" i="13"/>
  <c r="AY31" i="13"/>
  <c r="AY32" i="13"/>
  <c r="AX18" i="13"/>
  <c r="AY9" i="13"/>
  <c r="AH8" i="6" s="1"/>
  <c r="AY12" i="13"/>
  <c r="AH11" i="6" s="1"/>
  <c r="AY14" i="13"/>
  <c r="AH13" i="6" s="1"/>
  <c r="AY6" i="13"/>
  <c r="AH5" i="6" s="1"/>
  <c r="AY16" i="13"/>
  <c r="AH15" i="6" s="1"/>
  <c r="AY17" i="13"/>
  <c r="AH16" i="6" s="1"/>
  <c r="AY7" i="13"/>
  <c r="AH6" i="6" s="1"/>
  <c r="AY8" i="13"/>
  <c r="AH7" i="6" s="1"/>
  <c r="AY10" i="13"/>
  <c r="AH9" i="6" s="1"/>
  <c r="AY11" i="13"/>
  <c r="AH10" i="6" s="1"/>
  <c r="AY13" i="13"/>
  <c r="AH12" i="6" s="1"/>
  <c r="AY15" i="13"/>
  <c r="AH14" i="6" s="1"/>
  <c r="AG53" i="6"/>
  <c r="AG52" i="6"/>
  <c r="AG59" i="6"/>
  <c r="AG57" i="6"/>
  <c r="AG40" i="6"/>
  <c r="AI81" i="3" s="1"/>
  <c r="AG47" i="6"/>
  <c r="AI88" i="3" s="1"/>
  <c r="AG38" i="6"/>
  <c r="AI79" i="3" s="1"/>
  <c r="AG36" i="6"/>
  <c r="AI77" i="3" s="1"/>
  <c r="AG45" i="6"/>
  <c r="AI86" i="3" s="1"/>
  <c r="AG43" i="6"/>
  <c r="AI84" i="3" s="1"/>
  <c r="AG46" i="6"/>
  <c r="AI87" i="3" s="1"/>
  <c r="AG41" i="6"/>
  <c r="AI82" i="3" s="1"/>
  <c r="AG44" i="6"/>
  <c r="AI85" i="3" s="1"/>
  <c r="AG39" i="6"/>
  <c r="AI80" i="3" s="1"/>
  <c r="AG42" i="6"/>
  <c r="AI83" i="3" s="1"/>
  <c r="AG37" i="6"/>
  <c r="AI78" i="3" s="1"/>
  <c r="AY17" i="17"/>
  <c r="AH30" i="6" s="1"/>
  <c r="AY11" i="17"/>
  <c r="AH24" i="6" s="1"/>
  <c r="AY12" i="17"/>
  <c r="AH25" i="6" s="1"/>
  <c r="AY16" i="17"/>
  <c r="AH29" i="6" s="1"/>
  <c r="AY6" i="17"/>
  <c r="AH19" i="6" s="1"/>
  <c r="AY8" i="17"/>
  <c r="AH21" i="6" s="1"/>
  <c r="AY13" i="17"/>
  <c r="AH26" i="6" s="1"/>
  <c r="AY10" i="17"/>
  <c r="AH23" i="6" s="1"/>
  <c r="AY9" i="17"/>
  <c r="AH22" i="6" s="1"/>
  <c r="AY15" i="17"/>
  <c r="AH28" i="6" s="1"/>
  <c r="AY14" i="17"/>
  <c r="AH27" i="6" s="1"/>
  <c r="AY7" i="17"/>
  <c r="AH20" i="6" s="1"/>
  <c r="AY23" i="17"/>
  <c r="AY31" i="17"/>
  <c r="AY21" i="17"/>
  <c r="AY28" i="17"/>
  <c r="AY29" i="17"/>
  <c r="AY25" i="17"/>
  <c r="AY26" i="17"/>
  <c r="AY22" i="17"/>
  <c r="AY30" i="17"/>
  <c r="AY27" i="17"/>
  <c r="AY24" i="17"/>
  <c r="AY32" i="17"/>
  <c r="AH61" i="6" s="1"/>
  <c r="I16" i="5"/>
  <c r="I19" i="5" s="1"/>
  <c r="AH50" i="6" l="1"/>
  <c r="AH53" i="6"/>
  <c r="AH59" i="6"/>
  <c r="AH51" i="6"/>
  <c r="AH54" i="6"/>
  <c r="C96" i="3"/>
  <c r="F166" i="3" s="1"/>
  <c r="C101" i="3"/>
  <c r="F171" i="3" s="1"/>
  <c r="AH58" i="6"/>
  <c r="C100" i="3"/>
  <c r="F170" i="3" s="1"/>
  <c r="AH56" i="6"/>
  <c r="AH60" i="6"/>
  <c r="C95" i="3"/>
  <c r="F165" i="3" s="1"/>
  <c r="C97" i="3"/>
  <c r="F167" i="3" s="1"/>
  <c r="C94" i="3"/>
  <c r="F164" i="3" s="1"/>
  <c r="C92" i="3"/>
  <c r="F162" i="3" s="1"/>
  <c r="C102" i="3"/>
  <c r="F172" i="3" s="1"/>
  <c r="C98" i="3"/>
  <c r="F168" i="3" s="1"/>
  <c r="C91" i="3"/>
  <c r="F161" i="3" s="1"/>
  <c r="AY18" i="13"/>
  <c r="AH52" i="6"/>
  <c r="AH57" i="6"/>
  <c r="AH55" i="6"/>
  <c r="AH41" i="6"/>
  <c r="AJ82" i="3" s="1"/>
  <c r="AH44" i="6"/>
  <c r="AJ85" i="3" s="1"/>
  <c r="AH39" i="6"/>
  <c r="AJ80" i="3" s="1"/>
  <c r="AH47" i="6"/>
  <c r="AJ88" i="3" s="1"/>
  <c r="AH37" i="6"/>
  <c r="AJ78" i="3" s="1"/>
  <c r="AH46" i="6"/>
  <c r="AJ87" i="3" s="1"/>
  <c r="AH42" i="6"/>
  <c r="AJ83" i="3" s="1"/>
  <c r="AH40" i="6"/>
  <c r="AJ81" i="3" s="1"/>
  <c r="AH45" i="6"/>
  <c r="AJ86" i="3" s="1"/>
  <c r="AH38" i="6"/>
  <c r="AJ79" i="3" s="1"/>
  <c r="AH43" i="6"/>
  <c r="AJ84" i="3" s="1"/>
  <c r="AH36" i="6"/>
  <c r="AJ77" i="3" s="1"/>
  <c r="I33" i="5"/>
  <c r="J16" i="5"/>
  <c r="J19" i="5" s="1"/>
  <c r="I17" i="5"/>
  <c r="I20" i="5"/>
  <c r="G52" i="3" l="1"/>
  <c r="J33" i="5"/>
  <c r="K16" i="5"/>
  <c r="K19" i="5" s="1"/>
  <c r="J17" i="5"/>
  <c r="J20" i="5"/>
  <c r="G140" i="3" l="1"/>
  <c r="G141" i="3"/>
  <c r="G134" i="3"/>
  <c r="G142" i="3"/>
  <c r="G135" i="3"/>
  <c r="G143" i="3"/>
  <c r="G136" i="3"/>
  <c r="G144" i="3"/>
  <c r="G133" i="3"/>
  <c r="G137" i="3"/>
  <c r="G138" i="3"/>
  <c r="G139" i="3"/>
  <c r="G51" i="3"/>
  <c r="K17" i="5"/>
  <c r="L16" i="5"/>
  <c r="L19" i="5" s="1"/>
  <c r="K20" i="5"/>
  <c r="K33" i="5"/>
  <c r="L17" i="5"/>
  <c r="G122" i="3" l="1"/>
  <c r="G123" i="3"/>
  <c r="G124" i="3"/>
  <c r="G125" i="3"/>
  <c r="G128" i="3"/>
  <c r="G129" i="3"/>
  <c r="G121" i="3"/>
  <c r="G120" i="3"/>
  <c r="G126" i="3"/>
  <c r="G130" i="3"/>
  <c r="G119" i="3"/>
  <c r="G127" i="3"/>
  <c r="H52" i="3"/>
  <c r="H51" i="3"/>
  <c r="I50" i="3"/>
  <c r="L20" i="5"/>
  <c r="L33" i="5"/>
  <c r="M16" i="5"/>
  <c r="M19" i="5" s="1"/>
  <c r="F9" i="5"/>
  <c r="F7" i="5"/>
  <c r="F8" i="5"/>
  <c r="F10" i="5"/>
  <c r="F11" i="5"/>
  <c r="C34" i="3" s="1"/>
  <c r="F12" i="5"/>
  <c r="F6" i="5"/>
  <c r="E31" i="5" l="1"/>
  <c r="Q31" i="5"/>
  <c r="AC31" i="5"/>
  <c r="F31" i="5"/>
  <c r="G31" i="5"/>
  <c r="E53" i="3" s="1"/>
  <c r="S31" i="5"/>
  <c r="AE31" i="5"/>
  <c r="H31" i="5"/>
  <c r="I31" i="5"/>
  <c r="U31" i="5"/>
  <c r="AG31" i="5"/>
  <c r="J31" i="5"/>
  <c r="V31" i="5"/>
  <c r="AH31" i="5"/>
  <c r="O31" i="5"/>
  <c r="AI31" i="5"/>
  <c r="AJ31" i="5"/>
  <c r="AL31" i="5"/>
  <c r="Z31" i="5"/>
  <c r="P31" i="5"/>
  <c r="AA31" i="5"/>
  <c r="AD31" i="5"/>
  <c r="N31" i="5"/>
  <c r="R31" i="5"/>
  <c r="AK31" i="5"/>
  <c r="T31" i="5"/>
  <c r="Y31" i="5"/>
  <c r="AB31" i="5"/>
  <c r="W31" i="5"/>
  <c r="X31" i="5"/>
  <c r="M31" i="5"/>
  <c r="L31" i="5"/>
  <c r="K31" i="5"/>
  <c r="I53" i="3" s="1"/>
  <c r="AF31" i="5"/>
  <c r="C18" i="5"/>
  <c r="K18" i="5"/>
  <c r="H121" i="3"/>
  <c r="H129" i="3"/>
  <c r="H122" i="3"/>
  <c r="H123" i="3"/>
  <c r="H124" i="3"/>
  <c r="H125" i="3"/>
  <c r="H127" i="3"/>
  <c r="H130" i="3"/>
  <c r="H119" i="3"/>
  <c r="H128" i="3"/>
  <c r="H120" i="3"/>
  <c r="H126" i="3"/>
  <c r="H139" i="3"/>
  <c r="H140" i="3"/>
  <c r="H141" i="3"/>
  <c r="H134" i="3"/>
  <c r="H142" i="3"/>
  <c r="H135" i="3"/>
  <c r="H143" i="3"/>
  <c r="H136" i="3"/>
  <c r="H144" i="3"/>
  <c r="H137" i="3"/>
  <c r="H138" i="3"/>
  <c r="H133" i="3"/>
  <c r="M20" i="5"/>
  <c r="I52" i="3"/>
  <c r="I51" i="3"/>
  <c r="J50" i="3"/>
  <c r="I49" i="3"/>
  <c r="F18" i="5"/>
  <c r="G18" i="5"/>
  <c r="D18" i="5"/>
  <c r="E18" i="5"/>
  <c r="AK18" i="5"/>
  <c r="AL18" i="5"/>
  <c r="AH18" i="5"/>
  <c r="AI18" i="5"/>
  <c r="AJ18" i="5"/>
  <c r="AG18" i="5"/>
  <c r="H18" i="5"/>
  <c r="I18" i="5"/>
  <c r="J18" i="5"/>
  <c r="L18" i="5"/>
  <c r="N16" i="5"/>
  <c r="M17" i="5"/>
  <c r="M33" i="5"/>
  <c r="I149" i="3" l="1"/>
  <c r="I152" i="3"/>
  <c r="I155" i="3"/>
  <c r="I158" i="3"/>
  <c r="I148" i="3"/>
  <c r="I151" i="3"/>
  <c r="I154" i="3"/>
  <c r="I157" i="3"/>
  <c r="I153" i="3"/>
  <c r="I150" i="3"/>
  <c r="I147" i="3"/>
  <c r="I156" i="3"/>
  <c r="E148" i="3"/>
  <c r="E151" i="3"/>
  <c r="E154" i="3"/>
  <c r="E157" i="3"/>
  <c r="E150" i="3"/>
  <c r="E153" i="3"/>
  <c r="E156" i="3"/>
  <c r="E147" i="3"/>
  <c r="E152" i="3"/>
  <c r="E155" i="3"/>
  <c r="E158" i="3"/>
  <c r="E149" i="3"/>
  <c r="N19" i="5"/>
  <c r="N33" i="5" s="1"/>
  <c r="L50" i="3" s="1"/>
  <c r="I111" i="3"/>
  <c r="I112" i="3"/>
  <c r="I113" i="3"/>
  <c r="I106" i="3"/>
  <c r="I114" i="3"/>
  <c r="I107" i="3"/>
  <c r="I115" i="3"/>
  <c r="I109" i="3"/>
  <c r="I108" i="3"/>
  <c r="I116" i="3"/>
  <c r="I105" i="3"/>
  <c r="I110" i="3"/>
  <c r="I120" i="3"/>
  <c r="I128" i="3"/>
  <c r="I121" i="3"/>
  <c r="I129" i="3"/>
  <c r="I122" i="3"/>
  <c r="I123" i="3"/>
  <c r="I124" i="3"/>
  <c r="I127" i="3"/>
  <c r="I130" i="3"/>
  <c r="I119" i="3"/>
  <c r="I125" i="3"/>
  <c r="I126" i="3"/>
  <c r="I138" i="3"/>
  <c r="I139" i="3"/>
  <c r="I140" i="3"/>
  <c r="I141" i="3"/>
  <c r="I134" i="3"/>
  <c r="I142" i="3"/>
  <c r="I135" i="3"/>
  <c r="I133" i="3"/>
  <c r="I136" i="3"/>
  <c r="I144" i="3"/>
  <c r="I137" i="3"/>
  <c r="I143" i="3"/>
  <c r="N20" i="5"/>
  <c r="O16" i="5"/>
  <c r="O19" i="5" s="1"/>
  <c r="N17" i="5"/>
  <c r="N18" i="5" s="1"/>
  <c r="J52" i="3"/>
  <c r="J51" i="3"/>
  <c r="K50" i="3"/>
  <c r="I61" i="3"/>
  <c r="L19" i="8" s="1"/>
  <c r="I67" i="3"/>
  <c r="L25" i="8" s="1"/>
  <c r="I65" i="3"/>
  <c r="L23" i="8" s="1"/>
  <c r="I69" i="3"/>
  <c r="L27" i="8" s="1"/>
  <c r="I62" i="3"/>
  <c r="L20" i="8" s="1"/>
  <c r="I63" i="3"/>
  <c r="L21" i="8" s="1"/>
  <c r="I66" i="3"/>
  <c r="L24" i="8" s="1"/>
  <c r="I68" i="3"/>
  <c r="L26" i="8" s="1"/>
  <c r="I60" i="3"/>
  <c r="L18" i="8" s="1"/>
  <c r="I70" i="3"/>
  <c r="L28" i="8" s="1"/>
  <c r="I64" i="3"/>
  <c r="L22" i="8" s="1"/>
  <c r="I59" i="3"/>
  <c r="L17" i="8" s="1"/>
  <c r="AH53" i="3"/>
  <c r="AG53" i="3"/>
  <c r="F49" i="3"/>
  <c r="AF53" i="3"/>
  <c r="G53" i="3"/>
  <c r="J53" i="3"/>
  <c r="J49" i="3"/>
  <c r="AJ53" i="3"/>
  <c r="AE53" i="3"/>
  <c r="H53" i="3"/>
  <c r="H49" i="3"/>
  <c r="AI53" i="3"/>
  <c r="M18" i="5"/>
  <c r="O33" i="5"/>
  <c r="F151" i="3" l="1"/>
  <c r="F154" i="3"/>
  <c r="F157" i="3"/>
  <c r="F148" i="3"/>
  <c r="F147" i="3"/>
  <c r="F150" i="3"/>
  <c r="F153" i="3"/>
  <c r="F156" i="3"/>
  <c r="F149" i="3"/>
  <c r="F155" i="3"/>
  <c r="F152" i="3"/>
  <c r="F158" i="3"/>
  <c r="AI149" i="3"/>
  <c r="AI152" i="3"/>
  <c r="AI155" i="3"/>
  <c r="AI158" i="3"/>
  <c r="AI148" i="3"/>
  <c r="AI151" i="3"/>
  <c r="AI153" i="3"/>
  <c r="AI154" i="3"/>
  <c r="AI157" i="3"/>
  <c r="AI150" i="3"/>
  <c r="AI156" i="3"/>
  <c r="AI147" i="3"/>
  <c r="H151" i="3"/>
  <c r="H154" i="3"/>
  <c r="H157" i="3"/>
  <c r="H148" i="3"/>
  <c r="H158" i="3"/>
  <c r="H150" i="3"/>
  <c r="H155" i="3"/>
  <c r="H149" i="3"/>
  <c r="H147" i="3"/>
  <c r="H156" i="3"/>
  <c r="H152" i="3"/>
  <c r="H153" i="3"/>
  <c r="AG149" i="3"/>
  <c r="AG152" i="3"/>
  <c r="AG155" i="3"/>
  <c r="AG158" i="3"/>
  <c r="AG148" i="3"/>
  <c r="AG151" i="3"/>
  <c r="AG154" i="3"/>
  <c r="AG157" i="3"/>
  <c r="AG150" i="3"/>
  <c r="AG147" i="3"/>
  <c r="AG153" i="3"/>
  <c r="AG156" i="3"/>
  <c r="AE148" i="3"/>
  <c r="AE151" i="3"/>
  <c r="AE154" i="3"/>
  <c r="AE157" i="3"/>
  <c r="AE147" i="3"/>
  <c r="AE150" i="3"/>
  <c r="AE153" i="3"/>
  <c r="AE155" i="3"/>
  <c r="AE158" i="3"/>
  <c r="AE149" i="3"/>
  <c r="AE156" i="3"/>
  <c r="AE152" i="3"/>
  <c r="AJ149" i="3"/>
  <c r="AJ152" i="3"/>
  <c r="AJ155" i="3"/>
  <c r="AJ158" i="3"/>
  <c r="AJ147" i="3"/>
  <c r="AJ153" i="3"/>
  <c r="AJ156" i="3"/>
  <c r="AJ151" i="3"/>
  <c r="AJ154" i="3"/>
  <c r="AJ157" i="3"/>
  <c r="AJ150" i="3"/>
  <c r="AJ148" i="3"/>
  <c r="AH149" i="3"/>
  <c r="AH152" i="3"/>
  <c r="AH155" i="3"/>
  <c r="AH158" i="3"/>
  <c r="AH148" i="3"/>
  <c r="AH151" i="3"/>
  <c r="AH154" i="3"/>
  <c r="AH157" i="3"/>
  <c r="AH150" i="3"/>
  <c r="AH147" i="3"/>
  <c r="AH153" i="3"/>
  <c r="AH156" i="3"/>
  <c r="J149" i="3"/>
  <c r="J152" i="3"/>
  <c r="J155" i="3"/>
  <c r="J158" i="3"/>
  <c r="J151" i="3"/>
  <c r="J154" i="3"/>
  <c r="J157" i="3"/>
  <c r="J148" i="3"/>
  <c r="J153" i="3"/>
  <c r="J147" i="3"/>
  <c r="J150" i="3"/>
  <c r="J156" i="3"/>
  <c r="G148" i="3"/>
  <c r="G151" i="3"/>
  <c r="G154" i="3"/>
  <c r="G157" i="3"/>
  <c r="G147" i="3"/>
  <c r="G150" i="3"/>
  <c r="G153" i="3"/>
  <c r="G155" i="3"/>
  <c r="G158" i="3"/>
  <c r="G149" i="3"/>
  <c r="G156" i="3"/>
  <c r="G152" i="3"/>
  <c r="AF148" i="3"/>
  <c r="AF151" i="3"/>
  <c r="AF154" i="3"/>
  <c r="AF157" i="3"/>
  <c r="AF149" i="3"/>
  <c r="AF155" i="3"/>
  <c r="AF158" i="3"/>
  <c r="AF147" i="3"/>
  <c r="AF153" i="3"/>
  <c r="AF156" i="3"/>
  <c r="AF152" i="3"/>
  <c r="AF150" i="3"/>
  <c r="E111" i="3"/>
  <c r="E59" i="3"/>
  <c r="H17" i="8" s="1"/>
  <c r="E61" i="3"/>
  <c r="H19" i="8" s="1"/>
  <c r="P16" i="5"/>
  <c r="P19" i="5" s="1"/>
  <c r="P33" i="5" s="1"/>
  <c r="O20" i="5"/>
  <c r="O17" i="5"/>
  <c r="O18" i="5" s="1"/>
  <c r="J137" i="3"/>
  <c r="J138" i="3"/>
  <c r="J139" i="3"/>
  <c r="J140" i="3"/>
  <c r="J141" i="3"/>
  <c r="J134" i="3"/>
  <c r="J142" i="3"/>
  <c r="J135" i="3"/>
  <c r="J133" i="3"/>
  <c r="J136" i="3"/>
  <c r="J144" i="3"/>
  <c r="J143" i="3"/>
  <c r="J110" i="3"/>
  <c r="J111" i="3"/>
  <c r="J112" i="3"/>
  <c r="J113" i="3"/>
  <c r="J106" i="3"/>
  <c r="J114" i="3"/>
  <c r="J108" i="3"/>
  <c r="J116" i="3"/>
  <c r="J105" i="3"/>
  <c r="J107" i="3"/>
  <c r="J115" i="3"/>
  <c r="J109" i="3"/>
  <c r="F106" i="3"/>
  <c r="F114" i="3"/>
  <c r="F115" i="3"/>
  <c r="F116" i="3"/>
  <c r="F110" i="3"/>
  <c r="F112" i="3"/>
  <c r="F113" i="3"/>
  <c r="F105" i="3"/>
  <c r="F111" i="3"/>
  <c r="H112" i="3"/>
  <c r="H113" i="3"/>
  <c r="H106" i="3"/>
  <c r="H114" i="3"/>
  <c r="H115" i="3"/>
  <c r="H108" i="3"/>
  <c r="H116" i="3"/>
  <c r="H110" i="3"/>
  <c r="H111" i="3"/>
  <c r="H109" i="3"/>
  <c r="H105" i="3"/>
  <c r="G113" i="3"/>
  <c r="G106" i="3"/>
  <c r="G114" i="3"/>
  <c r="G107" i="3"/>
  <c r="G115" i="3"/>
  <c r="G108" i="3"/>
  <c r="G116" i="3"/>
  <c r="G109" i="3"/>
  <c r="G111" i="3"/>
  <c r="G112" i="3"/>
  <c r="G110" i="3"/>
  <c r="E107" i="3"/>
  <c r="E115" i="3"/>
  <c r="E108" i="3"/>
  <c r="E116" i="3"/>
  <c r="E109" i="3"/>
  <c r="E110" i="3"/>
  <c r="E113" i="3"/>
  <c r="E106" i="3"/>
  <c r="E114" i="3"/>
  <c r="E112" i="3"/>
  <c r="J127" i="3"/>
  <c r="J120" i="3"/>
  <c r="J128" i="3"/>
  <c r="J121" i="3"/>
  <c r="J129" i="3"/>
  <c r="J122" i="3"/>
  <c r="J123" i="3"/>
  <c r="J124" i="3"/>
  <c r="J126" i="3"/>
  <c r="J130" i="3"/>
  <c r="J119" i="3"/>
  <c r="J125" i="3"/>
  <c r="L52" i="3"/>
  <c r="L51" i="3"/>
  <c r="K51" i="3"/>
  <c r="K52" i="3"/>
  <c r="M50" i="3"/>
  <c r="G61" i="3"/>
  <c r="J19" i="8" s="1"/>
  <c r="G67" i="3"/>
  <c r="J25" i="8" s="1"/>
  <c r="G65" i="3"/>
  <c r="J23" i="8" s="1"/>
  <c r="G60" i="3"/>
  <c r="J18" i="8" s="1"/>
  <c r="G62" i="3"/>
  <c r="J20" i="8" s="1"/>
  <c r="G59" i="3"/>
  <c r="J17" i="8" s="1"/>
  <c r="G64" i="3"/>
  <c r="J22" i="8" s="1"/>
  <c r="G63" i="3"/>
  <c r="J21" i="8" s="1"/>
  <c r="G70" i="3"/>
  <c r="J28" i="8" s="1"/>
  <c r="G69" i="3"/>
  <c r="J27" i="8" s="1"/>
  <c r="G68" i="3"/>
  <c r="J26" i="8" s="1"/>
  <c r="G66" i="3"/>
  <c r="J24" i="8" s="1"/>
  <c r="J67" i="3"/>
  <c r="M25" i="8" s="1"/>
  <c r="J61" i="3"/>
  <c r="M19" i="8" s="1"/>
  <c r="J70" i="3"/>
  <c r="M28" i="8" s="1"/>
  <c r="J64" i="3"/>
  <c r="M22" i="8" s="1"/>
  <c r="J62" i="3"/>
  <c r="M20" i="8" s="1"/>
  <c r="J65" i="3"/>
  <c r="M23" i="8" s="1"/>
  <c r="J66" i="3"/>
  <c r="M24" i="8" s="1"/>
  <c r="J68" i="3"/>
  <c r="M26" i="8" s="1"/>
  <c r="J59" i="3"/>
  <c r="M17" i="8" s="1"/>
  <c r="J69" i="3"/>
  <c r="M27" i="8" s="1"/>
  <c r="J63" i="3"/>
  <c r="M21" i="8" s="1"/>
  <c r="J60" i="3"/>
  <c r="M18" i="8" s="1"/>
  <c r="H61" i="3"/>
  <c r="K19" i="8" s="1"/>
  <c r="H67" i="3"/>
  <c r="K25" i="8" s="1"/>
  <c r="H69" i="3"/>
  <c r="K27" i="8" s="1"/>
  <c r="H68" i="3"/>
  <c r="K26" i="8" s="1"/>
  <c r="H66" i="3"/>
  <c r="K24" i="8" s="1"/>
  <c r="H60" i="3"/>
  <c r="K18" i="8" s="1"/>
  <c r="H70" i="3"/>
  <c r="K28" i="8" s="1"/>
  <c r="H65" i="3"/>
  <c r="K23" i="8" s="1"/>
  <c r="H59" i="3"/>
  <c r="K17" i="8" s="1"/>
  <c r="H64" i="3"/>
  <c r="K22" i="8" s="1"/>
  <c r="H62" i="3"/>
  <c r="K20" i="8" s="1"/>
  <c r="H63" i="3"/>
  <c r="K21" i="8" s="1"/>
  <c r="F67" i="3"/>
  <c r="I25" i="8" s="1"/>
  <c r="F61" i="3"/>
  <c r="I19" i="8" s="1"/>
  <c r="F70" i="3"/>
  <c r="I28" i="8" s="1"/>
  <c r="F60" i="3"/>
  <c r="I18" i="8" s="1"/>
  <c r="F64" i="3"/>
  <c r="I22" i="8" s="1"/>
  <c r="F69" i="3"/>
  <c r="I27" i="8" s="1"/>
  <c r="F65" i="3"/>
  <c r="I23" i="8" s="1"/>
  <c r="F63" i="3"/>
  <c r="F68" i="3"/>
  <c r="I26" i="8" s="1"/>
  <c r="F59" i="3"/>
  <c r="F62" i="3"/>
  <c r="I20" i="8" s="1"/>
  <c r="F66" i="3"/>
  <c r="I24" i="8" s="1"/>
  <c r="E67" i="3"/>
  <c r="H25" i="8" s="1"/>
  <c r="E60" i="3"/>
  <c r="H18" i="8" s="1"/>
  <c r="E64" i="3"/>
  <c r="H22" i="8" s="1"/>
  <c r="E66" i="3"/>
  <c r="H24" i="8" s="1"/>
  <c r="E68" i="3"/>
  <c r="H26" i="8" s="1"/>
  <c r="E62" i="3"/>
  <c r="H20" i="8" s="1"/>
  <c r="E70" i="3"/>
  <c r="H28" i="8" s="1"/>
  <c r="E63" i="3"/>
  <c r="H21" i="8" s="1"/>
  <c r="E69" i="3"/>
  <c r="H27" i="8" s="1"/>
  <c r="E65" i="3"/>
  <c r="H23" i="8" s="1"/>
  <c r="L53" i="3"/>
  <c r="L49" i="3"/>
  <c r="K53" i="3"/>
  <c r="K49" i="3"/>
  <c r="M53" i="3"/>
  <c r="M49" i="3"/>
  <c r="P17" i="5"/>
  <c r="P18" i="5" s="1"/>
  <c r="P20" i="5"/>
  <c r="Q16" i="5"/>
  <c r="Q19" i="5" s="1"/>
  <c r="I21" i="8" l="1"/>
  <c r="C63" i="3"/>
  <c r="L149" i="3"/>
  <c r="L152" i="3"/>
  <c r="L155" i="3"/>
  <c r="L158" i="3"/>
  <c r="L148" i="3"/>
  <c r="L147" i="3"/>
  <c r="L156" i="3"/>
  <c r="L151" i="3"/>
  <c r="L150" i="3"/>
  <c r="L153" i="3"/>
  <c r="L154" i="3"/>
  <c r="L157" i="3"/>
  <c r="K149" i="3"/>
  <c r="K152" i="3"/>
  <c r="K155" i="3"/>
  <c r="K158" i="3"/>
  <c r="K148" i="3"/>
  <c r="K151" i="3"/>
  <c r="K156" i="3"/>
  <c r="K153" i="3"/>
  <c r="K150" i="3"/>
  <c r="K147" i="3"/>
  <c r="K154" i="3"/>
  <c r="K157" i="3"/>
  <c r="M150" i="3"/>
  <c r="M153" i="3"/>
  <c r="M156" i="3"/>
  <c r="M149" i="3"/>
  <c r="M152" i="3"/>
  <c r="M155" i="3"/>
  <c r="M158" i="3"/>
  <c r="M147" i="3"/>
  <c r="M148" i="3"/>
  <c r="M151" i="3"/>
  <c r="M154" i="3"/>
  <c r="M157" i="3"/>
  <c r="I17" i="8"/>
  <c r="K136" i="3"/>
  <c r="K144" i="3"/>
  <c r="K133" i="3"/>
  <c r="K137" i="3"/>
  <c r="K138" i="3"/>
  <c r="K139" i="3"/>
  <c r="K140" i="3"/>
  <c r="K134" i="3"/>
  <c r="K142" i="3"/>
  <c r="K135" i="3"/>
  <c r="K141" i="3"/>
  <c r="K143" i="3"/>
  <c r="L125" i="3"/>
  <c r="L126" i="3"/>
  <c r="L127" i="3"/>
  <c r="L120" i="3"/>
  <c r="L128" i="3"/>
  <c r="L121" i="3"/>
  <c r="L122" i="3"/>
  <c r="L124" i="3"/>
  <c r="L129" i="3"/>
  <c r="L130" i="3"/>
  <c r="L119" i="3"/>
  <c r="L123" i="3"/>
  <c r="L135" i="3"/>
  <c r="L143" i="3"/>
  <c r="L136" i="3"/>
  <c r="L144" i="3"/>
  <c r="L133" i="3"/>
  <c r="L137" i="3"/>
  <c r="L138" i="3"/>
  <c r="L139" i="3"/>
  <c r="L140" i="3"/>
  <c r="L134" i="3"/>
  <c r="L142" i="3"/>
  <c r="L141" i="3"/>
  <c r="L108" i="3"/>
  <c r="L116" i="3"/>
  <c r="L109" i="3"/>
  <c r="L110" i="3"/>
  <c r="L111" i="3"/>
  <c r="L112" i="3"/>
  <c r="L106" i="3"/>
  <c r="L114" i="3"/>
  <c r="L113" i="3"/>
  <c r="L105" i="3"/>
  <c r="L107" i="3"/>
  <c r="L115" i="3"/>
  <c r="M107" i="3"/>
  <c r="M115" i="3"/>
  <c r="M108" i="3"/>
  <c r="M116" i="3"/>
  <c r="M109" i="3"/>
  <c r="M110" i="3"/>
  <c r="M111" i="3"/>
  <c r="M113" i="3"/>
  <c r="M112" i="3"/>
  <c r="M106" i="3"/>
  <c r="M114" i="3"/>
  <c r="M105" i="3"/>
  <c r="K126" i="3"/>
  <c r="K127" i="3"/>
  <c r="K120" i="3"/>
  <c r="K128" i="3"/>
  <c r="K121" i="3"/>
  <c r="K122" i="3"/>
  <c r="K124" i="3"/>
  <c r="K129" i="3"/>
  <c r="K130" i="3"/>
  <c r="K119" i="3"/>
  <c r="K123" i="3"/>
  <c r="K125" i="3"/>
  <c r="K109" i="3"/>
  <c r="K110" i="3"/>
  <c r="K111" i="3"/>
  <c r="K112" i="3"/>
  <c r="K113" i="3"/>
  <c r="K107" i="3"/>
  <c r="K115" i="3"/>
  <c r="K105" i="3"/>
  <c r="K106" i="3"/>
  <c r="K114" i="3"/>
  <c r="K108" i="3"/>
  <c r="K116" i="3"/>
  <c r="M52" i="3"/>
  <c r="M51" i="3"/>
  <c r="N50" i="3"/>
  <c r="L61" i="3"/>
  <c r="O19" i="8" s="1"/>
  <c r="L67" i="3"/>
  <c r="O25" i="8" s="1"/>
  <c r="L64" i="3"/>
  <c r="O22" i="8" s="1"/>
  <c r="L65" i="3"/>
  <c r="O23" i="8" s="1"/>
  <c r="L60" i="3"/>
  <c r="O18" i="8" s="1"/>
  <c r="L66" i="3"/>
  <c r="O24" i="8" s="1"/>
  <c r="L62" i="3"/>
  <c r="O20" i="8" s="1"/>
  <c r="L59" i="3"/>
  <c r="O17" i="8" s="1"/>
  <c r="L70" i="3"/>
  <c r="O28" i="8" s="1"/>
  <c r="L69" i="3"/>
  <c r="O27" i="8" s="1"/>
  <c r="L63" i="3"/>
  <c r="O21" i="8" s="1"/>
  <c r="L68" i="3"/>
  <c r="O26" i="8" s="1"/>
  <c r="K61" i="3"/>
  <c r="N19" i="8" s="1"/>
  <c r="K67" i="3"/>
  <c r="N25" i="8" s="1"/>
  <c r="K59" i="3"/>
  <c r="N17" i="8" s="1"/>
  <c r="K69" i="3"/>
  <c r="N27" i="8" s="1"/>
  <c r="K66" i="3"/>
  <c r="N24" i="8" s="1"/>
  <c r="K70" i="3"/>
  <c r="N28" i="8" s="1"/>
  <c r="K64" i="3"/>
  <c r="N22" i="8" s="1"/>
  <c r="K62" i="3"/>
  <c r="N20" i="8" s="1"/>
  <c r="K63" i="3"/>
  <c r="N21" i="8" s="1"/>
  <c r="K65" i="3"/>
  <c r="N23" i="8" s="1"/>
  <c r="K68" i="3"/>
  <c r="N26" i="8" s="1"/>
  <c r="K60" i="3"/>
  <c r="N18" i="8" s="1"/>
  <c r="N53" i="3"/>
  <c r="N49" i="3"/>
  <c r="Q33" i="5"/>
  <c r="Q17" i="5"/>
  <c r="Q18" i="5" s="1"/>
  <c r="Q20" i="5"/>
  <c r="R16" i="5"/>
  <c r="R19" i="5" s="1"/>
  <c r="N147" i="3" l="1"/>
  <c r="N150" i="3"/>
  <c r="N153" i="3"/>
  <c r="N156" i="3"/>
  <c r="N149" i="3"/>
  <c r="N152" i="3"/>
  <c r="N155" i="3"/>
  <c r="N158" i="3"/>
  <c r="N151" i="3"/>
  <c r="N154" i="3"/>
  <c r="N157" i="3"/>
  <c r="N148" i="3"/>
  <c r="M63" i="3"/>
  <c r="P21" i="8" s="1"/>
  <c r="M66" i="3"/>
  <c r="P24" i="8" s="1"/>
  <c r="M124" i="3"/>
  <c r="M125" i="3"/>
  <c r="M126" i="3"/>
  <c r="M127" i="3"/>
  <c r="M120" i="3"/>
  <c r="M122" i="3"/>
  <c r="M128" i="3"/>
  <c r="M121" i="3"/>
  <c r="M129" i="3"/>
  <c r="M130" i="3"/>
  <c r="M119" i="3"/>
  <c r="M123" i="3"/>
  <c r="M134" i="3"/>
  <c r="M142" i="3"/>
  <c r="M135" i="3"/>
  <c r="M143" i="3"/>
  <c r="M136" i="3"/>
  <c r="M144" i="3"/>
  <c r="M133" i="3"/>
  <c r="M137" i="3"/>
  <c r="M138" i="3"/>
  <c r="M139" i="3"/>
  <c r="M140" i="3"/>
  <c r="M141" i="3"/>
  <c r="N106" i="3"/>
  <c r="N114" i="3"/>
  <c r="N107" i="3"/>
  <c r="N115" i="3"/>
  <c r="N108" i="3"/>
  <c r="N116" i="3"/>
  <c r="N109" i="3"/>
  <c r="N110" i="3"/>
  <c r="N112" i="3"/>
  <c r="N111" i="3"/>
  <c r="N113" i="3"/>
  <c r="N105" i="3"/>
  <c r="M65" i="3"/>
  <c r="P23" i="8" s="1"/>
  <c r="M60" i="3"/>
  <c r="P18" i="8" s="1"/>
  <c r="M70" i="3"/>
  <c r="P28" i="8" s="1"/>
  <c r="M69" i="3"/>
  <c r="P27" i="8" s="1"/>
  <c r="M62" i="3"/>
  <c r="P20" i="8" s="1"/>
  <c r="M61" i="3"/>
  <c r="P19" i="8" s="1"/>
  <c r="M59" i="3"/>
  <c r="P17" i="8" s="1"/>
  <c r="M67" i="3"/>
  <c r="P25" i="8" s="1"/>
  <c r="M64" i="3"/>
  <c r="P22" i="8" s="1"/>
  <c r="M68" i="3"/>
  <c r="P26" i="8" s="1"/>
  <c r="N51" i="3"/>
  <c r="N52" i="3"/>
  <c r="O50" i="3"/>
  <c r="O53" i="3"/>
  <c r="O49" i="3"/>
  <c r="R33" i="5"/>
  <c r="R17" i="5"/>
  <c r="R18" i="5" s="1"/>
  <c r="R20" i="5"/>
  <c r="S16" i="5"/>
  <c r="S19" i="5" s="1"/>
  <c r="O147" i="3" l="1"/>
  <c r="O150" i="3"/>
  <c r="O153" i="3"/>
  <c r="O156" i="3"/>
  <c r="O149" i="3"/>
  <c r="O152" i="3"/>
  <c r="O154" i="3"/>
  <c r="O157" i="3"/>
  <c r="O155" i="3"/>
  <c r="O158" i="3"/>
  <c r="O148" i="3"/>
  <c r="O151" i="3"/>
  <c r="N123" i="3"/>
  <c r="N124" i="3"/>
  <c r="N125" i="3"/>
  <c r="N126" i="3"/>
  <c r="N122" i="3"/>
  <c r="N127" i="3"/>
  <c r="N128" i="3"/>
  <c r="N121" i="3"/>
  <c r="N129" i="3"/>
  <c r="N130" i="3"/>
  <c r="N119" i="3"/>
  <c r="N120" i="3"/>
  <c r="O113" i="3"/>
  <c r="O106" i="3"/>
  <c r="O114" i="3"/>
  <c r="O107" i="3"/>
  <c r="O115" i="3"/>
  <c r="O108" i="3"/>
  <c r="O116" i="3"/>
  <c r="O109" i="3"/>
  <c r="O111" i="3"/>
  <c r="O110" i="3"/>
  <c r="O112" i="3"/>
  <c r="O105" i="3"/>
  <c r="N141" i="3"/>
  <c r="N134" i="3"/>
  <c r="N142" i="3"/>
  <c r="N135" i="3"/>
  <c r="N143" i="3"/>
  <c r="N136" i="3"/>
  <c r="N144" i="3"/>
  <c r="N133" i="3"/>
  <c r="N137" i="3"/>
  <c r="N138" i="3"/>
  <c r="N140" i="3"/>
  <c r="N139" i="3"/>
  <c r="N67" i="3"/>
  <c r="Q25" i="8" s="1"/>
  <c r="N63" i="3"/>
  <c r="Q21" i="8" s="1"/>
  <c r="N62" i="3"/>
  <c r="Q20" i="8" s="1"/>
  <c r="N65" i="3"/>
  <c r="Q23" i="8" s="1"/>
  <c r="N60" i="3"/>
  <c r="Q18" i="8" s="1"/>
  <c r="N70" i="3"/>
  <c r="Q28" i="8" s="1"/>
  <c r="N61" i="3"/>
  <c r="Q19" i="8" s="1"/>
  <c r="N66" i="3"/>
  <c r="Q24" i="8" s="1"/>
  <c r="N69" i="3"/>
  <c r="Q27" i="8" s="1"/>
  <c r="N64" i="3"/>
  <c r="Q22" i="8" s="1"/>
  <c r="N68" i="3"/>
  <c r="Q26" i="8" s="1"/>
  <c r="O52" i="3"/>
  <c r="O51" i="3"/>
  <c r="N59" i="3"/>
  <c r="Q17" i="8" s="1"/>
  <c r="P50" i="3"/>
  <c r="P53" i="3"/>
  <c r="P49" i="3"/>
  <c r="S33" i="5"/>
  <c r="S17" i="5"/>
  <c r="S18" i="5" s="1"/>
  <c r="S20" i="5"/>
  <c r="T16" i="5"/>
  <c r="T19" i="5" s="1"/>
  <c r="P147" i="3" l="1"/>
  <c r="P150" i="3"/>
  <c r="P153" i="3"/>
  <c r="P156" i="3"/>
  <c r="P154" i="3"/>
  <c r="P157" i="3"/>
  <c r="P152" i="3"/>
  <c r="P151" i="3"/>
  <c r="P149" i="3"/>
  <c r="P155" i="3"/>
  <c r="P158" i="3"/>
  <c r="P148" i="3"/>
  <c r="O140" i="3"/>
  <c r="O141" i="3"/>
  <c r="O134" i="3"/>
  <c r="O142" i="3"/>
  <c r="O135" i="3"/>
  <c r="O143" i="3"/>
  <c r="O136" i="3"/>
  <c r="O144" i="3"/>
  <c r="O133" i="3"/>
  <c r="O137" i="3"/>
  <c r="O139" i="3"/>
  <c r="O138" i="3"/>
  <c r="P112" i="3"/>
  <c r="P113" i="3"/>
  <c r="P106" i="3"/>
  <c r="P114" i="3"/>
  <c r="P107" i="3"/>
  <c r="P115" i="3"/>
  <c r="P108" i="3"/>
  <c r="P116" i="3"/>
  <c r="P110" i="3"/>
  <c r="P111" i="3"/>
  <c r="P109" i="3"/>
  <c r="P105" i="3"/>
  <c r="O59" i="3"/>
  <c r="R17" i="8" s="1"/>
  <c r="O122" i="3"/>
  <c r="O123" i="3"/>
  <c r="O124" i="3"/>
  <c r="O125" i="3"/>
  <c r="O120" i="3"/>
  <c r="O126" i="3"/>
  <c r="O127" i="3"/>
  <c r="O128" i="3"/>
  <c r="O121" i="3"/>
  <c r="O130" i="3"/>
  <c r="O129" i="3"/>
  <c r="O119" i="3"/>
  <c r="O68" i="3"/>
  <c r="R26" i="8" s="1"/>
  <c r="P52" i="3"/>
  <c r="P51" i="3"/>
  <c r="O70" i="3"/>
  <c r="R28" i="8" s="1"/>
  <c r="O69" i="3"/>
  <c r="R27" i="8" s="1"/>
  <c r="O61" i="3"/>
  <c r="R19" i="8" s="1"/>
  <c r="O64" i="3"/>
  <c r="R22" i="8" s="1"/>
  <c r="O66" i="3"/>
  <c r="R24" i="8" s="1"/>
  <c r="O62" i="3"/>
  <c r="R20" i="8" s="1"/>
  <c r="O60" i="3"/>
  <c r="R18" i="8" s="1"/>
  <c r="O63" i="3"/>
  <c r="R21" i="8" s="1"/>
  <c r="O67" i="3"/>
  <c r="R25" i="8" s="1"/>
  <c r="O65" i="3"/>
  <c r="R23" i="8" s="1"/>
  <c r="Q50" i="3"/>
  <c r="Q53" i="3"/>
  <c r="Q49" i="3"/>
  <c r="T33" i="5"/>
  <c r="T17" i="5"/>
  <c r="T18" i="5" s="1"/>
  <c r="T20" i="5"/>
  <c r="U16" i="5"/>
  <c r="U19" i="5" s="1"/>
  <c r="Q148" i="3" l="1"/>
  <c r="Q151" i="3"/>
  <c r="Q154" i="3"/>
  <c r="Q157" i="3"/>
  <c r="Q147" i="3"/>
  <c r="Q150" i="3"/>
  <c r="Q153" i="3"/>
  <c r="Q156" i="3"/>
  <c r="Q158" i="3"/>
  <c r="Q149" i="3"/>
  <c r="Q155" i="3"/>
  <c r="Q152" i="3"/>
  <c r="P61" i="3"/>
  <c r="S19" i="8" s="1"/>
  <c r="P121" i="3"/>
  <c r="P122" i="3"/>
  <c r="P123" i="3"/>
  <c r="P124" i="3"/>
  <c r="P125" i="3"/>
  <c r="P129" i="3"/>
  <c r="P130" i="3"/>
  <c r="P119" i="3"/>
  <c r="P120" i="3"/>
  <c r="P126" i="3"/>
  <c r="P127" i="3"/>
  <c r="P128" i="3"/>
  <c r="Q111" i="3"/>
  <c r="Q112" i="3"/>
  <c r="Q113" i="3"/>
  <c r="Q106" i="3"/>
  <c r="Q114" i="3"/>
  <c r="Q107" i="3"/>
  <c r="Q115" i="3"/>
  <c r="Q109" i="3"/>
  <c r="Q110" i="3"/>
  <c r="Q105" i="3"/>
  <c r="Q108" i="3"/>
  <c r="Q116" i="3"/>
  <c r="P139" i="3"/>
  <c r="P140" i="3"/>
  <c r="P141" i="3"/>
  <c r="P134" i="3"/>
  <c r="P142" i="3"/>
  <c r="P135" i="3"/>
  <c r="P143" i="3"/>
  <c r="P136" i="3"/>
  <c r="P133" i="3"/>
  <c r="P137" i="3"/>
  <c r="P144" i="3"/>
  <c r="P138" i="3"/>
  <c r="P67" i="3"/>
  <c r="S25" i="8" s="1"/>
  <c r="P64" i="3"/>
  <c r="S22" i="8" s="1"/>
  <c r="P68" i="3"/>
  <c r="S26" i="8" s="1"/>
  <c r="P69" i="3"/>
  <c r="S27" i="8" s="1"/>
  <c r="P66" i="3"/>
  <c r="S24" i="8" s="1"/>
  <c r="P59" i="3"/>
  <c r="S17" i="8" s="1"/>
  <c r="P70" i="3"/>
  <c r="S28" i="8" s="1"/>
  <c r="Q52" i="3"/>
  <c r="Q51" i="3"/>
  <c r="P63" i="3"/>
  <c r="S21" i="8" s="1"/>
  <c r="P60" i="3"/>
  <c r="S18" i="8" s="1"/>
  <c r="P65" i="3"/>
  <c r="S23" i="8" s="1"/>
  <c r="P62" i="3"/>
  <c r="S20" i="8" s="1"/>
  <c r="R50" i="3"/>
  <c r="R53" i="3"/>
  <c r="R49" i="3"/>
  <c r="U33" i="5"/>
  <c r="U17" i="5"/>
  <c r="U18" i="5" s="1"/>
  <c r="U20" i="5"/>
  <c r="V16" i="5"/>
  <c r="V19" i="5" s="1"/>
  <c r="R148" i="3" l="1"/>
  <c r="R151" i="3"/>
  <c r="R154" i="3"/>
  <c r="R157" i="3"/>
  <c r="R147" i="3"/>
  <c r="R150" i="3"/>
  <c r="R153" i="3"/>
  <c r="R156" i="3"/>
  <c r="R149" i="3"/>
  <c r="R155" i="3"/>
  <c r="R158" i="3"/>
  <c r="R152" i="3"/>
  <c r="Q120" i="3"/>
  <c r="Q128" i="3"/>
  <c r="Q121" i="3"/>
  <c r="Q122" i="3"/>
  <c r="Q123" i="3"/>
  <c r="Q124" i="3"/>
  <c r="Q125" i="3"/>
  <c r="Q129" i="3"/>
  <c r="Q130" i="3"/>
  <c r="Q119" i="3"/>
  <c r="Q126" i="3"/>
  <c r="Q127" i="3"/>
  <c r="R110" i="3"/>
  <c r="R111" i="3"/>
  <c r="R112" i="3"/>
  <c r="R113" i="3"/>
  <c r="R106" i="3"/>
  <c r="R114" i="3"/>
  <c r="R108" i="3"/>
  <c r="R116" i="3"/>
  <c r="R105" i="3"/>
  <c r="R107" i="3"/>
  <c r="R115" i="3"/>
  <c r="R109" i="3"/>
  <c r="Q138" i="3"/>
  <c r="Q139" i="3"/>
  <c r="Q140" i="3"/>
  <c r="Q141" i="3"/>
  <c r="Q134" i="3"/>
  <c r="Q142" i="3"/>
  <c r="Q135" i="3"/>
  <c r="Q143" i="3"/>
  <c r="Q133" i="3"/>
  <c r="Q136" i="3"/>
  <c r="Q137" i="3"/>
  <c r="Q144" i="3"/>
  <c r="Q68" i="3"/>
  <c r="T26" i="8" s="1"/>
  <c r="Q60" i="3"/>
  <c r="T18" i="8" s="1"/>
  <c r="Q67" i="3"/>
  <c r="T25" i="8" s="1"/>
  <c r="R51" i="3"/>
  <c r="R52" i="3"/>
  <c r="Q66" i="3"/>
  <c r="T24" i="8" s="1"/>
  <c r="Q62" i="3"/>
  <c r="T20" i="8" s="1"/>
  <c r="Q65" i="3"/>
  <c r="T23" i="8" s="1"/>
  <c r="Q61" i="3"/>
  <c r="T19" i="8" s="1"/>
  <c r="Q63" i="3"/>
  <c r="T21" i="8" s="1"/>
  <c r="Q69" i="3"/>
  <c r="T27" i="8" s="1"/>
  <c r="Q64" i="3"/>
  <c r="T22" i="8" s="1"/>
  <c r="Q70" i="3"/>
  <c r="T28" i="8" s="1"/>
  <c r="Q59" i="3"/>
  <c r="T17" i="8" s="1"/>
  <c r="S50" i="3"/>
  <c r="S53" i="3"/>
  <c r="S49" i="3"/>
  <c r="V33" i="5"/>
  <c r="V17" i="5"/>
  <c r="V18" i="5" s="1"/>
  <c r="V20" i="5"/>
  <c r="W16" i="5"/>
  <c r="W19" i="5" s="1"/>
  <c r="S148" i="3" l="1"/>
  <c r="S151" i="3"/>
  <c r="S154" i="3"/>
  <c r="S157" i="3"/>
  <c r="S147" i="3"/>
  <c r="S150" i="3"/>
  <c r="S153" i="3"/>
  <c r="S149" i="3"/>
  <c r="S156" i="3"/>
  <c r="S158" i="3"/>
  <c r="S152" i="3"/>
  <c r="S155" i="3"/>
  <c r="R127" i="3"/>
  <c r="R120" i="3"/>
  <c r="R128" i="3"/>
  <c r="R121" i="3"/>
  <c r="R129" i="3"/>
  <c r="R122" i="3"/>
  <c r="R123" i="3"/>
  <c r="R125" i="3"/>
  <c r="R130" i="3"/>
  <c r="R119" i="3"/>
  <c r="R124" i="3"/>
  <c r="R126" i="3"/>
  <c r="S109" i="3"/>
  <c r="S110" i="3"/>
  <c r="S111" i="3"/>
  <c r="S112" i="3"/>
  <c r="S113" i="3"/>
  <c r="S107" i="3"/>
  <c r="S115" i="3"/>
  <c r="S105" i="3"/>
  <c r="S106" i="3"/>
  <c r="S114" i="3"/>
  <c r="S108" i="3"/>
  <c r="S116" i="3"/>
  <c r="R68" i="3"/>
  <c r="U26" i="8" s="1"/>
  <c r="R137" i="3"/>
  <c r="R138" i="3"/>
  <c r="R139" i="3"/>
  <c r="R140" i="3"/>
  <c r="R141" i="3"/>
  <c r="R134" i="3"/>
  <c r="R143" i="3"/>
  <c r="R135" i="3"/>
  <c r="R142" i="3"/>
  <c r="R133" i="3"/>
  <c r="R136" i="3"/>
  <c r="R144" i="3"/>
  <c r="R62" i="3"/>
  <c r="U20" i="8" s="1"/>
  <c r="R66" i="3"/>
  <c r="U24" i="8" s="1"/>
  <c r="S52" i="3"/>
  <c r="S51" i="3"/>
  <c r="R69" i="3"/>
  <c r="U27" i="8" s="1"/>
  <c r="R61" i="3"/>
  <c r="U19" i="8" s="1"/>
  <c r="R60" i="3"/>
  <c r="U18" i="8" s="1"/>
  <c r="R63" i="3"/>
  <c r="U21" i="8" s="1"/>
  <c r="R59" i="3"/>
  <c r="U17" i="8" s="1"/>
  <c r="R67" i="3"/>
  <c r="U25" i="8" s="1"/>
  <c r="R70" i="3"/>
  <c r="U28" i="8" s="1"/>
  <c r="R64" i="3"/>
  <c r="U22" i="8" s="1"/>
  <c r="R65" i="3"/>
  <c r="U23" i="8" s="1"/>
  <c r="T50" i="3"/>
  <c r="T53" i="3"/>
  <c r="T49" i="3"/>
  <c r="W33" i="5"/>
  <c r="W17" i="5"/>
  <c r="W18" i="5" s="1"/>
  <c r="W20" i="5"/>
  <c r="X16" i="5"/>
  <c r="X19" i="5" s="1"/>
  <c r="T148" i="3" l="1"/>
  <c r="T151" i="3"/>
  <c r="T154" i="3"/>
  <c r="T157" i="3"/>
  <c r="T150" i="3"/>
  <c r="T149" i="3"/>
  <c r="T147" i="3"/>
  <c r="T152" i="3"/>
  <c r="T156" i="3"/>
  <c r="T153" i="3"/>
  <c r="T155" i="3"/>
  <c r="T158" i="3"/>
  <c r="S64" i="3"/>
  <c r="V22" i="8" s="1"/>
  <c r="T108" i="3"/>
  <c r="T116" i="3"/>
  <c r="T109" i="3"/>
  <c r="T110" i="3"/>
  <c r="T111" i="3"/>
  <c r="T112" i="3"/>
  <c r="T106" i="3"/>
  <c r="T114" i="3"/>
  <c r="T105" i="3"/>
  <c r="T113" i="3"/>
  <c r="T107" i="3"/>
  <c r="T115" i="3"/>
  <c r="S136" i="3"/>
  <c r="S144" i="3"/>
  <c r="S133" i="3"/>
  <c r="S137" i="3"/>
  <c r="S138" i="3"/>
  <c r="S139" i="3"/>
  <c r="S140" i="3"/>
  <c r="S134" i="3"/>
  <c r="S143" i="3"/>
  <c r="S135" i="3"/>
  <c r="S142" i="3"/>
  <c r="S141" i="3"/>
  <c r="S62" i="3"/>
  <c r="V20" i="8" s="1"/>
  <c r="S61" i="3"/>
  <c r="V19" i="8" s="1"/>
  <c r="S126" i="3"/>
  <c r="S127" i="3"/>
  <c r="S120" i="3"/>
  <c r="S128" i="3"/>
  <c r="S121" i="3"/>
  <c r="S122" i="3"/>
  <c r="S129" i="3"/>
  <c r="S125" i="3"/>
  <c r="S130" i="3"/>
  <c r="S119" i="3"/>
  <c r="S124" i="3"/>
  <c r="S123" i="3"/>
  <c r="S63" i="3"/>
  <c r="V21" i="8" s="1"/>
  <c r="S69" i="3"/>
  <c r="V27" i="8" s="1"/>
  <c r="S68" i="3"/>
  <c r="V26" i="8" s="1"/>
  <c r="S67" i="3"/>
  <c r="V25" i="8" s="1"/>
  <c r="T52" i="3"/>
  <c r="T51" i="3"/>
  <c r="S70" i="3"/>
  <c r="V28" i="8" s="1"/>
  <c r="S60" i="3"/>
  <c r="V18" i="8" s="1"/>
  <c r="S59" i="3"/>
  <c r="V17" i="8" s="1"/>
  <c r="S66" i="3"/>
  <c r="V24" i="8" s="1"/>
  <c r="S65" i="3"/>
  <c r="V23" i="8" s="1"/>
  <c r="U50" i="3"/>
  <c r="U53" i="3"/>
  <c r="U49" i="3"/>
  <c r="X33" i="5"/>
  <c r="X17" i="5"/>
  <c r="X18" i="5" s="1"/>
  <c r="X20" i="5"/>
  <c r="Y16" i="5"/>
  <c r="Y19" i="5" s="1"/>
  <c r="U149" i="3" l="1"/>
  <c r="U152" i="3"/>
  <c r="U155" i="3"/>
  <c r="U158" i="3"/>
  <c r="U148" i="3"/>
  <c r="U151" i="3"/>
  <c r="U154" i="3"/>
  <c r="U157" i="3"/>
  <c r="U153" i="3"/>
  <c r="U150" i="3"/>
  <c r="U156" i="3"/>
  <c r="U147" i="3"/>
  <c r="U107" i="3"/>
  <c r="U115" i="3"/>
  <c r="U108" i="3"/>
  <c r="U116" i="3"/>
  <c r="U109" i="3"/>
  <c r="U110" i="3"/>
  <c r="U111" i="3"/>
  <c r="U113" i="3"/>
  <c r="U112" i="3"/>
  <c r="U105" i="3"/>
  <c r="U106" i="3"/>
  <c r="U114" i="3"/>
  <c r="T62" i="3"/>
  <c r="W20" i="8" s="1"/>
  <c r="T125" i="3"/>
  <c r="T126" i="3"/>
  <c r="T127" i="3"/>
  <c r="T120" i="3"/>
  <c r="T128" i="3"/>
  <c r="T121" i="3"/>
  <c r="T123" i="3"/>
  <c r="T122" i="3"/>
  <c r="T129" i="3"/>
  <c r="T130" i="3"/>
  <c r="T119" i="3"/>
  <c r="T124" i="3"/>
  <c r="T135" i="3"/>
  <c r="T143" i="3"/>
  <c r="T136" i="3"/>
  <c r="T144" i="3"/>
  <c r="T133" i="3"/>
  <c r="T137" i="3"/>
  <c r="T138" i="3"/>
  <c r="T139" i="3"/>
  <c r="T141" i="3"/>
  <c r="T134" i="3"/>
  <c r="T140" i="3"/>
  <c r="T142" i="3"/>
  <c r="T59" i="3"/>
  <c r="W17" i="8" s="1"/>
  <c r="U52" i="3"/>
  <c r="U51" i="3"/>
  <c r="T64" i="3"/>
  <c r="W22" i="8" s="1"/>
  <c r="T60" i="3"/>
  <c r="W18" i="8" s="1"/>
  <c r="T63" i="3"/>
  <c r="W21" i="8" s="1"/>
  <c r="T69" i="3"/>
  <c r="W27" i="8" s="1"/>
  <c r="T67" i="3"/>
  <c r="W25" i="8" s="1"/>
  <c r="T61" i="3"/>
  <c r="W19" i="8" s="1"/>
  <c r="T65" i="3"/>
  <c r="W23" i="8" s="1"/>
  <c r="T70" i="3"/>
  <c r="W28" i="8" s="1"/>
  <c r="T68" i="3"/>
  <c r="W26" i="8" s="1"/>
  <c r="T66" i="3"/>
  <c r="W24" i="8" s="1"/>
  <c r="V50" i="3"/>
  <c r="V53" i="3"/>
  <c r="V49" i="3"/>
  <c r="Y33" i="5"/>
  <c r="Y17" i="5"/>
  <c r="Y18" i="5" s="1"/>
  <c r="Y20" i="5"/>
  <c r="Z16" i="5"/>
  <c r="Z19" i="5" s="1"/>
  <c r="V149" i="3" l="1"/>
  <c r="V152" i="3"/>
  <c r="V155" i="3"/>
  <c r="V158" i="3"/>
  <c r="V148" i="3"/>
  <c r="V151" i="3"/>
  <c r="V154" i="3"/>
  <c r="V157" i="3"/>
  <c r="V153" i="3"/>
  <c r="V156" i="3"/>
  <c r="V147" i="3"/>
  <c r="V150" i="3"/>
  <c r="U134" i="3"/>
  <c r="U142" i="3"/>
  <c r="U135" i="3"/>
  <c r="U143" i="3"/>
  <c r="U136" i="3"/>
  <c r="U144" i="3"/>
  <c r="U133" i="3"/>
  <c r="U137" i="3"/>
  <c r="U138" i="3"/>
  <c r="U139" i="3"/>
  <c r="U141" i="3"/>
  <c r="U140" i="3"/>
  <c r="V106" i="3"/>
  <c r="V114" i="3"/>
  <c r="V107" i="3"/>
  <c r="V115" i="3"/>
  <c r="V108" i="3"/>
  <c r="V116" i="3"/>
  <c r="V109" i="3"/>
  <c r="V110" i="3"/>
  <c r="V112" i="3"/>
  <c r="V111" i="3"/>
  <c r="V113" i="3"/>
  <c r="V105" i="3"/>
  <c r="U124" i="3"/>
  <c r="U125" i="3"/>
  <c r="U126" i="3"/>
  <c r="U127" i="3"/>
  <c r="U120" i="3"/>
  <c r="U123" i="3"/>
  <c r="U122" i="3"/>
  <c r="U129" i="3"/>
  <c r="U130" i="3"/>
  <c r="U119" i="3"/>
  <c r="U128" i="3"/>
  <c r="U121" i="3"/>
  <c r="U65" i="3"/>
  <c r="X23" i="8" s="1"/>
  <c r="U59" i="3"/>
  <c r="X17" i="8" s="1"/>
  <c r="U69" i="3"/>
  <c r="X27" i="8" s="1"/>
  <c r="U68" i="3"/>
  <c r="X26" i="8" s="1"/>
  <c r="U64" i="3"/>
  <c r="X22" i="8" s="1"/>
  <c r="V51" i="3"/>
  <c r="V52" i="3"/>
  <c r="U61" i="3"/>
  <c r="X19" i="8" s="1"/>
  <c r="U70" i="3"/>
  <c r="X28" i="8" s="1"/>
  <c r="U62" i="3"/>
  <c r="X20" i="8" s="1"/>
  <c r="U66" i="3"/>
  <c r="X24" i="8" s="1"/>
  <c r="U67" i="3"/>
  <c r="X25" i="8" s="1"/>
  <c r="U63" i="3"/>
  <c r="X21" i="8" s="1"/>
  <c r="U60" i="3"/>
  <c r="X18" i="8" s="1"/>
  <c r="W50" i="3"/>
  <c r="W53" i="3"/>
  <c r="W49" i="3"/>
  <c r="Z33" i="5"/>
  <c r="Z17" i="5"/>
  <c r="Z18" i="5" s="1"/>
  <c r="Z20" i="5"/>
  <c r="AA16" i="5"/>
  <c r="AA19" i="5" s="1"/>
  <c r="W149" i="3" l="1"/>
  <c r="W152" i="3"/>
  <c r="W155" i="3"/>
  <c r="W158" i="3"/>
  <c r="W148" i="3"/>
  <c r="W151" i="3"/>
  <c r="W156" i="3"/>
  <c r="W153" i="3"/>
  <c r="W154" i="3"/>
  <c r="W157" i="3"/>
  <c r="W150" i="3"/>
  <c r="W147" i="3"/>
  <c r="W113" i="3"/>
  <c r="W106" i="3"/>
  <c r="W114" i="3"/>
  <c r="W107" i="3"/>
  <c r="W115" i="3"/>
  <c r="W108" i="3"/>
  <c r="W116" i="3"/>
  <c r="W109" i="3"/>
  <c r="W111" i="3"/>
  <c r="W110" i="3"/>
  <c r="W112" i="3"/>
  <c r="W105" i="3"/>
  <c r="V64" i="3"/>
  <c r="Y22" i="8" s="1"/>
  <c r="V141" i="3"/>
  <c r="V134" i="3"/>
  <c r="V142" i="3"/>
  <c r="V135" i="3"/>
  <c r="V143" i="3"/>
  <c r="V136" i="3"/>
  <c r="V144" i="3"/>
  <c r="V133" i="3"/>
  <c r="V137" i="3"/>
  <c r="V138" i="3"/>
  <c r="V139" i="3"/>
  <c r="V140" i="3"/>
  <c r="V123" i="3"/>
  <c r="V124" i="3"/>
  <c r="V125" i="3"/>
  <c r="V126" i="3"/>
  <c r="V121" i="3"/>
  <c r="V128" i="3"/>
  <c r="V120" i="3"/>
  <c r="V122" i="3"/>
  <c r="V129" i="3"/>
  <c r="V127" i="3"/>
  <c r="V130" i="3"/>
  <c r="V119" i="3"/>
  <c r="W52" i="3"/>
  <c r="W51" i="3"/>
  <c r="V60" i="3"/>
  <c r="Y18" i="8" s="1"/>
  <c r="V70" i="3"/>
  <c r="Y28" i="8" s="1"/>
  <c r="V59" i="3"/>
  <c r="Y17" i="8" s="1"/>
  <c r="V62" i="3"/>
  <c r="Y20" i="8" s="1"/>
  <c r="V68" i="3"/>
  <c r="Y26" i="8" s="1"/>
  <c r="V69" i="3"/>
  <c r="Y27" i="8" s="1"/>
  <c r="V61" i="3"/>
  <c r="Y19" i="8" s="1"/>
  <c r="V67" i="3"/>
  <c r="Y25" i="8" s="1"/>
  <c r="V66" i="3"/>
  <c r="Y24" i="8" s="1"/>
  <c r="V65" i="3"/>
  <c r="Y23" i="8" s="1"/>
  <c r="V63" i="3"/>
  <c r="Y21" i="8" s="1"/>
  <c r="X50" i="3"/>
  <c r="X53" i="3"/>
  <c r="X49" i="3"/>
  <c r="AA33" i="5"/>
  <c r="AA17" i="5"/>
  <c r="AA18" i="5" s="1"/>
  <c r="AA20" i="5"/>
  <c r="AB16" i="5"/>
  <c r="AB19" i="5" s="1"/>
  <c r="X149" i="3" l="1"/>
  <c r="X152" i="3"/>
  <c r="X155" i="3"/>
  <c r="X158" i="3"/>
  <c r="X147" i="3"/>
  <c r="X156" i="3"/>
  <c r="X153" i="3"/>
  <c r="X157" i="3"/>
  <c r="X154" i="3"/>
  <c r="X148" i="3"/>
  <c r="X150" i="3"/>
  <c r="X151" i="3"/>
  <c r="W64" i="3"/>
  <c r="Z22" i="8" s="1"/>
  <c r="W62" i="3"/>
  <c r="Z20" i="8" s="1"/>
  <c r="W122" i="3"/>
  <c r="W123" i="3"/>
  <c r="W124" i="3"/>
  <c r="W125" i="3"/>
  <c r="W121" i="3"/>
  <c r="W128" i="3"/>
  <c r="W120" i="3"/>
  <c r="W126" i="3"/>
  <c r="W129" i="3"/>
  <c r="W130" i="3"/>
  <c r="W127" i="3"/>
  <c r="W119" i="3"/>
  <c r="W60" i="3"/>
  <c r="Z18" i="8" s="1"/>
  <c r="X112" i="3"/>
  <c r="X113" i="3"/>
  <c r="X106" i="3"/>
  <c r="X114" i="3"/>
  <c r="X107" i="3"/>
  <c r="X115" i="3"/>
  <c r="X108" i="3"/>
  <c r="X116" i="3"/>
  <c r="X110" i="3"/>
  <c r="X109" i="3"/>
  <c r="X111" i="3"/>
  <c r="X105" i="3"/>
  <c r="W140" i="3"/>
  <c r="W141" i="3"/>
  <c r="W134" i="3"/>
  <c r="W142" i="3"/>
  <c r="W135" i="3"/>
  <c r="W143" i="3"/>
  <c r="W136" i="3"/>
  <c r="W144" i="3"/>
  <c r="W133" i="3"/>
  <c r="W137" i="3"/>
  <c r="W138" i="3"/>
  <c r="W139" i="3"/>
  <c r="W65" i="3"/>
  <c r="Z23" i="8" s="1"/>
  <c r="W61" i="3"/>
  <c r="Z19" i="8" s="1"/>
  <c r="X52" i="3"/>
  <c r="X51" i="3"/>
  <c r="W63" i="3"/>
  <c r="Z21" i="8" s="1"/>
  <c r="W70" i="3"/>
  <c r="Z28" i="8" s="1"/>
  <c r="W68" i="3"/>
  <c r="Z26" i="8" s="1"/>
  <c r="W59" i="3"/>
  <c r="Z17" i="8" s="1"/>
  <c r="W67" i="3"/>
  <c r="Z25" i="8" s="1"/>
  <c r="W69" i="3"/>
  <c r="Z27" i="8" s="1"/>
  <c r="W66" i="3"/>
  <c r="Z24" i="8" s="1"/>
  <c r="Y50" i="3"/>
  <c r="Y53" i="3"/>
  <c r="Y49" i="3"/>
  <c r="AB33" i="5"/>
  <c r="AB17" i="5"/>
  <c r="AB18" i="5" s="1"/>
  <c r="AB20" i="5"/>
  <c r="AC16" i="5"/>
  <c r="AC19" i="5" s="1"/>
  <c r="Y150" i="3" l="1"/>
  <c r="Y153" i="3"/>
  <c r="Y156" i="3"/>
  <c r="C156" i="3" s="1"/>
  <c r="J170" i="3" s="1"/>
  <c r="Y149" i="3"/>
  <c r="C149" i="3" s="1"/>
  <c r="J163" i="3" s="1"/>
  <c r="Y152" i="3"/>
  <c r="C152" i="3" s="1"/>
  <c r="J166" i="3" s="1"/>
  <c r="Y155" i="3"/>
  <c r="C155" i="3" s="1"/>
  <c r="J169" i="3" s="1"/>
  <c r="Y158" i="3"/>
  <c r="C158" i="3" s="1"/>
  <c r="J172" i="3" s="1"/>
  <c r="Y147" i="3"/>
  <c r="C147" i="3" s="1"/>
  <c r="J161" i="3" s="1"/>
  <c r="Y148" i="3"/>
  <c r="C148" i="3" s="1"/>
  <c r="J162" i="3" s="1"/>
  <c r="Y154" i="3"/>
  <c r="C154" i="3" s="1"/>
  <c r="J168" i="3" s="1"/>
  <c r="Y157" i="3"/>
  <c r="C157" i="3" s="1"/>
  <c r="J171" i="3" s="1"/>
  <c r="Y151" i="3"/>
  <c r="C151" i="3" s="1"/>
  <c r="J165" i="3" s="1"/>
  <c r="C153" i="3"/>
  <c r="J167" i="3" s="1"/>
  <c r="C150" i="3"/>
  <c r="J164" i="3" s="1"/>
  <c r="X139" i="3"/>
  <c r="X140" i="3"/>
  <c r="X141" i="3"/>
  <c r="X134" i="3"/>
  <c r="X142" i="3"/>
  <c r="X135" i="3"/>
  <c r="X143" i="3"/>
  <c r="X136" i="3"/>
  <c r="X144" i="3"/>
  <c r="X138" i="3"/>
  <c r="X133" i="3"/>
  <c r="X137" i="3"/>
  <c r="Y111" i="3"/>
  <c r="C111" i="3" s="1"/>
  <c r="G167" i="3" s="1"/>
  <c r="Y112" i="3"/>
  <c r="C112" i="3" s="1"/>
  <c r="G168" i="3" s="1"/>
  <c r="Y113" i="3"/>
  <c r="C113" i="3" s="1"/>
  <c r="G169" i="3" s="1"/>
  <c r="Y106" i="3"/>
  <c r="C106" i="3" s="1"/>
  <c r="G162" i="3" s="1"/>
  <c r="Y114" i="3"/>
  <c r="C114" i="3" s="1"/>
  <c r="G170" i="3" s="1"/>
  <c r="Y107" i="3"/>
  <c r="C107" i="3" s="1"/>
  <c r="G163" i="3" s="1"/>
  <c r="Y115" i="3"/>
  <c r="C115" i="3" s="1"/>
  <c r="G171" i="3" s="1"/>
  <c r="Y109" i="3"/>
  <c r="C109" i="3" s="1"/>
  <c r="G165" i="3" s="1"/>
  <c r="Y116" i="3"/>
  <c r="C116" i="3" s="1"/>
  <c r="G172" i="3" s="1"/>
  <c r="Y110" i="3"/>
  <c r="C110" i="3" s="1"/>
  <c r="G166" i="3" s="1"/>
  <c r="Y108" i="3"/>
  <c r="C108" i="3" s="1"/>
  <c r="G164" i="3" s="1"/>
  <c r="Y105" i="3"/>
  <c r="G161" i="3" s="1"/>
  <c r="X65" i="3"/>
  <c r="AA23" i="8" s="1"/>
  <c r="X121" i="3"/>
  <c r="X122" i="3"/>
  <c r="X123" i="3"/>
  <c r="X124" i="3"/>
  <c r="X127" i="3"/>
  <c r="X130" i="3"/>
  <c r="X119" i="3"/>
  <c r="X128" i="3"/>
  <c r="X120" i="3"/>
  <c r="X125" i="3"/>
  <c r="X126" i="3"/>
  <c r="X129" i="3"/>
  <c r="Y52" i="3"/>
  <c r="Y51" i="3"/>
  <c r="X69" i="3"/>
  <c r="AA27" i="8" s="1"/>
  <c r="X60" i="3"/>
  <c r="AA18" i="8" s="1"/>
  <c r="X66" i="3"/>
  <c r="AA24" i="8" s="1"/>
  <c r="X68" i="3"/>
  <c r="AA26" i="8" s="1"/>
  <c r="X61" i="3"/>
  <c r="AA19" i="8" s="1"/>
  <c r="X67" i="3"/>
  <c r="AA25" i="8" s="1"/>
  <c r="X63" i="3"/>
  <c r="AA21" i="8" s="1"/>
  <c r="X59" i="3"/>
  <c r="AA17" i="8" s="1"/>
  <c r="X62" i="3"/>
  <c r="AA20" i="8" s="1"/>
  <c r="X64" i="3"/>
  <c r="AA22" i="8" s="1"/>
  <c r="X70" i="3"/>
  <c r="AA28" i="8" s="1"/>
  <c r="Z50" i="3"/>
  <c r="Z53" i="3"/>
  <c r="Z49" i="3"/>
  <c r="AC33" i="5"/>
  <c r="AC17" i="5"/>
  <c r="AC18" i="5" s="1"/>
  <c r="AC20" i="5"/>
  <c r="AD16" i="5"/>
  <c r="AD19" i="5" s="1"/>
  <c r="Z147" i="3" l="1"/>
  <c r="Z150" i="3"/>
  <c r="Z153" i="3"/>
  <c r="Z156" i="3"/>
  <c r="Z149" i="3"/>
  <c r="Z152" i="3"/>
  <c r="Z155" i="3"/>
  <c r="Z158" i="3"/>
  <c r="Z151" i="3"/>
  <c r="Z154" i="3"/>
  <c r="Z157" i="3"/>
  <c r="Z148" i="3"/>
  <c r="Y120" i="3"/>
  <c r="C120" i="3" s="1"/>
  <c r="H162" i="3" s="1"/>
  <c r="Y128" i="3"/>
  <c r="C128" i="3" s="1"/>
  <c r="H170" i="3" s="1"/>
  <c r="Y121" i="3"/>
  <c r="C121" i="3" s="1"/>
  <c r="H163" i="3" s="1"/>
  <c r="Y122" i="3"/>
  <c r="C122" i="3" s="1"/>
  <c r="H164" i="3" s="1"/>
  <c r="Y123" i="3"/>
  <c r="C123" i="3" s="1"/>
  <c r="H165" i="3" s="1"/>
  <c r="Y124" i="3"/>
  <c r="C124" i="3" s="1"/>
  <c r="H166" i="3" s="1"/>
  <c r="Y129" i="3"/>
  <c r="C129" i="3" s="1"/>
  <c r="H171" i="3" s="1"/>
  <c r="Y127" i="3"/>
  <c r="C127" i="3" s="1"/>
  <c r="H169" i="3" s="1"/>
  <c r="Y130" i="3"/>
  <c r="C130" i="3" s="1"/>
  <c r="H172" i="3" s="1"/>
  <c r="Y119" i="3"/>
  <c r="C119" i="3" s="1"/>
  <c r="H161" i="3" s="1"/>
  <c r="Y125" i="3"/>
  <c r="C125" i="3" s="1"/>
  <c r="H167" i="3" s="1"/>
  <c r="Y126" i="3"/>
  <c r="C126" i="3" s="1"/>
  <c r="H168" i="3" s="1"/>
  <c r="Y62" i="3"/>
  <c r="AB20" i="8" s="1"/>
  <c r="Y138" i="3"/>
  <c r="C138" i="3" s="1"/>
  <c r="I166" i="3" s="1"/>
  <c r="Y139" i="3"/>
  <c r="C139" i="3" s="1"/>
  <c r="I167" i="3" s="1"/>
  <c r="Y140" i="3"/>
  <c r="C140" i="3" s="1"/>
  <c r="I168" i="3" s="1"/>
  <c r="Y141" i="3"/>
  <c r="C141" i="3" s="1"/>
  <c r="I169" i="3" s="1"/>
  <c r="Y134" i="3"/>
  <c r="C134" i="3" s="1"/>
  <c r="I162" i="3" s="1"/>
  <c r="Y142" i="3"/>
  <c r="C142" i="3" s="1"/>
  <c r="I170" i="3" s="1"/>
  <c r="Y135" i="3"/>
  <c r="C135" i="3" s="1"/>
  <c r="I163" i="3" s="1"/>
  <c r="Y137" i="3"/>
  <c r="C137" i="3" s="1"/>
  <c r="I165" i="3" s="1"/>
  <c r="Y144" i="3"/>
  <c r="C144" i="3" s="1"/>
  <c r="I172" i="3" s="1"/>
  <c r="Y143" i="3"/>
  <c r="C143" i="3" s="1"/>
  <c r="I171" i="3" s="1"/>
  <c r="Y136" i="3"/>
  <c r="C136" i="3" s="1"/>
  <c r="I164" i="3" s="1"/>
  <c r="Y133" i="3"/>
  <c r="C133" i="3" s="1"/>
  <c r="I161" i="3" s="1"/>
  <c r="Z110" i="3"/>
  <c r="Z111" i="3"/>
  <c r="Z112" i="3"/>
  <c r="Z113" i="3"/>
  <c r="Z106" i="3"/>
  <c r="Z114" i="3"/>
  <c r="Z108" i="3"/>
  <c r="Z116" i="3"/>
  <c r="Z105" i="3"/>
  <c r="Z109" i="3"/>
  <c r="Z107" i="3"/>
  <c r="Z115" i="3"/>
  <c r="Y69" i="3"/>
  <c r="AB27" i="8" s="1"/>
  <c r="Y63" i="3"/>
  <c r="AB21" i="8" s="1"/>
  <c r="Z51" i="3"/>
  <c r="Z52" i="3"/>
  <c r="Y67" i="3"/>
  <c r="AB25" i="8" s="1"/>
  <c r="Y60" i="3"/>
  <c r="AB18" i="8" s="1"/>
  <c r="Y65" i="3"/>
  <c r="AB23" i="8" s="1"/>
  <c r="Y59" i="3"/>
  <c r="C59" i="3" s="1"/>
  <c r="Y61" i="3"/>
  <c r="AB19" i="8" s="1"/>
  <c r="Y68" i="3"/>
  <c r="AB26" i="8" s="1"/>
  <c r="Y66" i="3"/>
  <c r="AB24" i="8" s="1"/>
  <c r="Y64" i="3"/>
  <c r="AB22" i="8" s="1"/>
  <c r="Y70" i="3"/>
  <c r="AB28" i="8" s="1"/>
  <c r="AA50" i="3"/>
  <c r="AA53" i="3"/>
  <c r="AA49" i="3"/>
  <c r="AD33" i="5"/>
  <c r="AD17" i="5"/>
  <c r="AD18" i="5" s="1"/>
  <c r="AD20" i="5"/>
  <c r="AE16" i="5"/>
  <c r="AE19" i="5" s="1"/>
  <c r="AA147" i="3" l="1"/>
  <c r="AA150" i="3"/>
  <c r="AA153" i="3"/>
  <c r="AA156" i="3"/>
  <c r="AA149" i="3"/>
  <c r="AA152" i="3"/>
  <c r="AA151" i="3"/>
  <c r="AA157" i="3"/>
  <c r="AA148" i="3"/>
  <c r="AA154" i="3"/>
  <c r="AA155" i="3"/>
  <c r="AA158" i="3"/>
  <c r="AB17" i="8"/>
  <c r="C17" i="8"/>
  <c r="Z70" i="3"/>
  <c r="AC28" i="8" s="1"/>
  <c r="AA109" i="3"/>
  <c r="AA110" i="3"/>
  <c r="AA111" i="3"/>
  <c r="AA112" i="3"/>
  <c r="AA113" i="3"/>
  <c r="AA107" i="3"/>
  <c r="AA115" i="3"/>
  <c r="AA108" i="3"/>
  <c r="AA116" i="3"/>
  <c r="AA105" i="3"/>
  <c r="AA106" i="3"/>
  <c r="AA114" i="3"/>
  <c r="Z62" i="3"/>
  <c r="AC20" i="8" s="1"/>
  <c r="Z127" i="3"/>
  <c r="Z120" i="3"/>
  <c r="Z128" i="3"/>
  <c r="Z121" i="3"/>
  <c r="Z122" i="3"/>
  <c r="Z123" i="3"/>
  <c r="Z126" i="3"/>
  <c r="Z129" i="3"/>
  <c r="Z130" i="3"/>
  <c r="Z119" i="3"/>
  <c r="Z124" i="3"/>
  <c r="Z125" i="3"/>
  <c r="Z137" i="3"/>
  <c r="Z138" i="3"/>
  <c r="Z139" i="3"/>
  <c r="Z140" i="3"/>
  <c r="Z141" i="3"/>
  <c r="Z134" i="3"/>
  <c r="Z144" i="3"/>
  <c r="Z143" i="3"/>
  <c r="Z135" i="3"/>
  <c r="Z142" i="3"/>
  <c r="Z133" i="3"/>
  <c r="Z136" i="3"/>
  <c r="AA52" i="3"/>
  <c r="AA51" i="3"/>
  <c r="Z63" i="3"/>
  <c r="AC21" i="8" s="1"/>
  <c r="Z66" i="3"/>
  <c r="AC24" i="8" s="1"/>
  <c r="Z61" i="3"/>
  <c r="AC19" i="8" s="1"/>
  <c r="Z59" i="3"/>
  <c r="AC17" i="8" s="1"/>
  <c r="Z68" i="3"/>
  <c r="AC26" i="8" s="1"/>
  <c r="Z65" i="3"/>
  <c r="AC23" i="8" s="1"/>
  <c r="Z69" i="3"/>
  <c r="AC27" i="8" s="1"/>
  <c r="Z60" i="3"/>
  <c r="AC18" i="8" s="1"/>
  <c r="Z67" i="3"/>
  <c r="AC25" i="8" s="1"/>
  <c r="Z64" i="3"/>
  <c r="AC22" i="8" s="1"/>
  <c r="AB50" i="3"/>
  <c r="AB53" i="3"/>
  <c r="AB49" i="3"/>
  <c r="AE33" i="5"/>
  <c r="AE17" i="5"/>
  <c r="AE18" i="5" s="1"/>
  <c r="AE20" i="5"/>
  <c r="AF16" i="5"/>
  <c r="AF19" i="5" s="1"/>
  <c r="AA68" i="3" l="1"/>
  <c r="AD26" i="8" s="1"/>
  <c r="AB147" i="3"/>
  <c r="AB150" i="3"/>
  <c r="AB153" i="3"/>
  <c r="AB156" i="3"/>
  <c r="AB152" i="3"/>
  <c r="AB151" i="3"/>
  <c r="AB154" i="3"/>
  <c r="AB157" i="3"/>
  <c r="AB148" i="3"/>
  <c r="AB158" i="3"/>
  <c r="AB155" i="3"/>
  <c r="AB149" i="3"/>
  <c r="AA67" i="3"/>
  <c r="AD25" i="8" s="1"/>
  <c r="AA126" i="3"/>
  <c r="AA127" i="3"/>
  <c r="AA120" i="3"/>
  <c r="AA128" i="3"/>
  <c r="AA121" i="3"/>
  <c r="AA122" i="3"/>
  <c r="AA123" i="3"/>
  <c r="AA129" i="3"/>
  <c r="AA130" i="3"/>
  <c r="AA119" i="3"/>
  <c r="AA125" i="3"/>
  <c r="AA124" i="3"/>
  <c r="AA136" i="3"/>
  <c r="AA144" i="3"/>
  <c r="AA133" i="3"/>
  <c r="AA137" i="3"/>
  <c r="AA138" i="3"/>
  <c r="AA139" i="3"/>
  <c r="AA140" i="3"/>
  <c r="AA141" i="3"/>
  <c r="AA134" i="3"/>
  <c r="AA143" i="3"/>
  <c r="AA135" i="3"/>
  <c r="AA142" i="3"/>
  <c r="AA61" i="3"/>
  <c r="AD19" i="8" s="1"/>
  <c r="AB108" i="3"/>
  <c r="AB109" i="3"/>
  <c r="AB110" i="3"/>
  <c r="AB111" i="3"/>
  <c r="AB112" i="3"/>
  <c r="AB106" i="3"/>
  <c r="AB114" i="3"/>
  <c r="AB107" i="3"/>
  <c r="AB116" i="3"/>
  <c r="AB105" i="3"/>
  <c r="AB113" i="3"/>
  <c r="AB115" i="3"/>
  <c r="AA64" i="3"/>
  <c r="AD22" i="8" s="1"/>
  <c r="AI50" i="3"/>
  <c r="AE50" i="3"/>
  <c r="AJ50" i="3"/>
  <c r="AH50" i="3"/>
  <c r="AG50" i="3"/>
  <c r="AF50" i="3"/>
  <c r="AJ49" i="3"/>
  <c r="AE49" i="3"/>
  <c r="AI49" i="3"/>
  <c r="AG49" i="3"/>
  <c r="AH49" i="3"/>
  <c r="AF49" i="3"/>
  <c r="AA66" i="3"/>
  <c r="AD24" i="8" s="1"/>
  <c r="AB52" i="3"/>
  <c r="AB51" i="3"/>
  <c r="AA62" i="3"/>
  <c r="AD20" i="8" s="1"/>
  <c r="AA70" i="3"/>
  <c r="AD28" i="8" s="1"/>
  <c r="AA60" i="3"/>
  <c r="AD18" i="8" s="1"/>
  <c r="AA59" i="3"/>
  <c r="AD17" i="8" s="1"/>
  <c r="AA69" i="3"/>
  <c r="AD27" i="8" s="1"/>
  <c r="AA65" i="3"/>
  <c r="AD23" i="8" s="1"/>
  <c r="AA63" i="3"/>
  <c r="AD21" i="8" s="1"/>
  <c r="AC50" i="3"/>
  <c r="AC53" i="3"/>
  <c r="AC49" i="3"/>
  <c r="AF33" i="5"/>
  <c r="AF20" i="5"/>
  <c r="AF17" i="5"/>
  <c r="AC148" i="3" l="1"/>
  <c r="AC151" i="3"/>
  <c r="AC154" i="3"/>
  <c r="AC157" i="3"/>
  <c r="AC147" i="3"/>
  <c r="AC150" i="3"/>
  <c r="AC153" i="3"/>
  <c r="AC156" i="3"/>
  <c r="AC152" i="3"/>
  <c r="AC155" i="3"/>
  <c r="AC158" i="3"/>
  <c r="AC149" i="3"/>
  <c r="AC107" i="3"/>
  <c r="AC115" i="3"/>
  <c r="AC108" i="3"/>
  <c r="AC109" i="3"/>
  <c r="AC110" i="3"/>
  <c r="AC111" i="3"/>
  <c r="AC113" i="3"/>
  <c r="AC114" i="3"/>
  <c r="AC116" i="3"/>
  <c r="AC105" i="3"/>
  <c r="AC112" i="3"/>
  <c r="AC106" i="3"/>
  <c r="AE113" i="3"/>
  <c r="AE106" i="3"/>
  <c r="AE114" i="3"/>
  <c r="AE107" i="3"/>
  <c r="AE115" i="3"/>
  <c r="AE108" i="3"/>
  <c r="AE109" i="3"/>
  <c r="AE111" i="3"/>
  <c r="AE110" i="3"/>
  <c r="AE116" i="3"/>
  <c r="AE105" i="3"/>
  <c r="AE112" i="3"/>
  <c r="AB135" i="3"/>
  <c r="AB143" i="3"/>
  <c r="AB136" i="3"/>
  <c r="AB144" i="3"/>
  <c r="AB133" i="3"/>
  <c r="AB137" i="3"/>
  <c r="AB138" i="3"/>
  <c r="AB139" i="3"/>
  <c r="AB142" i="3"/>
  <c r="AB141" i="3"/>
  <c r="AB134" i="3"/>
  <c r="AB140" i="3"/>
  <c r="AB64" i="3"/>
  <c r="AE22" i="8" s="1"/>
  <c r="AB125" i="3"/>
  <c r="AB126" i="3"/>
  <c r="AB127" i="3"/>
  <c r="AB120" i="3"/>
  <c r="AB128" i="3"/>
  <c r="AB121" i="3"/>
  <c r="AB124" i="3"/>
  <c r="AB123" i="3"/>
  <c r="AB129" i="3"/>
  <c r="AB130" i="3"/>
  <c r="AB119" i="3"/>
  <c r="AB122" i="3"/>
  <c r="AI109" i="3"/>
  <c r="AI110" i="3"/>
  <c r="AI111" i="3"/>
  <c r="AI112" i="3"/>
  <c r="AI113" i="3"/>
  <c r="AI107" i="3"/>
  <c r="AI115" i="3"/>
  <c r="AI106" i="3"/>
  <c r="AI114" i="3"/>
  <c r="AI116" i="3"/>
  <c r="AI105" i="3"/>
  <c r="AI108" i="3"/>
  <c r="AJ108" i="3"/>
  <c r="AJ109" i="3"/>
  <c r="AJ110" i="3"/>
  <c r="AJ111" i="3"/>
  <c r="AJ112" i="3"/>
  <c r="AJ106" i="3"/>
  <c r="AJ114" i="3"/>
  <c r="AJ107" i="3"/>
  <c r="AJ115" i="3"/>
  <c r="AJ116" i="3"/>
  <c r="AJ105" i="3"/>
  <c r="AJ113" i="3"/>
  <c r="AF112" i="3"/>
  <c r="AF113" i="3"/>
  <c r="AF106" i="3"/>
  <c r="AF114" i="3"/>
  <c r="AF107" i="3"/>
  <c r="AF115" i="3"/>
  <c r="AF108" i="3"/>
  <c r="AF110" i="3"/>
  <c r="AF109" i="3"/>
  <c r="AF111" i="3"/>
  <c r="AF116" i="3"/>
  <c r="AF105" i="3"/>
  <c r="AH110" i="3"/>
  <c r="AH111" i="3"/>
  <c r="AH112" i="3"/>
  <c r="AH113" i="3"/>
  <c r="AH106" i="3"/>
  <c r="AH114" i="3"/>
  <c r="AH108" i="3"/>
  <c r="AH107" i="3"/>
  <c r="AH115" i="3"/>
  <c r="AH116" i="3"/>
  <c r="AH105" i="3"/>
  <c r="AH109" i="3"/>
  <c r="AG111" i="3"/>
  <c r="AG112" i="3"/>
  <c r="AG113" i="3"/>
  <c r="AG106" i="3"/>
  <c r="AG114" i="3"/>
  <c r="AG107" i="3"/>
  <c r="AG115" i="3"/>
  <c r="AG109" i="3"/>
  <c r="AG105" i="3"/>
  <c r="AG108" i="3"/>
  <c r="AG110" i="3"/>
  <c r="AG116" i="3"/>
  <c r="AF52" i="3"/>
  <c r="AF51" i="3"/>
  <c r="AG52" i="3"/>
  <c r="AG51" i="3"/>
  <c r="AH52" i="3"/>
  <c r="AH51" i="3"/>
  <c r="AJ51" i="3"/>
  <c r="AJ52" i="3"/>
  <c r="AE51" i="3"/>
  <c r="AE52" i="3"/>
  <c r="AI52" i="3"/>
  <c r="AI51" i="3"/>
  <c r="AC52" i="3"/>
  <c r="AC51" i="3"/>
  <c r="AB66" i="3"/>
  <c r="AE24" i="8" s="1"/>
  <c r="AB69" i="3"/>
  <c r="AE27" i="8" s="1"/>
  <c r="AB68" i="3"/>
  <c r="AE26" i="8" s="1"/>
  <c r="AB59" i="3"/>
  <c r="AE17" i="8" s="1"/>
  <c r="AB60" i="3"/>
  <c r="AE18" i="8" s="1"/>
  <c r="AB61" i="3"/>
  <c r="AE19" i="8" s="1"/>
  <c r="AB67" i="3"/>
  <c r="AE25" i="8" s="1"/>
  <c r="AB70" i="3"/>
  <c r="AE28" i="8" s="1"/>
  <c r="AB63" i="3"/>
  <c r="AE21" i="8" s="1"/>
  <c r="AB65" i="3"/>
  <c r="AE23" i="8" s="1"/>
  <c r="AB62" i="3"/>
  <c r="AE20" i="8" s="1"/>
  <c r="AD50" i="3"/>
  <c r="AD51" i="3" s="1"/>
  <c r="AF18" i="5"/>
  <c r="AG66" i="3" l="1"/>
  <c r="AJ24" i="8" s="1"/>
  <c r="AG61" i="3"/>
  <c r="AJ19" i="8" s="1"/>
  <c r="AG138" i="3"/>
  <c r="AG139" i="3"/>
  <c r="AG140" i="3"/>
  <c r="AG141" i="3"/>
  <c r="AG134" i="3"/>
  <c r="AG142" i="3"/>
  <c r="AG135" i="3"/>
  <c r="AG136" i="3"/>
  <c r="AG133" i="3"/>
  <c r="AG137" i="3"/>
  <c r="AG144" i="3"/>
  <c r="AG143" i="3"/>
  <c r="AG59" i="3"/>
  <c r="AJ17" i="8" s="1"/>
  <c r="AH127" i="3"/>
  <c r="AH120" i="3"/>
  <c r="AH128" i="3"/>
  <c r="AH121" i="3"/>
  <c r="AH122" i="3"/>
  <c r="AH123" i="3"/>
  <c r="AH124" i="3"/>
  <c r="AH129" i="3"/>
  <c r="AH125" i="3"/>
  <c r="AH130" i="3"/>
  <c r="AH119" i="3"/>
  <c r="AH126" i="3"/>
  <c r="AF139" i="3"/>
  <c r="AF140" i="3"/>
  <c r="AF141" i="3"/>
  <c r="AF134" i="3"/>
  <c r="AF142" i="3"/>
  <c r="AF135" i="3"/>
  <c r="AF143" i="3"/>
  <c r="AF136" i="3"/>
  <c r="AF133" i="3"/>
  <c r="AF137" i="3"/>
  <c r="AF138" i="3"/>
  <c r="AF144" i="3"/>
  <c r="AJ59" i="3"/>
  <c r="AM17" i="8" s="1"/>
  <c r="AJ135" i="3"/>
  <c r="AJ143" i="3"/>
  <c r="AJ136" i="3"/>
  <c r="AJ144" i="3"/>
  <c r="AJ133" i="3"/>
  <c r="AJ137" i="3"/>
  <c r="AJ138" i="3"/>
  <c r="AJ139" i="3"/>
  <c r="AJ140" i="3"/>
  <c r="AJ142" i="3"/>
  <c r="AJ141" i="3"/>
  <c r="AJ134" i="3"/>
  <c r="AF70" i="3"/>
  <c r="AI28" i="8" s="1"/>
  <c r="AF121" i="3"/>
  <c r="AF122" i="3"/>
  <c r="AF123" i="3"/>
  <c r="AF124" i="3"/>
  <c r="AF125" i="3"/>
  <c r="AF130" i="3"/>
  <c r="AF119" i="3"/>
  <c r="AF126" i="3"/>
  <c r="AF127" i="3"/>
  <c r="AF128" i="3"/>
  <c r="AF120" i="3"/>
  <c r="AF129" i="3"/>
  <c r="AI61" i="3"/>
  <c r="AL19" i="8" s="1"/>
  <c r="AI126" i="3"/>
  <c r="AI127" i="3"/>
  <c r="AI120" i="3"/>
  <c r="AI128" i="3"/>
  <c r="AI121" i="3"/>
  <c r="AI122" i="3"/>
  <c r="AI124" i="3"/>
  <c r="AI129" i="3"/>
  <c r="AI125" i="3"/>
  <c r="AI130" i="3"/>
  <c r="AI119" i="3"/>
  <c r="AI123" i="3"/>
  <c r="AG68" i="3"/>
  <c r="AJ26" i="8" s="1"/>
  <c r="AH60" i="3"/>
  <c r="AK18" i="8" s="1"/>
  <c r="AH137" i="3"/>
  <c r="AH138" i="3"/>
  <c r="AH139" i="3"/>
  <c r="AH140" i="3"/>
  <c r="AH141" i="3"/>
  <c r="AH134" i="3"/>
  <c r="AH136" i="3"/>
  <c r="AH142" i="3"/>
  <c r="AH133" i="3"/>
  <c r="AH144" i="3"/>
  <c r="AH135" i="3"/>
  <c r="AH143" i="3"/>
  <c r="AC70" i="3"/>
  <c r="AF28" i="8" s="1"/>
  <c r="AC124" i="3"/>
  <c r="AC125" i="3"/>
  <c r="AC126" i="3"/>
  <c r="AC127" i="3"/>
  <c r="AC120" i="3"/>
  <c r="AC121" i="3"/>
  <c r="AC128" i="3"/>
  <c r="AC123" i="3"/>
  <c r="AC129" i="3"/>
  <c r="AC130" i="3"/>
  <c r="AC119" i="3"/>
  <c r="AC122" i="3"/>
  <c r="AI136" i="3"/>
  <c r="AI144" i="3"/>
  <c r="AI133" i="3"/>
  <c r="AI137" i="3"/>
  <c r="AI138" i="3"/>
  <c r="AI139" i="3"/>
  <c r="AI140" i="3"/>
  <c r="AI135" i="3"/>
  <c r="AI143" i="3"/>
  <c r="AI142" i="3"/>
  <c r="AI141" i="3"/>
  <c r="AI134" i="3"/>
  <c r="AF68" i="3"/>
  <c r="AI26" i="8" s="1"/>
  <c r="AC134" i="3"/>
  <c r="AC142" i="3"/>
  <c r="AC135" i="3"/>
  <c r="AC143" i="3"/>
  <c r="AC136" i="3"/>
  <c r="AC144" i="3"/>
  <c r="AC133" i="3"/>
  <c r="AC137" i="3"/>
  <c r="AC138" i="3"/>
  <c r="AC139" i="3"/>
  <c r="AC141" i="3"/>
  <c r="AC140" i="3"/>
  <c r="AG64" i="3"/>
  <c r="AJ22" i="8" s="1"/>
  <c r="AG69" i="3"/>
  <c r="AJ27" i="8" s="1"/>
  <c r="AF60" i="3"/>
  <c r="AI18" i="8" s="1"/>
  <c r="AJ125" i="3"/>
  <c r="AJ126" i="3"/>
  <c r="AJ127" i="3"/>
  <c r="AJ120" i="3"/>
  <c r="AJ128" i="3"/>
  <c r="AJ121" i="3"/>
  <c r="AJ122" i="3"/>
  <c r="AJ124" i="3"/>
  <c r="AJ129" i="3"/>
  <c r="AJ130" i="3"/>
  <c r="AJ119" i="3"/>
  <c r="AJ123" i="3"/>
  <c r="AD123" i="3"/>
  <c r="AD124" i="3"/>
  <c r="AD125" i="3"/>
  <c r="AD126" i="3"/>
  <c r="AD122" i="3"/>
  <c r="AD127" i="3"/>
  <c r="AD121" i="3"/>
  <c r="AD128" i="3"/>
  <c r="AD120" i="3"/>
  <c r="AD129" i="3"/>
  <c r="AD130" i="3"/>
  <c r="AD119" i="3"/>
  <c r="AE60" i="3"/>
  <c r="AH18" i="8" s="1"/>
  <c r="AE140" i="3"/>
  <c r="AE141" i="3"/>
  <c r="AE134" i="3"/>
  <c r="AE142" i="3"/>
  <c r="AE135" i="3"/>
  <c r="AE143" i="3"/>
  <c r="AE136" i="3"/>
  <c r="AE144" i="3"/>
  <c r="AE133" i="3"/>
  <c r="AE137" i="3"/>
  <c r="AE138" i="3"/>
  <c r="AE139" i="3"/>
  <c r="AE64" i="3"/>
  <c r="AH22" i="8" s="1"/>
  <c r="AE122" i="3"/>
  <c r="AE123" i="3"/>
  <c r="AE124" i="3"/>
  <c r="AE125" i="3"/>
  <c r="AE126" i="3"/>
  <c r="AE127" i="3"/>
  <c r="AE121" i="3"/>
  <c r="AE128" i="3"/>
  <c r="AE120" i="3"/>
  <c r="AE129" i="3"/>
  <c r="AE119" i="3"/>
  <c r="AE130" i="3"/>
  <c r="AF61" i="3"/>
  <c r="AI19" i="8" s="1"/>
  <c r="AG67" i="3"/>
  <c r="AJ25" i="8" s="1"/>
  <c r="AG63" i="3"/>
  <c r="AJ21" i="8" s="1"/>
  <c r="AG62" i="3"/>
  <c r="AJ20" i="8" s="1"/>
  <c r="AG65" i="3"/>
  <c r="AJ23" i="8" s="1"/>
  <c r="AG120" i="3"/>
  <c r="AG128" i="3"/>
  <c r="AG121" i="3"/>
  <c r="AG122" i="3"/>
  <c r="AG123" i="3"/>
  <c r="AG124" i="3"/>
  <c r="AG129" i="3"/>
  <c r="AG125" i="3"/>
  <c r="AG130" i="3"/>
  <c r="AG119" i="3"/>
  <c r="AG126" i="3"/>
  <c r="AG127" i="3"/>
  <c r="AI65" i="3"/>
  <c r="AL23" i="8" s="1"/>
  <c r="AH65" i="3"/>
  <c r="AK23" i="8" s="1"/>
  <c r="AG70" i="3"/>
  <c r="AJ28" i="8" s="1"/>
  <c r="AG60" i="3"/>
  <c r="AJ18" i="8" s="1"/>
  <c r="AH70" i="3"/>
  <c r="AK28" i="8" s="1"/>
  <c r="AI67" i="3"/>
  <c r="AL25" i="8" s="1"/>
  <c r="AJ66" i="3"/>
  <c r="AM24" i="8" s="1"/>
  <c r="AH68" i="3"/>
  <c r="AK26" i="8" s="1"/>
  <c r="AF67" i="3"/>
  <c r="AI25" i="8" s="1"/>
  <c r="AF69" i="3"/>
  <c r="AI27" i="8" s="1"/>
  <c r="AI70" i="3"/>
  <c r="AL28" i="8" s="1"/>
  <c r="AH64" i="3"/>
  <c r="AK22" i="8" s="1"/>
  <c r="AH69" i="3"/>
  <c r="AK27" i="8" s="1"/>
  <c r="AF65" i="3"/>
  <c r="AI23" i="8" s="1"/>
  <c r="AI59" i="3"/>
  <c r="AL17" i="8" s="1"/>
  <c r="AH61" i="3"/>
  <c r="AK19" i="8" s="1"/>
  <c r="AH63" i="3"/>
  <c r="AK21" i="8" s="1"/>
  <c r="AF63" i="3"/>
  <c r="AI21" i="8" s="1"/>
  <c r="AI60" i="3"/>
  <c r="AL18" i="8" s="1"/>
  <c r="AH67" i="3"/>
  <c r="AK25" i="8" s="1"/>
  <c r="AF62" i="3"/>
  <c r="AI20" i="8" s="1"/>
  <c r="AI63" i="3"/>
  <c r="AL21" i="8" s="1"/>
  <c r="AH66" i="3"/>
  <c r="AK24" i="8" s="1"/>
  <c r="AF64" i="3"/>
  <c r="AI22" i="8" s="1"/>
  <c r="AF66" i="3"/>
  <c r="AI24" i="8" s="1"/>
  <c r="AE70" i="3"/>
  <c r="AH28" i="8" s="1"/>
  <c r="AI66" i="3"/>
  <c r="AL24" i="8" s="1"/>
  <c r="AI64" i="3"/>
  <c r="AL22" i="8" s="1"/>
  <c r="AH62" i="3"/>
  <c r="AK20" i="8" s="1"/>
  <c r="AF59" i="3"/>
  <c r="AI17" i="8" s="1"/>
  <c r="AE65" i="3"/>
  <c r="AH23" i="8" s="1"/>
  <c r="AJ69" i="3"/>
  <c r="AM27" i="8" s="1"/>
  <c r="AJ62" i="3"/>
  <c r="AM20" i="8" s="1"/>
  <c r="AJ70" i="3"/>
  <c r="AM28" i="8" s="1"/>
  <c r="AJ61" i="3"/>
  <c r="AM19" i="8" s="1"/>
  <c r="AE69" i="3"/>
  <c r="AH27" i="8" s="1"/>
  <c r="AI69" i="3"/>
  <c r="AL27" i="8" s="1"/>
  <c r="AJ67" i="3"/>
  <c r="AM25" i="8" s="1"/>
  <c r="AE63" i="3"/>
  <c r="AH21" i="8" s="1"/>
  <c r="AE62" i="3"/>
  <c r="AH20" i="8" s="1"/>
  <c r="AJ64" i="3"/>
  <c r="AM22" i="8" s="1"/>
  <c r="AI68" i="3"/>
  <c r="AL26" i="8" s="1"/>
  <c r="AH59" i="3"/>
  <c r="AK17" i="8" s="1"/>
  <c r="AJ65" i="3"/>
  <c r="AM23" i="8" s="1"/>
  <c r="AE59" i="3"/>
  <c r="AH17" i="8" s="1"/>
  <c r="AE66" i="3"/>
  <c r="AH24" i="8" s="1"/>
  <c r="AJ63" i="3"/>
  <c r="AM21" i="8" s="1"/>
  <c r="AJ68" i="3"/>
  <c r="AM26" i="8" s="1"/>
  <c r="AJ60" i="3"/>
  <c r="AM18" i="8" s="1"/>
  <c r="AE67" i="3"/>
  <c r="AH25" i="8" s="1"/>
  <c r="AE61" i="3"/>
  <c r="AH19" i="8" s="1"/>
  <c r="AI62" i="3"/>
  <c r="AL20" i="8" s="1"/>
  <c r="AE68" i="3"/>
  <c r="AH26" i="8" s="1"/>
  <c r="AC59" i="3"/>
  <c r="AF17" i="8" s="1"/>
  <c r="AD52" i="3"/>
  <c r="AC62" i="3"/>
  <c r="AF20" i="8" s="1"/>
  <c r="AC68" i="3"/>
  <c r="AF26" i="8" s="1"/>
  <c r="AC65" i="3"/>
  <c r="AF23" i="8" s="1"/>
  <c r="AC63" i="3"/>
  <c r="AF21" i="8" s="1"/>
  <c r="AC69" i="3"/>
  <c r="AF27" i="8" s="1"/>
  <c r="AC61" i="3"/>
  <c r="AF19" i="8" s="1"/>
  <c r="AC66" i="3"/>
  <c r="AF24" i="8" s="1"/>
  <c r="AC60" i="3"/>
  <c r="AF18" i="8" s="1"/>
  <c r="AC64" i="3"/>
  <c r="AF22" i="8" s="1"/>
  <c r="AC67" i="3"/>
  <c r="AF25" i="8" s="1"/>
  <c r="AD53" i="3"/>
  <c r="AD49" i="3"/>
  <c r="AD148" i="3" l="1"/>
  <c r="AD151" i="3"/>
  <c r="AD154" i="3"/>
  <c r="AD157" i="3"/>
  <c r="AD147" i="3"/>
  <c r="AD150" i="3"/>
  <c r="AD153" i="3"/>
  <c r="AD156" i="3"/>
  <c r="AD155" i="3"/>
  <c r="AD158" i="3"/>
  <c r="AD152" i="3"/>
  <c r="AD149" i="3"/>
  <c r="AD141" i="3"/>
  <c r="AD134" i="3"/>
  <c r="AD142" i="3"/>
  <c r="AD135" i="3"/>
  <c r="AD143" i="3"/>
  <c r="AD136" i="3"/>
  <c r="AD144" i="3"/>
  <c r="AD133" i="3"/>
  <c r="AD137" i="3"/>
  <c r="AD138" i="3"/>
  <c r="AD140" i="3"/>
  <c r="AD139" i="3"/>
  <c r="AD106" i="3"/>
  <c r="AD114" i="3"/>
  <c r="AD107" i="3"/>
  <c r="AD115" i="3"/>
  <c r="AD108" i="3"/>
  <c r="AD109" i="3"/>
  <c r="AD110" i="3"/>
  <c r="AD112" i="3"/>
  <c r="AD111" i="3"/>
  <c r="AD116" i="3"/>
  <c r="AD105" i="3"/>
  <c r="AD113" i="3"/>
  <c r="AD67" i="3"/>
  <c r="AG25" i="8" s="1"/>
  <c r="AD61" i="3"/>
  <c r="AG19" i="8" s="1"/>
  <c r="AD60" i="3"/>
  <c r="AG18" i="8" s="1"/>
  <c r="AD65" i="3"/>
  <c r="AG23" i="8" s="1"/>
  <c r="AD62" i="3"/>
  <c r="AG20" i="8" s="1"/>
  <c r="AD69" i="3"/>
  <c r="AG27" i="8" s="1"/>
  <c r="AD66" i="3"/>
  <c r="AG24" i="8" s="1"/>
  <c r="AD68" i="3"/>
  <c r="AG26" i="8" s="1"/>
  <c r="AD63" i="3"/>
  <c r="AG21" i="8" s="1"/>
  <c r="AD70" i="3"/>
  <c r="AG28" i="8" s="1"/>
  <c r="AD64" i="3"/>
  <c r="AG22" i="8" s="1"/>
  <c r="AD59" i="3"/>
  <c r="AG17" i="8" s="1"/>
  <c r="C70" i="3" l="1"/>
  <c r="C28" i="8" s="1"/>
  <c r="C69" i="3" l="1"/>
  <c r="C27" i="8" s="1"/>
  <c r="C68" i="3" l="1"/>
  <c r="C26" i="8" s="1"/>
  <c r="C67" i="3" l="1"/>
  <c r="C25" i="8" s="1"/>
  <c r="C66" i="3" l="1"/>
  <c r="C24" i="8" s="1"/>
  <c r="C65" i="3" l="1"/>
  <c r="C23" i="8" s="1"/>
  <c r="C64" i="3" l="1"/>
  <c r="C22" i="8" s="1"/>
  <c r="C21" i="8" l="1"/>
  <c r="C62" i="3" l="1"/>
  <c r="C20" i="8" s="1"/>
  <c r="C61" i="3" l="1"/>
  <c r="C19" i="8" s="1"/>
  <c r="C60" i="3" l="1"/>
  <c r="C18" i="8" s="1"/>
  <c r="D17" i="8" s="1"/>
  <c r="D20" i="8" l="1"/>
  <c r="D26" i="8"/>
  <c r="D21" i="8"/>
  <c r="D23" i="8"/>
  <c r="D18" i="8"/>
  <c r="D25" i="8"/>
  <c r="D28" i="8"/>
  <c r="D22" i="8"/>
  <c r="D24" i="8"/>
  <c r="D19" i="8"/>
  <c r="D2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<sst xmlns="http://schemas.openxmlformats.org/spreadsheetml/2006/main" count="825" uniqueCount="416">
  <si>
    <t>Avoided Cost Calculator - Gas</t>
  </si>
  <si>
    <t>2024 ACC Gas model v1b</t>
  </si>
  <si>
    <t>Prepared by:</t>
  </si>
  <si>
    <t>Energy and Environmental Economics, Inc.</t>
  </si>
  <si>
    <t>44 Montgomery Street, Suite 1500</t>
  </si>
  <si>
    <t>San Francisco, CA 94104</t>
  </si>
  <si>
    <t>Phone: 415-391-5100</t>
  </si>
  <si>
    <t>Cell Color Coding</t>
  </si>
  <si>
    <t>Input</t>
  </si>
  <si>
    <t>Calculated Value</t>
  </si>
  <si>
    <t>User Input</t>
  </si>
  <si>
    <t>Lookup Formula</t>
  </si>
  <si>
    <t>Yearly Lookup Value</t>
  </si>
  <si>
    <t>Final Outputs</t>
  </si>
  <si>
    <t>Values Pasted from Calculation/Macros</t>
  </si>
  <si>
    <t>Main Inputs</t>
  </si>
  <si>
    <t>User Inputs</t>
  </si>
  <si>
    <t>Utility</t>
  </si>
  <si>
    <t>SDG&amp;E</t>
  </si>
  <si>
    <t>Class</t>
  </si>
  <si>
    <t>Residential</t>
  </si>
  <si>
    <t>End Use</t>
  </si>
  <si>
    <t>Small Boiler (&lt;100MMBtu/Hr)</t>
  </si>
  <si>
    <t>Emission Control</t>
  </si>
  <si>
    <t>Flue Gas Recirculation</t>
  </si>
  <si>
    <t>Cost Test</t>
  </si>
  <si>
    <t>SCT</t>
  </si>
  <si>
    <t>Societal Cost of Carbon (SCC)</t>
  </si>
  <si>
    <t>High</t>
  </si>
  <si>
    <t>(SCC values are only used for the SCT)</t>
  </si>
  <si>
    <t>Levelized Results Settings</t>
  </si>
  <si>
    <t>Start year</t>
  </si>
  <si>
    <t>Levelization Period</t>
  </si>
  <si>
    <t>(Enter 1 yr to show single year results)</t>
  </si>
  <si>
    <t>Last Year</t>
  </si>
  <si>
    <t>Nominal Discount Rate</t>
  </si>
  <si>
    <t>Annualization</t>
  </si>
  <si>
    <t>Report Results in Dollar Year</t>
  </si>
  <si>
    <t>Inflation Rate</t>
  </si>
  <si>
    <t>Components to Include</t>
  </si>
  <si>
    <t>Market (Commodity)</t>
  </si>
  <si>
    <t>T&amp;D</t>
  </si>
  <si>
    <t>Environment (CO2 &amp; NOx)</t>
  </si>
  <si>
    <t>Upstream methane leakage</t>
  </si>
  <si>
    <t>Behind-the-meter methane leakage</t>
  </si>
  <si>
    <t>Air Quality Adder</t>
  </si>
  <si>
    <t>Final Air Quality Adder</t>
  </si>
  <si>
    <t>* Included for SCT only. Does not include NOx value, which is included in Environment component</t>
  </si>
  <si>
    <t>Intermediate Values</t>
  </si>
  <si>
    <t>Active values based on user inputs</t>
  </si>
  <si>
    <t>Month</t>
  </si>
  <si>
    <t>T&amp;D Allocation
Factor</t>
  </si>
  <si>
    <t>NOx (lbs/therm)</t>
  </si>
  <si>
    <t>January</t>
  </si>
  <si>
    <t>CO2 (tonnes/therm)</t>
  </si>
  <si>
    <t>February</t>
  </si>
  <si>
    <t>Compression</t>
  </si>
  <si>
    <t>March</t>
  </si>
  <si>
    <t>Losses and Unaccounted</t>
  </si>
  <si>
    <t>April</t>
  </si>
  <si>
    <t>May</t>
  </si>
  <si>
    <t>June</t>
  </si>
  <si>
    <t>July</t>
  </si>
  <si>
    <t>August</t>
  </si>
  <si>
    <t>September</t>
  </si>
  <si>
    <t>October</t>
  </si>
  <si>
    <t>November</t>
  </si>
  <si>
    <t>December</t>
  </si>
  <si>
    <t>Annual Cost by Component ($/therm)</t>
  </si>
  <si>
    <t>Average T&amp;D Cost</t>
  </si>
  <si>
    <t>NOx Emissions Cost</t>
  </si>
  <si>
    <t>CO2 Cost</t>
  </si>
  <si>
    <t>Upstream Methane Leakage Cost</t>
  </si>
  <si>
    <t>Behind-the-Meter Methane Leakage Cost</t>
  </si>
  <si>
    <t>Results</t>
  </si>
  <si>
    <t>Levelized</t>
  </si>
  <si>
    <t>Offset</t>
  </si>
  <si>
    <t>Results by Component</t>
  </si>
  <si>
    <t>Market</t>
  </si>
  <si>
    <t>Environment</t>
  </si>
  <si>
    <t>Selected Year</t>
  </si>
  <si>
    <t>Output Summary</t>
  </si>
  <si>
    <t>User Inputs (Select on Dashboard)</t>
  </si>
  <si>
    <t>Levelized Results Settings  (Select on Dashboard)</t>
  </si>
  <si>
    <t>Levelized Gas Avoided Costs</t>
  </si>
  <si>
    <t>Monthly Gas Avoided Costs</t>
  </si>
  <si>
    <t xml:space="preserve">Monthly </t>
  </si>
  <si>
    <t>Annual Average</t>
  </si>
  <si>
    <t>Chart titles:</t>
  </si>
  <si>
    <t>Gas Commodity Costs ($/MMBtu)</t>
  </si>
  <si>
    <t>CA Gas Price Forecast ($/MMBtu) ($Nominal)</t>
  </si>
  <si>
    <t>CA Gas Price Forecast ($/MMBtu) ($2022)</t>
  </si>
  <si>
    <t>Gas Commodity Costs ($/therm)</t>
  </si>
  <si>
    <t>CA Gas Price Forecast ($/therm) ($Nominal)</t>
  </si>
  <si>
    <t>CA Gas Price Forecast ($/therm) ($2022)</t>
  </si>
  <si>
    <t>Gas Emissions Values</t>
  </si>
  <si>
    <t>Gas Emissions Rates</t>
  </si>
  <si>
    <t>Combustor Type</t>
  </si>
  <si>
    <t>Controls</t>
  </si>
  <si>
    <t>NOx (lb/MMBtu)</t>
  </si>
  <si>
    <t>CO2 (lb/MMBtu)</t>
  </si>
  <si>
    <t>Nox (lbs / Therm)</t>
  </si>
  <si>
    <t>CO2 (Tonnes / Therm)</t>
  </si>
  <si>
    <t>Key</t>
  </si>
  <si>
    <t>Large Boiler (&gt;100MMBtu/Hr)</t>
  </si>
  <si>
    <t>Uncontrolled</t>
  </si>
  <si>
    <t>Low Nox Burner</t>
  </si>
  <si>
    <t>Residential Furnace</t>
  </si>
  <si>
    <t>Gas Emissions Costs - TRC</t>
  </si>
  <si>
    <t>NOx (nominal $/lb)</t>
  </si>
  <si>
    <t>NOx (nominal $/therm)</t>
  </si>
  <si>
    <t>CO2 (nominal $/tonne)</t>
  </si>
  <si>
    <t>PM10 (nominal $/lb)</t>
  </si>
  <si>
    <t>Gas Emissions Costs - SCT</t>
  </si>
  <si>
    <t>Air Quality Adder (2020 $/therm)</t>
  </si>
  <si>
    <t>Air Quality Adder (nominal $/therm)</t>
  </si>
  <si>
    <t>Social Cost of Carbon Base (2020 $/tonne)</t>
  </si>
  <si>
    <t>Social Cost of Carbon High (2020 $/tonne)</t>
  </si>
  <si>
    <t>Social Cost of Carbon Base (nominal $/tonne)</t>
  </si>
  <si>
    <t>Social Cost of Carbon High (nominal $/tonne)</t>
  </si>
  <si>
    <t>Gas Emissions Costs - Active</t>
  </si>
  <si>
    <t>NOx Cost (nominal $/therm)</t>
  </si>
  <si>
    <t>CO2 Cost (nominal $/tonne)</t>
  </si>
  <si>
    <t>Gas Transportation Marginal Costs ($/therm, nominal)</t>
  </si>
  <si>
    <t>Transportation Marginal Costs</t>
  </si>
  <si>
    <t>Nominal $/Therm</t>
  </si>
  <si>
    <t>PG&amp;E</t>
  </si>
  <si>
    <t>Commercial</t>
  </si>
  <si>
    <t>Total Core</t>
  </si>
  <si>
    <t>SoCal Gas</t>
  </si>
  <si>
    <t>2022$/Therm</t>
  </si>
  <si>
    <t>Gas Transportation Allocation</t>
  </si>
  <si>
    <t>Natural Gas Customer Shape</t>
  </si>
  <si>
    <t>Socal Gas</t>
  </si>
  <si>
    <t>Winter Throughput</t>
  </si>
  <si>
    <t>Summer</t>
  </si>
  <si>
    <t>Winter Allocation</t>
  </si>
  <si>
    <t>Summer Allocation</t>
  </si>
  <si>
    <t>Monthly allocation of annual average gas T&amp;D cost per therm</t>
  </si>
  <si>
    <t>Methane leakage adders</t>
  </si>
  <si>
    <t>Selected Adder at Specified GWP time horizon</t>
  </si>
  <si>
    <t>Upstream - In-State</t>
  </si>
  <si>
    <t>Upstream - National Average</t>
  </si>
  <si>
    <t>Variable</t>
  </si>
  <si>
    <t>used in TRC</t>
  </si>
  <si>
    <t>used in SCT</t>
  </si>
  <si>
    <t>Note</t>
  </si>
  <si>
    <t>Upstream methane leakage adder</t>
  </si>
  <si>
    <t>Methane leakage upstream of natural gas power plants. Also applies to programs that change natural gas consumption only.  Methane leakage avoided cost is this percentage times the value of GHG emissions</t>
  </si>
  <si>
    <t>Upstream methane leakage rate</t>
  </si>
  <si>
    <t>Applies only to programs that eliminate natural gas appliances from a residential building.</t>
  </si>
  <si>
    <t>Active GWP time horizon</t>
  </si>
  <si>
    <t>100-yr</t>
  </si>
  <si>
    <t>Choose from dropdown (100-yr default)</t>
  </si>
  <si>
    <t>Methane leakage GWPs (AR4)</t>
  </si>
  <si>
    <t>20-yr</t>
  </si>
  <si>
    <t>Active GWP</t>
  </si>
  <si>
    <t>Methane leakage rate conversion</t>
  </si>
  <si>
    <t>Methane GWP if Leaked</t>
  </si>
  <si>
    <t>Methane leakage rate to adder conversion</t>
  </si>
  <si>
    <t>Compression Factor and Loss Input</t>
  </si>
  <si>
    <t>Compression Factor</t>
  </si>
  <si>
    <t>Loss and Unaccounted</t>
  </si>
  <si>
    <t>* PG&amp;E LUAF figure includes both LUAF and compression</t>
  </si>
  <si>
    <t>IRP Inputs</t>
  </si>
  <si>
    <t>Inflation</t>
  </si>
  <si>
    <t>TRC</t>
  </si>
  <si>
    <t>Unit Conversion</t>
  </si>
  <si>
    <t>Therms / MMBtu</t>
  </si>
  <si>
    <t>Measure Inputs</t>
  </si>
  <si>
    <t>Program Year</t>
  </si>
  <si>
    <t>Project Name</t>
  </si>
  <si>
    <t>Subdivision/Development</t>
  </si>
  <si>
    <t>Building Type</t>
  </si>
  <si>
    <t>Avoided Mainline Extension (ft)</t>
  </si>
  <si>
    <t>Avoided Number of Services</t>
  </si>
  <si>
    <t>Avoided Number of Meters</t>
  </si>
  <si>
    <t>Example_Project_Name_PGE</t>
  </si>
  <si>
    <t>New Greenfield</t>
  </si>
  <si>
    <t>Residential Single Family</t>
  </si>
  <si>
    <t>Example_Project_Name_SCG</t>
  </si>
  <si>
    <t>Example_Project_Name_SDGE</t>
  </si>
  <si>
    <t>Measure Results</t>
  </si>
  <si>
    <t>Input Dollar Year</t>
  </si>
  <si>
    <t>Assumptions</t>
  </si>
  <si>
    <t>Mainline Extension ($/ft)</t>
  </si>
  <si>
    <t>Subdivision</t>
  </si>
  <si>
    <t>Residential Multi-Family</t>
  </si>
  <si>
    <t>Small/Medium Commercial</t>
  </si>
  <si>
    <t>Large Commercial</t>
  </si>
  <si>
    <t>Service Extension ($/service or building)</t>
  </si>
  <si>
    <t>* Excluding trenching costs</t>
  </si>
  <si>
    <t>Existing</t>
  </si>
  <si>
    <t>Meter ($/meter)</t>
  </si>
  <si>
    <t>Gas Price Forecast (Nominal $/MMBtu)</t>
  </si>
  <si>
    <t>PG&amp;E Citygate</t>
  </si>
  <si>
    <t>PG&amp;E BB (Hub PG&amp;E)</t>
  </si>
  <si>
    <t>PG&amp;E LT (Hub PG&amp;E)</t>
  </si>
  <si>
    <t>SoCalGas (Hub SoCalGas)</t>
  </si>
  <si>
    <t>Average PG&amp;E/SoCalGas</t>
  </si>
  <si>
    <t>Average PG&amp;E/SoCalGas, including Transportation</t>
  </si>
  <si>
    <t>Year</t>
  </si>
  <si>
    <t>Date</t>
  </si>
  <si>
    <t>Month-Year</t>
  </si>
  <si>
    <t>Monthly gas price</t>
  </si>
  <si>
    <t>Transportation rate</t>
  </si>
  <si>
    <t>Burnertip price</t>
  </si>
  <si>
    <t>Commodity Price</t>
  </si>
  <si>
    <t>Average</t>
  </si>
  <si>
    <t>Burnertip Price</t>
  </si>
  <si>
    <t>Gas Price Forecast (2022 $/MMBtu)</t>
  </si>
  <si>
    <t>2023 IEPR GDP Deflator</t>
  </si>
  <si>
    <t xml:space="preserve">First Value </t>
  </si>
  <si>
    <t>Units</t>
  </si>
  <si>
    <t>Page/Cell</t>
  </si>
  <si>
    <t>Name</t>
  </si>
  <si>
    <t>Document Name</t>
  </si>
  <si>
    <t>Section/Sheet</t>
  </si>
  <si>
    <t>Date Accessed</t>
  </si>
  <si>
    <t>Date Published</t>
  </si>
  <si>
    <t>Organization</t>
  </si>
  <si>
    <t>Proceeding</t>
  </si>
  <si>
    <t>File Name</t>
  </si>
  <si>
    <t>Proceeding Link</t>
  </si>
  <si>
    <t>Document Link</t>
  </si>
  <si>
    <t>Document Parent Site</t>
  </si>
  <si>
    <t>$/MMBtu</t>
  </si>
  <si>
    <t>Other Inputs/F5</t>
  </si>
  <si>
    <t>PG&amp;E BB (G-EG Backbone Rate)</t>
  </si>
  <si>
    <t>Power Plant Burner Tip Price Forecast</t>
  </si>
  <si>
    <t>Base-BT Prices</t>
  </si>
  <si>
    <t>CEC</t>
  </si>
  <si>
    <t>2023 IEPR (20-IEPR-01)</t>
  </si>
  <si>
    <t>2023_IEPR_Preliminary_Electric_Generation_Price_Model_ada.xlsx</t>
  </si>
  <si>
    <t>https://www.energy.ca.gov/media/4039</t>
  </si>
  <si>
    <t>https://www.energy.ca.gov/programs-and-topics/topics/energy-assessment/natural-gas-electric-generation-prices-california-and</t>
  </si>
  <si>
    <t>Other Inputs/F6</t>
  </si>
  <si>
    <t>PG&amp;E (G-AFT Redwood to On-System)</t>
  </si>
  <si>
    <t>Other Inputs/F7</t>
  </si>
  <si>
    <t>PG&amp;E LT (GRS EG Trans/Dist Rate)</t>
  </si>
  <si>
    <t>Other Inputs/F8</t>
  </si>
  <si>
    <t>SoCalGas (G-BTS4 Interruptible)</t>
  </si>
  <si>
    <t>Other Inputs/F9</t>
  </si>
  <si>
    <t>SoCalGas (GT-TLS)</t>
  </si>
  <si>
    <t>%</t>
  </si>
  <si>
    <t>Other Inputs/F12</t>
  </si>
  <si>
    <t>PG&amp;E ROR</t>
  </si>
  <si>
    <t>Application 22-04-008</t>
  </si>
  <si>
    <t>DECISION ADDRESSING TEST YEAR 2023 COST OF CAPITAL FOR PACIFIC GAS AND ELECTRIC COMPANY, SOUTHERN CALIFORNIA
EDISON, SOUTHERN CALIFORNIA GAS COMPANY, AND SAN DIEGO GAS &amp; ELECTRIC COMPANY</t>
  </si>
  <si>
    <t>https://docs.cpuc.ca.gov/PublishedDocs/Published/G000/M500/K015/500015851.PDF</t>
  </si>
  <si>
    <t>https://www.cpuc.ca.gov/industries-and-topics/electrical-energy/electric-costs/cost-of-capital</t>
  </si>
  <si>
    <t>Other Inputs/F13</t>
  </si>
  <si>
    <t>SCE ROR</t>
  </si>
  <si>
    <t>Other Inputs/F14</t>
  </si>
  <si>
    <t>SDG&amp;E ROR</t>
  </si>
  <si>
    <t>$/tonne</t>
  </si>
  <si>
    <t>Emissions/D19</t>
  </si>
  <si>
    <t>CO2 average cost per metric ton ($2020), residential electrification</t>
  </si>
  <si>
    <t>California Building Decarbonization Assessment</t>
  </si>
  <si>
    <t>Figure 15, Page 56</t>
  </si>
  <si>
    <t>https://www.energy.ca.gov/publications/2021/california-building-decarbonization-assessment</t>
  </si>
  <si>
    <t>AGIC/D42 and below</t>
  </si>
  <si>
    <t>PGE Gas Infrastructure Cost Estimates</t>
  </si>
  <si>
    <t>PACIFIC GAS AND ELECTRIC COMPANY Integrated Distributed Energy Resources OIR Rulemaking 14-10-003 Data Response</t>
  </si>
  <si>
    <t>Page 6</t>
  </si>
  <si>
    <t>PGE</t>
  </si>
  <si>
    <t>IntegratedDistributedEnergyResourcesOIR_DR_ED_006-Q001Supp02.pdf</t>
  </si>
  <si>
    <t>AGIC/E42 and below</t>
  </si>
  <si>
    <t>SoCalGas Gas Infrastructure Cost Estimates</t>
  </si>
  <si>
    <t>Page 3</t>
  </si>
  <si>
    <t>SoCalGas</t>
  </si>
  <si>
    <t>SoCalGas_SDGE_Response_ED AGIC Data Request-01_04.01.2024.pdf</t>
  </si>
  <si>
    <t>AGIC/F42 and below</t>
  </si>
  <si>
    <t>SDGE Gas Infrastructure Cost Estimates</t>
  </si>
  <si>
    <t>SOUTHERN CALIFORNIA GAS COMPANY AND SAN DIEGO GAS AND ELECTRIC COMPANY DATA REQUEST FROM ENERGY DIVISION (ED) Additional Information Requested (2024 ACC UPDATE NATURAL GAS DATA  REQUEST)-0</t>
  </si>
  <si>
    <t>Page 5</t>
  </si>
  <si>
    <t>Other Inputs, IRP Inputs section</t>
  </si>
  <si>
    <t>IOU discount rates</t>
  </si>
  <si>
    <t>Emissions/D6 to D12</t>
  </si>
  <si>
    <t>NOx Emission Rates (Large Boiler, Small Boiler, Residential Furnace, with and without controls)</t>
  </si>
  <si>
    <t>EPA AP-42: Compilation of Air Emissions Factors from Stationary Sources, Section 1.4 Natural Gas Combustion</t>
  </si>
  <si>
    <t>https://www.epa.gov/sites/default/files/2020-09/documents/1.4_natural_gas_combustion.pdf</t>
  </si>
  <si>
    <t>https://www.epa.gov/air-emissions-factors-and-quantification/ap-42-compilation-air-emissions-factors-stationary-sources</t>
  </si>
  <si>
    <t>Emissions/E6 to E12</t>
  </si>
  <si>
    <t>CO2 Emission Rates (Large Boiler, Small Boiler, Residential Furnace, with and without controls)</t>
  </si>
  <si>
    <t>Emissions/C17 to G17</t>
  </si>
  <si>
    <t>NOx Emission Costs (2019 to 2023)</t>
  </si>
  <si>
    <t>Emissions/C20 to G20</t>
  </si>
  <si>
    <t>PM10 Emission Costs (2019 to 2023). Not used but provided for user's own calculations</t>
  </si>
  <si>
    <t>T&amp;D/rows 5 to 13</t>
  </si>
  <si>
    <t>SoCalGas and SDG&amp;E  Gas Transportation Marginal Cost estimates</t>
  </si>
  <si>
    <t>SOUTHERN CALIFORNIA GAS COMPANY AND SAN DIEGO GAS AND ELECTRIC COMPANY DATA REQUEST FROM ENERGY DIVISION (ED) 2024 ACC UPDATE NATURAL GAS DATA  REQUEST</t>
  </si>
  <si>
    <t>SoCalGas_SDGE_Response_ED AGIC Data Request (03.01.2024).pdf</t>
  </si>
  <si>
    <t>T&amp;D/rows 21 to 32</t>
  </si>
  <si>
    <t>SoCalGas and SDG&amp;E Natural Gas Customer Shape</t>
  </si>
  <si>
    <t>Page 7</t>
  </si>
  <si>
    <t>IEPR Gas Prices Real</t>
  </si>
  <si>
    <t>GDP Deflator</t>
  </si>
  <si>
    <t>2020 $/therm</t>
  </si>
  <si>
    <t>Emissions/D23</t>
  </si>
  <si>
    <t>Quantifying the Air Quality Impacts of Decarbonization and Distributed Energy Programs in California</t>
  </si>
  <si>
    <t>Executive Summary, table summarizing air quality impacts, pg. 8</t>
  </si>
  <si>
    <t>Energy and Environmental Economics, Advanced Power and Energy Program</t>
  </si>
  <si>
    <t>https://www.ethree.com/wp-content/uploads/2022/01/CPUC-Air-Quality-Report-FINAL.pdf</t>
  </si>
  <si>
    <t>2020 $/tonne</t>
  </si>
  <si>
    <t>Emissions/D25 - D26</t>
  </si>
  <si>
    <t>Social Cost of Carbon Base &amp; High (2020 $/tonne)</t>
  </si>
  <si>
    <t>Technical Support Document: Social Cost of Carbon, Methane, and Nitrous Oxide Interim Estimates under Executive Order 13990</t>
  </si>
  <si>
    <t>Table ES-1: Social Cost of CO2, pg. 5</t>
  </si>
  <si>
    <t>Interagency Working Group on Social Cost of Greenhouse Gases, United States Government</t>
  </si>
  <si>
    <t>https://www.whitehouse.gov/wp-content/uploads/2021/02/TechnicalSupportDocument_SocialCostofCarbonMethaneNitrousOxide.pdf</t>
  </si>
  <si>
    <t>Methane Leakage/D5</t>
  </si>
  <si>
    <t>Upstream - In-State Methane Leakage</t>
  </si>
  <si>
    <t>October 2019 IDER Staff Proposal. See also detailed description in documentation</t>
  </si>
  <si>
    <t>Methane Leakage/E5</t>
  </si>
  <si>
    <t>Upstream - National Average Methane Leakage</t>
  </si>
  <si>
    <t>Decision Adopting the Societal Cost Test</t>
  </si>
  <si>
    <t>Summary, pg. 2</t>
  </si>
  <si>
    <t>CPUC</t>
  </si>
  <si>
    <t>R.22-11-013</t>
  </si>
  <si>
    <t>Dashboard Lists</t>
  </si>
  <si>
    <t>Cost Tests</t>
  </si>
  <si>
    <t>SCC</t>
  </si>
  <si>
    <t>Base</t>
  </si>
  <si>
    <t>Emissions Control Options</t>
  </si>
  <si>
    <t>Large and Small Boilers</t>
  </si>
  <si>
    <t>AGIC Inputs</t>
  </si>
  <si>
    <t>Including/Excluding</t>
  </si>
  <si>
    <t>Including</t>
  </si>
  <si>
    <t>Excluding</t>
  </si>
  <si>
    <t>Tab</t>
  </si>
  <si>
    <t>First Cell</t>
  </si>
  <si>
    <t>Update</t>
  </si>
  <si>
    <t>Version 1b</t>
  </si>
  <si>
    <t xml:space="preserve">Emissions </t>
  </si>
  <si>
    <t>B20</t>
  </si>
  <si>
    <t>Updated CO2 $/ton to match GHG adder in 2020 ACC Electric Model v1b</t>
  </si>
  <si>
    <t>Updated tab colors to be consistent with Electric Model</t>
  </si>
  <si>
    <t>Cover</t>
  </si>
  <si>
    <t>Reorganized and renamed first tab to "Cover" to be consistent with Electric Model</t>
  </si>
  <si>
    <t>Version 1c</t>
  </si>
  <si>
    <t>User Dashboard</t>
  </si>
  <si>
    <t>J8</t>
  </si>
  <si>
    <t>Update WACC to 7.68% to be consistent with Electric ACC</t>
  </si>
  <si>
    <t>Methane Leakage</t>
  </si>
  <si>
    <t>C8</t>
  </si>
  <si>
    <t>Update default value to 20-year consistent with Decision</t>
  </si>
  <si>
    <t>Version 1a</t>
  </si>
  <si>
    <t>IEPR Gas Prices Nominal</t>
  </si>
  <si>
    <t>Updated transporation rate and burnertip prices</t>
  </si>
  <si>
    <t>SNL Gas Prices</t>
  </si>
  <si>
    <t>Updated gas forwards from SNL</t>
  </si>
  <si>
    <t>Updated CO2 $/ton to match GHG adder in 2021 ACC Electric Model v1a</t>
  </si>
  <si>
    <t>Updated default value to 100-year</t>
  </si>
  <si>
    <t>Removed the "SNL Gas Prices" tab</t>
  </si>
  <si>
    <t>Commodity</t>
  </si>
  <si>
    <t>G4</t>
  </si>
  <si>
    <t>Updated to stop referencing SNL Gas Prices</t>
  </si>
  <si>
    <t>Updated gas forecasts using IEPR real $ and used consistent methodology with IRP to split up transportation rate and gas forecasts</t>
  </si>
  <si>
    <t>Other Inputs</t>
  </si>
  <si>
    <t>G5</t>
  </si>
  <si>
    <t>Corrected the transporation rate basis year to be 2018 based on the CEC model: June_2020_Model_CEC-200-2014-008_ADA.xlsm</t>
  </si>
  <si>
    <t>E243</t>
  </si>
  <si>
    <t xml:space="preserve">Deleted values after year 2036 as there's no data available </t>
  </si>
  <si>
    <t>C20</t>
  </si>
  <si>
    <t>Natural Gas GHG Interim Value based on the costs of building electrification from the CEC report: https://www.energy.ca.gov/publications/2021/california-building-decarbonization-assessment</t>
  </si>
  <si>
    <t>AGIC</t>
  </si>
  <si>
    <t>Created a new tab to calculate Avoided Gas Infrastructure Costs</t>
  </si>
  <si>
    <t>Updated PG&amp;E discount rate to reflect updated 2021 value. 2021 value was updated after initial release: see https://www.pge.com/tariffs/assets/pdf/adviceletter/GAS_4275-G.pdf</t>
  </si>
  <si>
    <t>Version v1b</t>
  </si>
  <si>
    <t>F6</t>
  </si>
  <si>
    <t>Updated the unit of gas emission rates from Tons/therm to Tonne/therm</t>
  </si>
  <si>
    <t>Multiple tabs</t>
  </si>
  <si>
    <t>Changed all units from Ton to Tonne</t>
  </si>
  <si>
    <t>A22</t>
  </si>
  <si>
    <t>Deleted comment about the GHG value being a societal value, which is incorrect</t>
  </si>
  <si>
    <t>E42</t>
  </si>
  <si>
    <t>Fixed bug that incorrectly updated calculations when selecting different Levelization options</t>
  </si>
  <si>
    <t>C4</t>
  </si>
  <si>
    <t>Updated formatting of user inputs to provide better clarity and align with Electric Model formatting</t>
  </si>
  <si>
    <t>C14</t>
  </si>
  <si>
    <t>Updated Nominal Discount Rate and Inflation Rate to pull from IRP inputs instead of using User input values</t>
  </si>
  <si>
    <t>C18</t>
  </si>
  <si>
    <t>Added Inflation and IOU discount rates from IRP to use throughout workbook</t>
  </si>
  <si>
    <t>B29</t>
  </si>
  <si>
    <t>Updated legend to specify that purple cells indicate User Input instead of Dropdown Menu Input</t>
  </si>
  <si>
    <t>G6</t>
  </si>
  <si>
    <t>Updated gas price forecasts</t>
  </si>
  <si>
    <t>D41</t>
  </si>
  <si>
    <t>Updated AGIC values based on IOU data request</t>
  </si>
  <si>
    <t>D5</t>
  </si>
  <si>
    <t>Updated gas transportation marginal costs based on IOU data request</t>
  </si>
  <si>
    <t>C31</t>
  </si>
  <si>
    <t>Updated gas transportation allocation based on IOU data request</t>
  </si>
  <si>
    <t>Output</t>
  </si>
  <si>
    <t>Fixed bug that incorrectly referenced utility and usage in labels</t>
  </si>
  <si>
    <t>C5-13</t>
  </si>
  <si>
    <t>PG&amp;E BB</t>
  </si>
  <si>
    <t>Residential behind-the-meter methane leakage rate</t>
  </si>
  <si>
    <t>Residential behind-the-meter methane leakage adder</t>
  </si>
  <si>
    <t>D24</t>
  </si>
  <si>
    <t>Scale AQA based on the ratio between the appliance NOx emission rates and the maximum NOx emission rates</t>
  </si>
  <si>
    <t>D32</t>
  </si>
  <si>
    <t>Set NOx emission costs to zero during SCT because AQA already includes NOx emission impact</t>
  </si>
  <si>
    <t>Update PG&amp;E BB gas commodity rates</t>
  </si>
  <si>
    <t>C13</t>
  </si>
  <si>
    <t>Changed IOU WACC from SCE to SoCalGas</t>
  </si>
  <si>
    <t>D17</t>
  </si>
  <si>
    <t>Updated SCT discount rate to be 5.06% nominal (equivalent to 3% real)</t>
  </si>
  <si>
    <t>Difference in molar mass between CH4 and CO2</t>
  </si>
  <si>
    <t>Row 32</t>
  </si>
  <si>
    <t>Updated NOx values to pull from the TRC NOx values provided above when the TRC is selected (rather than pulling from the SCT Air Quality Adder values)</t>
  </si>
  <si>
    <t>Updated methane leakage adder to properly reflect any change in the user-selected GWP time horizon</t>
  </si>
  <si>
    <t>Real Discount Rate</t>
  </si>
  <si>
    <t>D18</t>
  </si>
  <si>
    <t>Updated Nominal Discount Rate table to more clearly indicate how the Nominal SCT Discount rate is calculated using the Real SCT Discount rate as an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</si>
</sst>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0.00_);[Red]\(&quot;$&quot;#,##0.00\)"/>
    <numFmt numFmtId="44" formatCode="_(&quot;$&quot;* #,##0.00_);_(&quot;$&quot;* \(#,##0.00\);_(&quot;$&quot;* &quot;-&quot;??_);_(@_)"/>
    <numFmt numFmtId="43" formatCode="_(* #,##0.00_);_(* \(#,##0.00\);_(* &quot;-&quot;??_);_(@_)"/>
    <numFmt numFmtId="164" formatCode="0.0000%"/>
    <numFmt numFmtId="165" formatCode="_(* #,##0_);_(* \(#,##0\);_(* &quot;-&quot;??_);_(@_)"/>
    <numFmt numFmtId="166" formatCode="0.0000"/>
    <numFmt numFmtId="167" formatCode="_(&quot;$&quot;* #,##0.00000_);_(&quot;$&quot;* \(#,##0.00000\);_(&quot;$&quot;* &quot;-&quot;??_);_(@_)"/>
    <numFmt numFmtId="168" formatCode="_(&quot;$&quot;* #,##0_);_(&quot;$&quot;* \(#,##0\);_(&quot;$&quot;* &quot;-&quot;??_);_(@_)"/>
    <numFmt numFmtId="169" formatCode="&quot;$&quot;#,##0.00"/>
    <numFmt numFmtId="170" formatCode="mmmm"/>
    <numFmt numFmtId="171" formatCode="0.0%"/>
    <numFmt numFmtId="172" formatCode="[$-409]mmm\-yy;@"/>
    <numFmt numFmtId="173" formatCode="_(&quot;$&quot;* #,##0.000_);_(&quot;$&quot;* \(#,##0.000\);_(&quot;$&quot;* &quot;-&quot;???_);_(@_)"/>
    <numFmt numFmtId="174" formatCode="0.000"/>
    <numFmt numFmtId="175" formatCode="0.000000"/>
    <numFmt numFmtId="176" formatCode="[$-409]mmmm\ d\,\ yyyy;@"/>
    <numFmt numFmtId="177" formatCode="0.00000"/>
    <numFmt numFmtId="178" formatCode="&quot;$&quot;#,##0.000"/>
  </numFmts>
  <fonts count="77">
    <font>
      <sz val="10"/>
      <name val="Calibri"/>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b/>
      <sz val="10"/>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name val="Helv"/>
    </font>
    <font>
      <sz val="7"/>
      <name val="Small Fonts"/>
      <family val="2"/>
    </font>
    <font>
      <sz val="7"/>
      <name val="Small Fonts"/>
      <family val="2"/>
    </font>
    <font>
      <sz val="10"/>
      <name val="Arial"/>
      <family val="2"/>
    </font>
    <font>
      <sz val="11"/>
      <color theme="0"/>
      <name val="Calibri"/>
      <family val="2"/>
      <scheme val="minor"/>
    </font>
    <font>
      <sz val="11"/>
      <name val="Calibri"/>
      <family val="2"/>
    </font>
    <font>
      <b/>
      <sz val="11"/>
      <color theme="0"/>
      <name val="Calibri"/>
      <family val="2"/>
      <scheme val="minor"/>
    </font>
    <font>
      <sz val="11"/>
      <name val="Calibri"/>
      <family val="2"/>
      <scheme val="minor"/>
    </font>
    <font>
      <b/>
      <sz val="11"/>
      <name val="Calibri"/>
      <family val="2"/>
    </font>
    <font>
      <sz val="11"/>
      <color rgb="FFFF0000"/>
      <name val="Calibri"/>
      <family val="2"/>
    </font>
    <font>
      <sz val="8"/>
      <name val="Calibri"/>
      <family val="2"/>
    </font>
    <font>
      <u/>
      <sz val="10"/>
      <color theme="10"/>
      <name val="Calibri"/>
      <family val="2"/>
    </font>
    <font>
      <sz val="11"/>
      <color rgb="FF000000"/>
      <name val="Arial"/>
      <family val="2"/>
    </font>
    <font>
      <sz val="11"/>
      <color theme="0" tint="-0.34998626667073579"/>
      <name val="Calibri"/>
      <family val="2"/>
      <scheme val="minor"/>
    </font>
    <font>
      <b/>
      <sz val="11"/>
      <color theme="1"/>
      <name val="Calibri"/>
      <family val="2"/>
      <scheme val="minor"/>
    </font>
    <font>
      <i/>
      <sz val="11"/>
      <color theme="0" tint="-0.249977111117893"/>
      <name val="Calibri"/>
      <family val="2"/>
      <scheme val="minor"/>
    </font>
    <font>
      <sz val="11"/>
      <color theme="0"/>
      <name val="Calibri"/>
      <family val="2"/>
    </font>
    <font>
      <sz val="11"/>
      <color rgb="FF000000"/>
      <name val="Calibri"/>
      <family val="2"/>
      <scheme val="minor"/>
    </font>
    <font>
      <i/>
      <sz val="11"/>
      <name val="Calibri"/>
      <family val="2"/>
      <scheme val="minor"/>
    </font>
    <font>
      <sz val="11"/>
      <color theme="2"/>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indexed="8"/>
      <name val="Calibri"/>
      <family val="2"/>
    </font>
    <font>
      <b/>
      <sz val="16"/>
      <color theme="1"/>
      <name val="Calibri"/>
      <family val="2"/>
      <scheme val="minor"/>
    </font>
    <font>
      <u/>
      <sz val="11"/>
      <color theme="10"/>
      <name val="Calibri"/>
      <family val="2"/>
      <scheme val="minor"/>
    </font>
    <font>
      <sz val="10"/>
      <color rgb="FF000000"/>
      <name val="ITC Bookman"/>
    </font>
    <font>
      <b/>
      <sz val="20"/>
      <name val="Calibri"/>
      <family val="2"/>
      <scheme val="minor"/>
    </font>
    <font>
      <b/>
      <sz val="12"/>
      <name val="Calibri"/>
      <family val="2"/>
      <scheme val="minor"/>
    </font>
    <font>
      <i/>
      <sz val="11"/>
      <name val="Calibri"/>
      <family val="2"/>
    </font>
    <font>
      <i/>
      <sz val="11"/>
      <color theme="0"/>
      <name val="Calibri"/>
      <family val="2"/>
      <scheme val="minor"/>
    </font>
    <font>
      <b/>
      <sz val="11"/>
      <name val="Calibri"/>
      <family val="2"/>
      <scheme val="minor"/>
    </font>
    <font>
      <b/>
      <u/>
      <sz val="11"/>
      <color indexed="9"/>
      <name val="Calibri"/>
      <family val="2"/>
      <scheme val="minor"/>
    </font>
    <font>
      <b/>
      <u/>
      <sz val="11"/>
      <color rgb="FFFF0000"/>
      <name val="Calibri"/>
      <family val="2"/>
      <scheme val="minor"/>
    </font>
    <font>
      <b/>
      <sz val="11"/>
      <color rgb="FFFF0000"/>
      <name val="Calibri"/>
      <family val="2"/>
      <scheme val="minor"/>
    </font>
    <font>
      <b/>
      <i/>
      <sz val="11"/>
      <name val="Calibri"/>
      <family val="2"/>
      <scheme val="minor"/>
    </font>
    <font>
      <sz val="11"/>
      <color theme="4" tint="0.39997558519241921"/>
      <name val="Calibri"/>
      <family val="2"/>
    </font>
    <font>
      <b/>
      <sz val="11"/>
      <color theme="0"/>
      <name val="Calibri"/>
      <family val="2"/>
    </font>
    <font>
      <i/>
      <sz val="11"/>
      <color theme="0" tint="-0.499984740745262"/>
      <name val="Calibri"/>
      <family val="2"/>
      <scheme val="minor"/>
    </font>
    <font>
      <sz val="10"/>
      <color theme="0"/>
      <name val="Calibri"/>
      <family val="2"/>
    </font>
    <font>
      <i/>
      <sz val="11"/>
      <color theme="1"/>
      <name val="Calibri"/>
      <family val="2"/>
    </font>
    <font>
      <i/>
      <sz val="11"/>
      <color theme="1"/>
      <name val="Calibri"/>
      <family val="2"/>
      <scheme val="minor"/>
    </font>
    <font>
      <b/>
      <u/>
      <sz val="11"/>
      <color indexed="9"/>
      <name val="Arial"/>
      <family val="2"/>
    </font>
    <font>
      <sz val="11"/>
      <color theme="1"/>
      <name val="Calibri"/>
      <family val="2"/>
    </font>
    <font>
      <i/>
      <sz val="11"/>
      <color theme="0" tint="-0.499984740745262"/>
      <name val="Calibri"/>
      <family val="2"/>
    </font>
    <font>
      <i/>
      <sz val="11"/>
      <color rgb="FFFF0000"/>
      <name val="Calibri"/>
      <family val="2"/>
      <scheme val="minor"/>
    </font>
    <font>
      <sz val="11"/>
      <name val="Calibri"/>
      <family val="2"/>
      <scheme val="minor"/>
    </font>
    <font>
      <b/>
      <sz val="11"/>
      <color theme="0"/>
      <name val="Calibri"/>
      <family val="2"/>
      <scheme val="minor"/>
    </font>
    <font>
      <b/>
      <sz val="11"/>
      <color rgb="FF000000"/>
      <name val="Calibri"/>
      <family val="2"/>
      <scheme val="minor"/>
    </font>
    <font>
      <b/>
      <sz val="11"/>
      <color theme="1"/>
      <name val="Calibri"/>
      <family val="2"/>
    </font>
    <font>
      <b/>
      <i/>
      <sz val="11"/>
      <color theme="1"/>
      <name val="Calibri"/>
      <family val="2"/>
    </font>
    <font>
      <b/>
      <sz val="10"/>
      <name val="Calibri"/>
      <family val="2"/>
    </font>
    <font>
      <sz val="11"/>
      <color theme="2" tint="-0.499984740745262"/>
      <name val="Calibri"/>
      <family val="2"/>
      <scheme val="minor"/>
    </font>
    <font>
      <b/>
      <sz val="11"/>
      <color indexed="9"/>
      <name val="Calibri"/>
      <family val="2"/>
      <scheme val="minor"/>
    </font>
    <font>
      <sz val="11"/>
      <color rgb="FF0000FF"/>
      <name val="Calibri"/>
      <family val="2"/>
      <scheme val="minor"/>
    </font>
    <font>
      <i/>
      <sz val="10"/>
      <name val="Calibri"/>
      <family val="2"/>
    </font>
  </fonts>
  <fills count="50">
    <fill>
      <patternFill patternType="none"/>
    </fill>
    <fill>
      <patternFill patternType="gray125"/>
    </fill>
    <fill>
      <patternFill patternType="solid">
        <fgColor rgb="FFFFFFCC"/>
      </patternFill>
    </fill>
    <fill>
      <patternFill patternType="solid">
        <fgColor theme="4"/>
      </patternFill>
    </fill>
    <fill>
      <patternFill patternType="solid">
        <fgColor theme="5" tint="0.59999389629810485"/>
        <bgColor indexed="65"/>
      </patternFill>
    </fill>
    <fill>
      <patternFill patternType="solid">
        <fgColor theme="5" tint="0.79998168889431442"/>
        <bgColor indexed="65"/>
      </patternFill>
    </fill>
    <fill>
      <patternFill patternType="solid">
        <fgColor theme="4"/>
        <bgColor indexed="64"/>
      </patternFill>
    </fill>
    <fill>
      <patternFill patternType="solid">
        <fgColor theme="0" tint="-0.14999847407452621"/>
        <bgColor indexed="64"/>
      </patternFill>
    </fill>
    <fill>
      <patternFill patternType="solid">
        <fgColor rgb="FF005070"/>
        <bgColor indexed="64"/>
      </patternFill>
    </fill>
    <fill>
      <patternFill patternType="solid">
        <fgColor indexed="4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99CCFF"/>
        <bgColor indexed="64"/>
      </patternFill>
    </fill>
    <fill>
      <patternFill patternType="solid">
        <fgColor theme="5" tint="0.59999389629810485"/>
        <bgColor indexed="64"/>
      </patternFill>
    </fill>
    <fill>
      <patternFill patternType="solid">
        <fgColor indexed="42"/>
        <bgColor indexed="64"/>
      </patternFill>
    </fill>
    <fill>
      <patternFill patternType="solid">
        <fgColor rgb="FFF2F2F2"/>
        <bgColor indexed="64"/>
      </patternFill>
    </fill>
    <fill>
      <patternFill patternType="solid">
        <fgColor rgb="FF057DB3"/>
        <bgColor indexed="64"/>
      </patternFill>
    </fill>
    <fill>
      <patternFill patternType="solid">
        <fgColor rgb="FFFFFF99"/>
        <bgColor indexed="64"/>
      </patternFill>
    </fill>
    <fill>
      <patternFill patternType="solid">
        <fgColor theme="0"/>
        <bgColor indexed="64"/>
      </patternFill>
    </fill>
    <fill>
      <patternFill patternType="solid">
        <fgColor theme="4"/>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3" tint="0.79998168889431442"/>
        <bgColor indexed="64"/>
      </patternFill>
    </fill>
    <fill>
      <patternFill patternType="solid">
        <fgColor theme="1" tint="0.34998626667073579"/>
        <bgColor indexed="64"/>
      </patternFill>
    </fill>
  </fills>
  <borders count="45">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7F7F7F"/>
      </left>
      <right style="thin">
        <color rgb="FF7F7F7F"/>
      </right>
      <top/>
      <bottom style="thin">
        <color rgb="FF7F7F7F"/>
      </bottom>
      <diagonal/>
    </border>
    <border>
      <left style="thin">
        <color rgb="FF3F3F3F"/>
      </left>
      <right style="thin">
        <color rgb="FF3F3F3F"/>
      </right>
      <top/>
      <bottom style="thin">
        <color rgb="FF3F3F3F"/>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79">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5" fillId="0" borderId="0" applyFont="0" applyFill="0" applyBorder="0" applyAlignment="0" applyProtection="0"/>
    <xf numFmtId="0" fontId="16" fillId="0" borderId="0"/>
    <xf numFmtId="0" fontId="11" fillId="0" borderId="0" applyNumberFormat="0" applyFill="0" applyBorder="0" applyAlignment="0" applyProtection="0"/>
    <xf numFmtId="0" fontId="5" fillId="0" borderId="0" applyNumberFormat="0" applyFill="0" applyBorder="0" applyAlignment="0" applyProtection="0"/>
    <xf numFmtId="8" fontId="11" fillId="0" borderId="0" applyFont="0" applyFill="0" applyBorder="0" applyAlignment="0" applyProtection="0"/>
    <xf numFmtId="37" fontId="12" fillId="0" borderId="0"/>
    <xf numFmtId="0" fontId="4" fillId="0" borderId="0" applyNumberFormat="0" applyFill="0" applyBorder="0" applyAlignment="0" applyProtection="0"/>
    <xf numFmtId="37" fontId="13" fillId="0" borderId="0"/>
    <xf numFmtId="0" fontId="14" fillId="2" borderId="10" applyNumberFormat="0" applyFont="0" applyAlignment="0" applyProtection="0"/>
    <xf numFmtId="0" fontId="15" fillId="3" borderId="0" applyNumberFormat="0" applyBorder="0" applyAlignment="0" applyProtection="0"/>
    <xf numFmtId="0" fontId="4" fillId="0" borderId="0"/>
    <xf numFmtId="0" fontId="22" fillId="0" borderId="0" applyNumberFormat="0" applyFill="0" applyBorder="0" applyAlignment="0" applyProtection="0"/>
    <xf numFmtId="0" fontId="3" fillId="0" borderId="0"/>
    <xf numFmtId="0" fontId="31" fillId="0" borderId="0" applyNumberFormat="0" applyFill="0" applyBorder="0" applyAlignment="0" applyProtection="0"/>
    <xf numFmtId="0" fontId="32" fillId="0" borderId="28" applyNumberFormat="0" applyFill="0" applyAlignment="0" applyProtection="0"/>
    <xf numFmtId="0" fontId="33" fillId="0" borderId="29" applyNumberFormat="0" applyFill="0" applyAlignment="0" applyProtection="0"/>
    <xf numFmtId="0" fontId="34" fillId="0" borderId="30"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1" applyNumberFormat="0" applyAlignment="0" applyProtection="0"/>
    <xf numFmtId="0" fontId="39" fillId="24" borderId="32" applyNumberFormat="0" applyAlignment="0" applyProtection="0"/>
    <xf numFmtId="0" fontId="40" fillId="24" borderId="31" applyNumberFormat="0" applyAlignment="0" applyProtection="0"/>
    <xf numFmtId="0" fontId="41" fillId="0" borderId="33" applyNumberFormat="0" applyFill="0" applyAlignment="0" applyProtection="0"/>
    <xf numFmtId="0" fontId="17" fillId="25" borderId="34" applyNumberFormat="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25" fillId="0" borderId="35" applyNumberFormat="0" applyFill="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5" fillId="29" borderId="0" applyNumberFormat="0" applyBorder="0" applyAlignment="0" applyProtection="0"/>
    <xf numFmtId="0" fontId="2" fillId="30" borderId="0" applyNumberFormat="0" applyBorder="0" applyAlignment="0" applyProtection="0"/>
    <xf numFmtId="0" fontId="15"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5"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15"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15"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75" fontId="4" fillId="0" borderId="0">
      <alignment horizontal="left" wrapText="1"/>
    </xf>
    <xf numFmtId="0" fontId="2" fillId="0" borderId="0"/>
    <xf numFmtId="43" fontId="4" fillId="0" borderId="0" applyFont="0" applyFill="0" applyBorder="0" applyAlignment="0" applyProtection="0"/>
    <xf numFmtId="9" fontId="4" fillId="0" borderId="0" applyFont="0" applyFill="0" applyBorder="0" applyAlignment="0" applyProtection="0"/>
    <xf numFmtId="43" fontId="44" fillId="0" borderId="0" applyFont="0" applyFill="0" applyBorder="0" applyAlignment="0" applyProtection="0"/>
    <xf numFmtId="9" fontId="44" fillId="0" borderId="0" applyFont="0" applyFill="0" applyBorder="0" applyAlignment="0" applyProtection="0"/>
    <xf numFmtId="9" fontId="4" fillId="0" borderId="0" applyFont="0" applyFill="0" applyBorder="0" applyAlignment="0" applyProtection="0"/>
    <xf numFmtId="0" fontId="17" fillId="6" borderId="36" applyNumberFormat="0" applyBorder="0">
      <alignment horizontal="center" vertical="center" wrapText="1"/>
    </xf>
    <xf numFmtId="0" fontId="9" fillId="47" borderId="37" applyNumberFormat="0">
      <alignment horizontal="left" vertical="center"/>
    </xf>
    <xf numFmtId="10" fontId="10" fillId="0" borderId="0" applyFont="0" applyFill="0" applyBorder="0" applyAlignment="0" applyProtection="0"/>
    <xf numFmtId="0" fontId="45" fillId="0" borderId="16"/>
    <xf numFmtId="43" fontId="10" fillId="0" borderId="0" applyFont="0" applyFill="0" applyBorder="0" applyAlignment="0" applyProtection="0"/>
    <xf numFmtId="9" fontId="10" fillId="0" borderId="0" applyFont="0" applyFill="0" applyBorder="0" applyAlignment="0" applyProtection="0"/>
    <xf numFmtId="0" fontId="10" fillId="0" borderId="0"/>
    <xf numFmtId="0" fontId="4" fillId="0" borderId="0"/>
    <xf numFmtId="0" fontId="46" fillId="0" borderId="0" applyNumberFormat="0" applyFill="0" applyBorder="0" applyAlignment="0" applyProtection="0"/>
    <xf numFmtId="0" fontId="47" fillId="0" borderId="0"/>
    <xf numFmtId="0" fontId="2" fillId="2" borderId="10" applyNumberFormat="0" applyFont="0" applyAlignment="0" applyProtection="0"/>
    <xf numFmtId="0" fontId="2" fillId="5" borderId="0" applyNumberFormat="0" applyBorder="0" applyAlignment="0" applyProtection="0"/>
    <xf numFmtId="0" fontId="2" fillId="4" borderId="0" applyNumberFormat="0" applyBorder="0" applyAlignment="0" applyProtection="0"/>
    <xf numFmtId="0" fontId="18" fillId="10" borderId="37" applyNumberFormat="0" applyAlignment="0"/>
  </cellStyleXfs>
  <cellXfs count="379">
    <xf numFmtId="0" fontId="0" fillId="0" borderId="0" xfId="0"/>
    <xf numFmtId="0" fontId="16" fillId="0" borderId="0" xfId="0" applyFont="1"/>
    <xf numFmtId="0" fontId="18" fillId="0" borderId="0" xfId="0" applyFont="1" applyAlignment="1">
      <alignment horizontal="center"/>
    </xf>
    <xf numFmtId="0" fontId="17" fillId="3" borderId="0" xfId="13" applyFont="1"/>
    <xf numFmtId="0" fontId="15" fillId="6" borderId="0" xfId="0" applyFont="1" applyFill="1" applyAlignment="1">
      <alignment horizontal="center"/>
    </xf>
    <xf numFmtId="0" fontId="20" fillId="0" borderId="0" xfId="0" applyFont="1"/>
    <xf numFmtId="0" fontId="0" fillId="0" borderId="0" xfId="0" applyAlignment="1">
      <alignment wrapText="1"/>
    </xf>
    <xf numFmtId="0" fontId="23" fillId="0" borderId="0" xfId="0" applyFont="1"/>
    <xf numFmtId="0" fontId="15" fillId="0" borderId="0" xfId="13" applyFill="1"/>
    <xf numFmtId="0" fontId="24" fillId="0" borderId="0" xfId="13" applyFont="1" applyFill="1" applyAlignment="1">
      <alignment vertical="center"/>
    </xf>
    <xf numFmtId="0" fontId="15" fillId="16" borderId="0" xfId="0" applyFont="1" applyFill="1" applyAlignment="1">
      <alignment horizontal="center"/>
    </xf>
    <xf numFmtId="0" fontId="17" fillId="6" borderId="0" xfId="16" applyFont="1" applyFill="1"/>
    <xf numFmtId="0" fontId="15" fillId="6" borderId="0" xfId="16" applyFont="1" applyFill="1"/>
    <xf numFmtId="0" fontId="3" fillId="0" borderId="0" xfId="16"/>
    <xf numFmtId="0" fontId="18" fillId="0" borderId="7" xfId="16" applyFont="1" applyBorder="1" applyAlignment="1">
      <alignment horizontal="right"/>
    </xf>
    <xf numFmtId="0" fontId="18" fillId="18" borderId="7" xfId="16" applyFont="1" applyFill="1" applyBorder="1" applyAlignment="1">
      <alignment wrapText="1"/>
    </xf>
    <xf numFmtId="0" fontId="17" fillId="6" borderId="7" xfId="16" applyFont="1" applyFill="1" applyBorder="1"/>
    <xf numFmtId="0" fontId="26" fillId="0" borderId="0" xfId="16" applyFont="1"/>
    <xf numFmtId="0" fontId="3" fillId="0" borderId="0" xfId="16" applyAlignment="1">
      <alignment horizontal="center"/>
    </xf>
    <xf numFmtId="8" fontId="18" fillId="17" borderId="7" xfId="2" applyNumberFormat="1" applyFont="1" applyFill="1" applyBorder="1"/>
    <xf numFmtId="0" fontId="15" fillId="6" borderId="8" xfId="0" applyFont="1" applyFill="1" applyBorder="1" applyAlignment="1">
      <alignment horizontal="center"/>
    </xf>
    <xf numFmtId="0" fontId="15" fillId="6" borderId="15" xfId="0" applyFont="1" applyFill="1" applyBorder="1" applyAlignment="1">
      <alignment horizontal="center"/>
    </xf>
    <xf numFmtId="8" fontId="18" fillId="17" borderId="23" xfId="2" applyNumberFormat="1" applyFont="1" applyFill="1" applyBorder="1"/>
    <xf numFmtId="8" fontId="18" fillId="17" borderId="26" xfId="2" applyNumberFormat="1" applyFont="1" applyFill="1" applyBorder="1"/>
    <xf numFmtId="0" fontId="15" fillId="6" borderId="0" xfId="0" applyFont="1" applyFill="1" applyAlignment="1">
      <alignment horizontal="left"/>
    </xf>
    <xf numFmtId="0" fontId="15" fillId="6" borderId="0" xfId="0" applyFont="1" applyFill="1" applyAlignment="1">
      <alignment horizontal="center" wrapText="1"/>
    </xf>
    <xf numFmtId="0" fontId="28" fillId="0" borderId="0" xfId="0" applyFont="1"/>
    <xf numFmtId="0" fontId="15" fillId="6" borderId="7" xfId="0" applyFont="1" applyFill="1" applyBorder="1" applyAlignment="1">
      <alignment horizontal="center"/>
    </xf>
    <xf numFmtId="0" fontId="15" fillId="19" borderId="7" xfId="0" applyFont="1" applyFill="1" applyBorder="1" applyAlignment="1">
      <alignment horizontal="center"/>
    </xf>
    <xf numFmtId="0" fontId="15" fillId="3" borderId="0" xfId="13" applyAlignment="1">
      <alignment horizontal="center" vertical="center"/>
    </xf>
    <xf numFmtId="0" fontId="16" fillId="0" borderId="0" xfId="0" applyFont="1" applyAlignment="1">
      <alignment horizontal="right"/>
    </xf>
    <xf numFmtId="0" fontId="30" fillId="0" borderId="0" xfId="0" applyFont="1" applyAlignment="1">
      <alignment horizontal="center"/>
    </xf>
    <xf numFmtId="0" fontId="48" fillId="18" borderId="0" xfId="0" applyFont="1" applyFill="1"/>
    <xf numFmtId="0" fontId="8" fillId="18" borderId="0" xfId="0" applyFont="1" applyFill="1"/>
    <xf numFmtId="0" fontId="49" fillId="18" borderId="0" xfId="0" applyFont="1" applyFill="1" applyAlignment="1">
      <alignment horizontal="left"/>
    </xf>
    <xf numFmtId="0" fontId="7" fillId="18" borderId="0" xfId="0" applyFont="1" applyFill="1" applyAlignment="1">
      <alignment horizontal="left"/>
    </xf>
    <xf numFmtId="0" fontId="0" fillId="18" borderId="0" xfId="0" applyFill="1"/>
    <xf numFmtId="0" fontId="19" fillId="0" borderId="0" xfId="0" applyFont="1"/>
    <xf numFmtId="0" fontId="16" fillId="0" borderId="7" xfId="0" applyFont="1" applyBorder="1"/>
    <xf numFmtId="168" fontId="18" fillId="14" borderId="7" xfId="0" applyNumberFormat="1" applyFont="1" applyFill="1" applyBorder="1" applyAlignment="1">
      <alignment horizontal="left"/>
    </xf>
    <xf numFmtId="44" fontId="16" fillId="0" borderId="7" xfId="2" applyFont="1" applyBorder="1"/>
    <xf numFmtId="0" fontId="50" fillId="0" borderId="0" xfId="0" applyFont="1"/>
    <xf numFmtId="0" fontId="17" fillId="0" borderId="0" xfId="13" applyFont="1" applyFill="1"/>
    <xf numFmtId="0" fontId="18" fillId="0" borderId="0" xfId="13" applyFont="1" applyFill="1"/>
    <xf numFmtId="0" fontId="29" fillId="0" borderId="0" xfId="13" applyFont="1" applyFill="1"/>
    <xf numFmtId="0" fontId="51" fillId="0" borderId="0" xfId="13" applyFont="1" applyFill="1"/>
    <xf numFmtId="44" fontId="16" fillId="0" borderId="0" xfId="0" applyNumberFormat="1" applyFont="1"/>
    <xf numFmtId="169" fontId="18" fillId="14" borderId="27" xfId="0" applyNumberFormat="1" applyFont="1" applyFill="1" applyBorder="1" applyAlignment="1">
      <alignment horizontal="left"/>
    </xf>
    <xf numFmtId="168" fontId="52" fillId="14" borderId="9" xfId="0" applyNumberFormat="1" applyFont="1" applyFill="1" applyBorder="1" applyAlignment="1">
      <alignment horizontal="left"/>
    </xf>
    <xf numFmtId="0" fontId="15" fillId="3" borderId="0" xfId="13" applyBorder="1" applyAlignment="1">
      <alignment vertical="center"/>
    </xf>
    <xf numFmtId="0" fontId="16" fillId="0" borderId="27" xfId="0" applyFont="1" applyBorder="1"/>
    <xf numFmtId="0" fontId="16" fillId="0" borderId="9" xfId="0" applyFont="1" applyBorder="1"/>
    <xf numFmtId="0" fontId="52" fillId="0" borderId="0" xfId="0" applyFont="1" applyAlignment="1">
      <alignment horizontal="right" vertical="center"/>
    </xf>
    <xf numFmtId="0" fontId="18" fillId="0" borderId="0" xfId="0" applyFont="1" applyAlignment="1">
      <alignment horizontal="right"/>
    </xf>
    <xf numFmtId="0" fontId="53" fillId="0" borderId="0" xfId="0" applyFont="1" applyAlignment="1">
      <alignment vertical="center"/>
    </xf>
    <xf numFmtId="0" fontId="54" fillId="0" borderId="0" xfId="0" applyFont="1" applyAlignment="1">
      <alignment vertical="center"/>
    </xf>
    <xf numFmtId="0" fontId="18" fillId="0" borderId="0" xfId="0" applyFont="1"/>
    <xf numFmtId="0" fontId="42" fillId="0" borderId="0" xfId="0" applyFont="1"/>
    <xf numFmtId="0" fontId="55" fillId="18" borderId="7" xfId="0" applyFont="1" applyFill="1" applyBorder="1" applyAlignment="1">
      <alignment vertical="center"/>
    </xf>
    <xf numFmtId="0" fontId="17" fillId="3" borderId="0" xfId="13" applyFont="1" applyAlignment="1">
      <alignment vertical="center"/>
    </xf>
    <xf numFmtId="0" fontId="18" fillId="17" borderId="7" xfId="0" applyFont="1" applyFill="1" applyBorder="1"/>
    <xf numFmtId="0" fontId="15" fillId="3" borderId="0" xfId="13" applyAlignment="1">
      <alignment vertical="center"/>
    </xf>
    <xf numFmtId="9" fontId="18" fillId="0" borderId="0" xfId="3" applyFont="1" applyFill="1" applyBorder="1"/>
    <xf numFmtId="0" fontId="15" fillId="3" borderId="0" xfId="13" applyAlignment="1">
      <alignment horizontal="right" vertical="center" wrapText="1"/>
    </xf>
    <xf numFmtId="0" fontId="15" fillId="3" borderId="0" xfId="13" applyAlignment="1">
      <alignment horizontal="center" wrapText="1"/>
    </xf>
    <xf numFmtId="0" fontId="52" fillId="0" borderId="0" xfId="5" applyFont="1"/>
    <xf numFmtId="0" fontId="18" fillId="0" borderId="0" xfId="0" applyFont="1" applyAlignment="1">
      <alignment horizontal="right" wrapText="1"/>
    </xf>
    <xf numFmtId="0" fontId="42" fillId="0" borderId="0" xfId="0" applyFont="1" applyAlignment="1">
      <alignment horizontal="right" wrapText="1"/>
    </xf>
    <xf numFmtId="0" fontId="18" fillId="0" borderId="0" xfId="0" applyFont="1" applyAlignment="1">
      <alignment horizontal="left"/>
    </xf>
    <xf numFmtId="166" fontId="18" fillId="0" borderId="0" xfId="0" applyNumberFormat="1" applyFont="1" applyAlignment="1">
      <alignment horizontal="center"/>
    </xf>
    <xf numFmtId="164" fontId="18" fillId="0" borderId="0" xfId="3" applyNumberFormat="1" applyFont="1" applyFill="1" applyBorder="1" applyAlignment="1">
      <alignment horizontal="center"/>
    </xf>
    <xf numFmtId="0" fontId="18" fillId="0" borderId="0" xfId="0" applyFont="1" applyAlignment="1">
      <alignment horizontal="left" indent="1"/>
    </xf>
    <xf numFmtId="44" fontId="18" fillId="0" borderId="0" xfId="2" applyFont="1" applyFill="1"/>
    <xf numFmtId="169" fontId="18" fillId="14" borderId="7" xfId="0" applyNumberFormat="1" applyFont="1" applyFill="1" applyBorder="1" applyAlignment="1">
      <alignment horizontal="center"/>
    </xf>
    <xf numFmtId="0" fontId="52" fillId="0" borderId="0" xfId="0" applyFont="1"/>
    <xf numFmtId="0" fontId="18" fillId="0" borderId="0" xfId="0" applyFont="1" applyAlignment="1">
      <alignment wrapText="1"/>
    </xf>
    <xf numFmtId="43" fontId="18" fillId="0" borderId="0" xfId="0" applyNumberFormat="1" applyFont="1"/>
    <xf numFmtId="169" fontId="18" fillId="0" borderId="0" xfId="0" applyNumberFormat="1" applyFont="1"/>
    <xf numFmtId="167" fontId="18" fillId="0" borderId="0" xfId="0" applyNumberFormat="1" applyFont="1"/>
    <xf numFmtId="0" fontId="56" fillId="0" borderId="0" xfId="1" applyNumberFormat="1" applyFont="1" applyFill="1" applyBorder="1"/>
    <xf numFmtId="0" fontId="18" fillId="11" borderId="7" xfId="0" applyFont="1" applyFill="1" applyBorder="1"/>
    <xf numFmtId="0" fontId="50" fillId="0" borderId="0" xfId="5" applyFont="1"/>
    <xf numFmtId="0" fontId="52" fillId="0" borderId="0" xfId="0" applyFont="1" applyAlignment="1">
      <alignment horizontal="left"/>
    </xf>
    <xf numFmtId="0" fontId="29" fillId="0" borderId="0" xfId="0" applyFont="1"/>
    <xf numFmtId="0" fontId="19" fillId="48" borderId="0" xfId="0" applyFont="1" applyFill="1"/>
    <xf numFmtId="14" fontId="16" fillId="0" borderId="0" xfId="0" applyNumberFormat="1" applyFont="1"/>
    <xf numFmtId="0" fontId="57" fillId="0" borderId="0" xfId="0" applyFont="1"/>
    <xf numFmtId="0" fontId="58" fillId="6" borderId="0" xfId="0" applyFont="1" applyFill="1" applyAlignment="1">
      <alignment horizontal="left"/>
    </xf>
    <xf numFmtId="0" fontId="58" fillId="6" borderId="0" xfId="0" applyFont="1" applyFill="1"/>
    <xf numFmtId="171" fontId="18" fillId="0" borderId="0" xfId="3" applyNumberFormat="1" applyFont="1" applyFill="1" applyBorder="1" applyAlignment="1">
      <alignment horizontal="center" vertical="center"/>
    </xf>
    <xf numFmtId="8" fontId="18" fillId="0" borderId="0" xfId="0" applyNumberFormat="1" applyFont="1"/>
    <xf numFmtId="0" fontId="59" fillId="0" borderId="0" xfId="0" applyFont="1"/>
    <xf numFmtId="0" fontId="59" fillId="0" borderId="0" xfId="0" applyFont="1" applyAlignment="1">
      <alignment horizontal="left"/>
    </xf>
    <xf numFmtId="0" fontId="19" fillId="0" borderId="7" xfId="0" applyFont="1" applyBorder="1"/>
    <xf numFmtId="0" fontId="16" fillId="0" borderId="2" xfId="0" applyFont="1" applyBorder="1"/>
    <xf numFmtId="0" fontId="16" fillId="0" borderId="3" xfId="0" applyFont="1" applyBorder="1"/>
    <xf numFmtId="0" fontId="19" fillId="0" borderId="27" xfId="0" applyFont="1" applyBorder="1"/>
    <xf numFmtId="0" fontId="16" fillId="0" borderId="40" xfId="0" applyFont="1" applyBorder="1"/>
    <xf numFmtId="0" fontId="16" fillId="0" borderId="41" xfId="0" applyFont="1" applyBorder="1"/>
    <xf numFmtId="9" fontId="18" fillId="24" borderId="39" xfId="26" applyNumberFormat="1" applyFont="1" applyBorder="1"/>
    <xf numFmtId="0" fontId="15" fillId="3" borderId="7" xfId="13" applyBorder="1" applyAlignment="1">
      <alignment horizontal="center" vertical="center" wrapText="1"/>
    </xf>
    <xf numFmtId="0" fontId="17" fillId="3" borderId="7" xfId="13" applyFont="1" applyBorder="1" applyAlignment="1">
      <alignment horizontal="center" vertical="center" wrapText="1"/>
    </xf>
    <xf numFmtId="0" fontId="27" fillId="0" borderId="0" xfId="0" applyFont="1" applyAlignment="1">
      <alignment wrapText="1"/>
    </xf>
    <xf numFmtId="0" fontId="60" fillId="0" borderId="0" xfId="0" applyFont="1" applyAlignment="1">
      <alignment wrapText="1"/>
    </xf>
    <xf numFmtId="0" fontId="59" fillId="0" borderId="0" xfId="13" applyFont="1" applyFill="1" applyAlignment="1">
      <alignment horizontal="left" wrapText="1"/>
    </xf>
    <xf numFmtId="0" fontId="59" fillId="0" borderId="0" xfId="13" applyFont="1" applyFill="1" applyAlignment="1">
      <alignment horizontal="left"/>
    </xf>
    <xf numFmtId="0" fontId="16" fillId="0" borderId="0" xfId="5"/>
    <xf numFmtId="0" fontId="58" fillId="3" borderId="0" xfId="13" applyFont="1"/>
    <xf numFmtId="0" fontId="59" fillId="0" borderId="0" xfId="0" applyFont="1" applyAlignment="1">
      <alignment wrapText="1"/>
    </xf>
    <xf numFmtId="165" fontId="59" fillId="0" borderId="0" xfId="1" applyNumberFormat="1" applyFont="1" applyFill="1" applyBorder="1"/>
    <xf numFmtId="0" fontId="17" fillId="3" borderId="0" xfId="13" applyFont="1" applyAlignment="1"/>
    <xf numFmtId="0" fontId="16" fillId="0" borderId="23" xfId="0" applyFont="1" applyBorder="1" applyAlignment="1">
      <alignment horizontal="left"/>
    </xf>
    <xf numFmtId="0" fontId="16" fillId="0" borderId="7" xfId="0" applyFont="1" applyBorder="1" applyAlignment="1">
      <alignment horizontal="left"/>
    </xf>
    <xf numFmtId="0" fontId="16" fillId="0" borderId="26" xfId="0" applyFont="1" applyBorder="1" applyAlignment="1">
      <alignment horizontal="left"/>
    </xf>
    <xf numFmtId="171" fontId="18" fillId="9" borderId="17" xfId="3" applyNumberFormat="1" applyFont="1" applyFill="1" applyBorder="1" applyAlignment="1">
      <alignment horizontal="center"/>
    </xf>
    <xf numFmtId="171" fontId="18" fillId="9" borderId="4" xfId="3" applyNumberFormat="1" applyFont="1" applyFill="1" applyBorder="1" applyAlignment="1">
      <alignment horizontal="center"/>
    </xf>
    <xf numFmtId="171" fontId="18" fillId="9" borderId="18" xfId="3" applyNumberFormat="1" applyFont="1" applyFill="1" applyBorder="1" applyAlignment="1">
      <alignment horizontal="center"/>
    </xf>
    <xf numFmtId="171" fontId="18" fillId="9" borderId="19" xfId="3" applyNumberFormat="1" applyFont="1" applyFill="1" applyBorder="1" applyAlignment="1">
      <alignment horizontal="center"/>
    </xf>
    <xf numFmtId="171" fontId="18" fillId="9" borderId="20" xfId="3" applyNumberFormat="1" applyFont="1" applyFill="1" applyBorder="1" applyAlignment="1">
      <alignment horizontal="center"/>
    </xf>
    <xf numFmtId="171" fontId="18" fillId="9" borderId="21" xfId="3" applyNumberFormat="1" applyFont="1" applyFill="1" applyBorder="1" applyAlignment="1">
      <alignment horizontal="center"/>
    </xf>
    <xf numFmtId="9" fontId="18" fillId="9" borderId="11" xfId="3" applyFont="1" applyFill="1" applyBorder="1" applyAlignment="1">
      <alignment horizontal="center"/>
    </xf>
    <xf numFmtId="9" fontId="18" fillId="9" borderId="4" xfId="3" applyFont="1" applyFill="1" applyBorder="1" applyAlignment="1">
      <alignment horizontal="center"/>
    </xf>
    <xf numFmtId="9" fontId="18" fillId="9" borderId="7" xfId="3" applyFont="1" applyFill="1" applyBorder="1" applyAlignment="1">
      <alignment horizontal="center"/>
    </xf>
    <xf numFmtId="9" fontId="18" fillId="9" borderId="9" xfId="3" applyFont="1" applyFill="1" applyBorder="1" applyAlignment="1">
      <alignment horizontal="center"/>
    </xf>
    <xf numFmtId="9" fontId="16" fillId="0" borderId="0" xfId="3" applyFont="1" applyBorder="1" applyAlignment="1">
      <alignment horizontal="center"/>
    </xf>
    <xf numFmtId="0" fontId="50" fillId="0" borderId="0" xfId="0" applyFont="1" applyAlignment="1">
      <alignment horizontal="right"/>
    </xf>
    <xf numFmtId="0" fontId="15" fillId="0" borderId="0" xfId="13" applyFill="1" applyAlignment="1">
      <alignment vertical="center"/>
    </xf>
    <xf numFmtId="0" fontId="25" fillId="0" borderId="0" xfId="0" applyFont="1"/>
    <xf numFmtId="170" fontId="18" fillId="0" borderId="0" xfId="5" applyNumberFormat="1" applyFont="1"/>
    <xf numFmtId="0" fontId="62" fillId="0" borderId="0" xfId="0" applyFont="1" applyAlignment="1">
      <alignment horizontal="left" indent="1"/>
    </xf>
    <xf numFmtId="0" fontId="1" fillId="0" borderId="0" xfId="0" applyFont="1"/>
    <xf numFmtId="8" fontId="1" fillId="0" borderId="0" xfId="0" applyNumberFormat="1" applyFont="1"/>
    <xf numFmtId="0" fontId="15" fillId="0" borderId="0" xfId="13" applyFill="1" applyAlignment="1">
      <alignment horizontal="centerContinuous" wrapText="1"/>
    </xf>
    <xf numFmtId="2" fontId="16" fillId="0" borderId="0" xfId="0" applyNumberFormat="1" applyFont="1"/>
    <xf numFmtId="8" fontId="16" fillId="0" borderId="0" xfId="0" applyNumberFormat="1" applyFont="1"/>
    <xf numFmtId="9" fontId="16" fillId="0" borderId="0" xfId="3" applyFont="1" applyFill="1"/>
    <xf numFmtId="0" fontId="64" fillId="0" borderId="0" xfId="0" applyFont="1" applyAlignment="1">
      <alignment horizontal="right"/>
    </xf>
    <xf numFmtId="169" fontId="16" fillId="0" borderId="0" xfId="0" applyNumberFormat="1" applyFont="1"/>
    <xf numFmtId="0" fontId="16" fillId="7" borderId="7" xfId="0" applyFont="1" applyFill="1" applyBorder="1"/>
    <xf numFmtId="0" fontId="63" fillId="0" borderId="0" xfId="0" applyFont="1" applyAlignment="1">
      <alignment vertical="center"/>
    </xf>
    <xf numFmtId="0" fontId="65" fillId="0" borderId="0" xfId="0" applyFont="1"/>
    <xf numFmtId="0" fontId="19" fillId="0" borderId="0" xfId="0" applyFont="1" applyAlignment="1">
      <alignment horizontal="center" vertical="center" wrapText="1"/>
    </xf>
    <xf numFmtId="0" fontId="16" fillId="0" borderId="0" xfId="0" applyFont="1" applyAlignment="1">
      <alignment vertical="center" wrapText="1"/>
    </xf>
    <xf numFmtId="0" fontId="18" fillId="0" borderId="7" xfId="0" applyFont="1" applyBorder="1" applyAlignment="1">
      <alignment horizontal="right"/>
    </xf>
    <xf numFmtId="0" fontId="18" fillId="0" borderId="11" xfId="0" applyFont="1" applyBorder="1" applyAlignment="1">
      <alignment horizontal="right"/>
    </xf>
    <xf numFmtId="0" fontId="18" fillId="0" borderId="40" xfId="0" applyFont="1" applyBorder="1" applyAlignment="1">
      <alignment horizontal="right"/>
    </xf>
    <xf numFmtId="0" fontId="18" fillId="0" borderId="41" xfId="0" applyFont="1" applyBorder="1" applyAlignment="1">
      <alignment horizontal="right"/>
    </xf>
    <xf numFmtId="0" fontId="18" fillId="0" borderId="0" xfId="5" applyFont="1"/>
    <xf numFmtId="0" fontId="18" fillId="11" borderId="7" xfId="0" applyFont="1" applyFill="1" applyBorder="1" applyAlignment="1">
      <alignment horizontal="center" vertical="center"/>
    </xf>
    <xf numFmtId="0" fontId="18" fillId="11" borderId="7" xfId="0" applyFont="1" applyFill="1" applyBorder="1" applyAlignment="1">
      <alignment horizontal="center"/>
    </xf>
    <xf numFmtId="1" fontId="18" fillId="11" borderId="7" xfId="3" applyNumberFormat="1" applyFont="1" applyFill="1" applyBorder="1" applyAlignment="1">
      <alignment horizontal="center" vertical="center"/>
    </xf>
    <xf numFmtId="0" fontId="19" fillId="0" borderId="0" xfId="0" applyFont="1" applyAlignment="1">
      <alignment horizontal="center"/>
    </xf>
    <xf numFmtId="0" fontId="16" fillId="0" borderId="7" xfId="0" applyFont="1" applyBorder="1" applyAlignment="1">
      <alignment horizontal="left" vertical="top"/>
    </xf>
    <xf numFmtId="44" fontId="16" fillId="17" borderId="7" xfId="2" applyFont="1" applyFill="1" applyBorder="1"/>
    <xf numFmtId="0" fontId="18" fillId="11" borderId="38" xfId="25" applyFont="1" applyFill="1" applyBorder="1"/>
    <xf numFmtId="0" fontId="18" fillId="11" borderId="31" xfId="25" applyFont="1" applyFill="1"/>
    <xf numFmtId="0" fontId="18" fillId="11" borderId="7" xfId="25" applyFont="1" applyFill="1" applyBorder="1"/>
    <xf numFmtId="174" fontId="18" fillId="10" borderId="7" xfId="0" applyNumberFormat="1" applyFont="1" applyFill="1" applyBorder="1" applyAlignment="1">
      <alignment horizontal="center"/>
    </xf>
    <xf numFmtId="177" fontId="18" fillId="10" borderId="7" xfId="0" applyNumberFormat="1" applyFont="1" applyFill="1" applyBorder="1" applyAlignment="1">
      <alignment horizontal="center"/>
    </xf>
    <xf numFmtId="0" fontId="3" fillId="11" borderId="7" xfId="16" applyFill="1" applyBorder="1" applyAlignment="1">
      <alignment horizontal="center"/>
    </xf>
    <xf numFmtId="8" fontId="18" fillId="10" borderId="0" xfId="2" applyNumberFormat="1" applyFont="1" applyFill="1" applyBorder="1"/>
    <xf numFmtId="8" fontId="18" fillId="10" borderId="1" xfId="2" applyNumberFormat="1" applyFont="1" applyFill="1" applyBorder="1"/>
    <xf numFmtId="8" fontId="18" fillId="10" borderId="42" xfId="2" applyNumberFormat="1" applyFont="1" applyFill="1" applyBorder="1"/>
    <xf numFmtId="8" fontId="18" fillId="10" borderId="2" xfId="2" applyNumberFormat="1" applyFont="1" applyFill="1" applyBorder="1"/>
    <xf numFmtId="8" fontId="18" fillId="10" borderId="3" xfId="2" applyNumberFormat="1" applyFont="1" applyFill="1" applyBorder="1"/>
    <xf numFmtId="8" fontId="18" fillId="10" borderId="43" xfId="2" applyNumberFormat="1" applyFont="1" applyFill="1" applyBorder="1"/>
    <xf numFmtId="171" fontId="16" fillId="10" borderId="7" xfId="3" applyNumberFormat="1" applyFont="1" applyFill="1" applyBorder="1" applyAlignment="1">
      <alignment horizontal="center"/>
    </xf>
    <xf numFmtId="9" fontId="16" fillId="10" borderId="7" xfId="3" applyFont="1" applyFill="1" applyBorder="1" applyAlignment="1">
      <alignment horizontal="center"/>
    </xf>
    <xf numFmtId="0" fontId="18" fillId="0" borderId="7" xfId="0" applyFont="1" applyBorder="1" applyAlignment="1">
      <alignment horizontal="center"/>
    </xf>
    <xf numFmtId="44" fontId="16" fillId="17" borderId="9" xfId="2" applyFont="1" applyFill="1" applyBorder="1"/>
    <xf numFmtId="0" fontId="27" fillId="0" borderId="0" xfId="0" applyFont="1" applyAlignment="1">
      <alignment horizontal="center" wrapText="1"/>
    </xf>
    <xf numFmtId="173" fontId="16" fillId="0" borderId="0" xfId="0" applyNumberFormat="1" applyFont="1"/>
    <xf numFmtId="8" fontId="16" fillId="10" borderId="1" xfId="2" applyNumberFormat="1" applyFont="1" applyFill="1" applyBorder="1"/>
    <xf numFmtId="0" fontId="15" fillId="6" borderId="42" xfId="0" applyFont="1" applyFill="1" applyBorder="1" applyAlignment="1">
      <alignment horizontal="center"/>
    </xf>
    <xf numFmtId="8" fontId="16" fillId="10" borderId="0" xfId="2" applyNumberFormat="1" applyFont="1" applyFill="1" applyBorder="1"/>
    <xf numFmtId="8" fontId="16" fillId="10" borderId="42" xfId="2" applyNumberFormat="1" applyFont="1" applyFill="1" applyBorder="1"/>
    <xf numFmtId="8" fontId="16" fillId="10" borderId="2" xfId="2" applyNumberFormat="1" applyFont="1" applyFill="1" applyBorder="1"/>
    <xf numFmtId="8" fontId="16" fillId="10" borderId="3" xfId="2" applyNumberFormat="1" applyFont="1" applyFill="1" applyBorder="1"/>
    <xf numFmtId="8" fontId="16" fillId="10" borderId="43" xfId="2" applyNumberFormat="1" applyFont="1" applyFill="1" applyBorder="1"/>
    <xf numFmtId="0" fontId="67" fillId="0" borderId="0" xfId="0" applyFont="1"/>
    <xf numFmtId="8" fontId="16" fillId="10" borderId="0" xfId="2" applyNumberFormat="1" applyFont="1" applyFill="1"/>
    <xf numFmtId="0" fontId="68" fillId="3" borderId="0" xfId="13" applyFont="1" applyAlignment="1">
      <alignment vertical="center"/>
    </xf>
    <xf numFmtId="165" fontId="18" fillId="0" borderId="0" xfId="1" applyNumberFormat="1" applyFont="1"/>
    <xf numFmtId="171" fontId="55" fillId="0" borderId="0" xfId="3" applyNumberFormat="1" applyFont="1"/>
    <xf numFmtId="174" fontId="18" fillId="17" borderId="7" xfId="0" applyNumberFormat="1" applyFont="1" applyFill="1" applyBorder="1" applyAlignment="1">
      <alignment horizontal="center"/>
    </xf>
    <xf numFmtId="1" fontId="18" fillId="17" borderId="7" xfId="0" applyNumberFormat="1" applyFont="1" applyFill="1" applyBorder="1" applyAlignment="1">
      <alignment horizontal="center"/>
    </xf>
    <xf numFmtId="169" fontId="18" fillId="17" borderId="7" xfId="2" applyNumberFormat="1" applyFont="1" applyFill="1" applyBorder="1" applyAlignment="1">
      <alignment horizontal="center" vertical="center"/>
    </xf>
    <xf numFmtId="169" fontId="16" fillId="17" borderId="7" xfId="2" applyNumberFormat="1" applyFont="1" applyFill="1" applyBorder="1" applyAlignment="1">
      <alignment horizontal="center" vertical="center"/>
    </xf>
    <xf numFmtId="0" fontId="64" fillId="0" borderId="0" xfId="0" applyFont="1"/>
    <xf numFmtId="0" fontId="61" fillId="0" borderId="0" xfId="0" applyFont="1"/>
    <xf numFmtId="174" fontId="58" fillId="6" borderId="0" xfId="0" applyNumberFormat="1" applyFont="1" applyFill="1"/>
    <xf numFmtId="0" fontId="69" fillId="0" borderId="0" xfId="0" applyFont="1"/>
    <xf numFmtId="0" fontId="58" fillId="0" borderId="0" xfId="0" applyFont="1" applyAlignment="1">
      <alignment horizontal="center" wrapText="1"/>
    </xf>
    <xf numFmtId="0" fontId="70" fillId="0" borderId="0" xfId="0" applyFont="1"/>
    <xf numFmtId="0" fontId="71" fillId="0" borderId="0" xfId="0" applyFont="1"/>
    <xf numFmtId="0" fontId="72" fillId="0" borderId="0" xfId="0" applyFont="1"/>
    <xf numFmtId="0" fontId="16" fillId="17" borderId="7" xfId="12" applyFont="1" applyFill="1" applyBorder="1" applyAlignment="1">
      <alignment horizontal="center" vertical="center"/>
    </xf>
    <xf numFmtId="10" fontId="18" fillId="17" borderId="11" xfId="0" applyNumberFormat="1" applyFont="1" applyFill="1" applyBorder="1"/>
    <xf numFmtId="10" fontId="18" fillId="17" borderId="40" xfId="0" applyNumberFormat="1" applyFont="1" applyFill="1" applyBorder="1"/>
    <xf numFmtId="10" fontId="18" fillId="17" borderId="41" xfId="0" applyNumberFormat="1" applyFont="1" applyFill="1" applyBorder="1"/>
    <xf numFmtId="10" fontId="18" fillId="17" borderId="7" xfId="0" applyNumberFormat="1" applyFont="1" applyFill="1" applyBorder="1"/>
    <xf numFmtId="10" fontId="18" fillId="17" borderId="7" xfId="3" applyNumberFormat="1" applyFont="1" applyFill="1" applyBorder="1"/>
    <xf numFmtId="44" fontId="18" fillId="0" borderId="0" xfId="2" applyFont="1"/>
    <xf numFmtId="0" fontId="66" fillId="0" borderId="0" xfId="0" applyFont="1"/>
    <xf numFmtId="178" fontId="18" fillId="0" borderId="0" xfId="0" applyNumberFormat="1" applyFont="1"/>
    <xf numFmtId="169" fontId="18" fillId="17" borderId="9" xfId="2" applyNumberFormat="1" applyFont="1" applyFill="1" applyBorder="1" applyAlignment="1">
      <alignment horizontal="center" vertical="center"/>
    </xf>
    <xf numFmtId="0" fontId="18" fillId="0" borderId="11" xfId="0" applyFont="1" applyBorder="1"/>
    <xf numFmtId="0" fontId="18" fillId="0" borderId="40" xfId="0" applyFont="1" applyBorder="1"/>
    <xf numFmtId="0" fontId="18" fillId="0" borderId="41" xfId="0" applyFont="1" applyBorder="1"/>
    <xf numFmtId="0" fontId="58" fillId="6" borderId="42" xfId="0" applyFont="1" applyFill="1" applyBorder="1" applyAlignment="1">
      <alignment horizontal="center" vertical="center"/>
    </xf>
    <xf numFmtId="0" fontId="58" fillId="6" borderId="3" xfId="0" applyFont="1" applyFill="1" applyBorder="1" applyAlignment="1">
      <alignment horizontal="center" vertical="center"/>
    </xf>
    <xf numFmtId="0" fontId="58" fillId="6" borderId="43" xfId="0" applyFont="1" applyFill="1" applyBorder="1" applyAlignment="1">
      <alignment horizontal="center" vertical="center"/>
    </xf>
    <xf numFmtId="0" fontId="58" fillId="6" borderId="5" xfId="0" applyFont="1" applyFill="1" applyBorder="1" applyAlignment="1">
      <alignment horizontal="center" vertical="center"/>
    </xf>
    <xf numFmtId="172" fontId="16" fillId="0" borderId="0" xfId="0" applyNumberFormat="1" applyFont="1"/>
    <xf numFmtId="0" fontId="16" fillId="0" borderId="6" xfId="0" applyFont="1" applyBorder="1"/>
    <xf numFmtId="0" fontId="16" fillId="0" borderId="43" xfId="0" applyFont="1" applyBorder="1"/>
    <xf numFmtId="172" fontId="16" fillId="0" borderId="43" xfId="0" applyNumberFormat="1" applyFont="1" applyBorder="1"/>
    <xf numFmtId="0" fontId="58" fillId="6" borderId="1" xfId="0" applyFont="1" applyFill="1" applyBorder="1" applyAlignment="1">
      <alignment horizontal="center" vertical="center"/>
    </xf>
    <xf numFmtId="10" fontId="16" fillId="17" borderId="7" xfId="3" applyNumberFormat="1" applyFont="1" applyFill="1" applyBorder="1"/>
    <xf numFmtId="10" fontId="16" fillId="17" borderId="7" xfId="0" applyNumberFormat="1" applyFont="1" applyFill="1" applyBorder="1"/>
    <xf numFmtId="0" fontId="52" fillId="0" borderId="0" xfId="5" applyFont="1" applyAlignment="1">
      <alignment horizontal="center"/>
    </xf>
    <xf numFmtId="0" fontId="17" fillId="3" borderId="0" xfId="13" applyFont="1" applyBorder="1"/>
    <xf numFmtId="8" fontId="18" fillId="17" borderId="7" xfId="2" applyNumberFormat="1" applyFont="1" applyFill="1" applyBorder="1" applyAlignment="1">
      <alignment horizontal="center" vertical="center"/>
    </xf>
    <xf numFmtId="0" fontId="15" fillId="3" borderId="0" xfId="13" applyBorder="1" applyAlignment="1">
      <alignment horizontal="center"/>
    </xf>
    <xf numFmtId="0" fontId="17" fillId="3" borderId="7" xfId="13" applyFont="1" applyBorder="1" applyAlignment="1">
      <alignment horizontal="center" vertical="center"/>
    </xf>
    <xf numFmtId="0" fontId="17" fillId="6" borderId="0" xfId="0" applyFont="1" applyFill="1" applyAlignment="1">
      <alignment horizontal="left"/>
    </xf>
    <xf numFmtId="0" fontId="51" fillId="6" borderId="0" xfId="0" applyFont="1" applyFill="1" applyAlignment="1">
      <alignment horizontal="left"/>
    </xf>
    <xf numFmtId="10" fontId="18" fillId="17" borderId="7" xfId="0" applyNumberFormat="1" applyFont="1" applyFill="1" applyBorder="1" applyAlignment="1">
      <alignment horizontal="center"/>
    </xf>
    <xf numFmtId="169" fontId="42" fillId="0" borderId="0" xfId="0" applyNumberFormat="1" applyFont="1"/>
    <xf numFmtId="0" fontId="15" fillId="3" borderId="11" xfId="13" applyBorder="1" applyAlignment="1">
      <alignment horizontal="center" vertical="center"/>
    </xf>
    <xf numFmtId="0" fontId="52" fillId="0" borderId="40" xfId="0" applyFont="1" applyBorder="1"/>
    <xf numFmtId="0" fontId="52" fillId="0" borderId="41" xfId="0" applyFont="1" applyBorder="1"/>
    <xf numFmtId="0" fontId="15" fillId="3" borderId="27" xfId="13" applyBorder="1" applyAlignment="1">
      <alignment horizontal="center" vertical="center" wrapText="1"/>
    </xf>
    <xf numFmtId="0" fontId="15" fillId="3" borderId="44" xfId="13" applyBorder="1" applyAlignment="1">
      <alignment horizontal="center" vertical="center" wrapText="1"/>
    </xf>
    <xf numFmtId="0" fontId="15" fillId="3" borderId="9" xfId="13" applyBorder="1" applyAlignment="1">
      <alignment horizontal="center" vertical="center" wrapText="1"/>
    </xf>
    <xf numFmtId="2" fontId="18" fillId="10" borderId="7" xfId="0" applyNumberFormat="1" applyFont="1" applyFill="1" applyBorder="1" applyAlignment="1">
      <alignment horizontal="center"/>
    </xf>
    <xf numFmtId="0" fontId="73" fillId="0" borderId="7" xfId="0" applyFont="1" applyBorder="1" applyAlignment="1">
      <alignment horizontal="center"/>
    </xf>
    <xf numFmtId="0" fontId="58" fillId="6" borderId="1" xfId="0" applyFont="1" applyFill="1" applyBorder="1" applyAlignment="1">
      <alignment horizontal="center" vertical="center" wrapText="1"/>
    </xf>
    <xf numFmtId="0" fontId="58" fillId="6" borderId="42" xfId="0" applyFont="1" applyFill="1" applyBorder="1" applyAlignment="1">
      <alignment horizontal="center" vertical="center" wrapText="1"/>
    </xf>
    <xf numFmtId="169" fontId="18" fillId="10" borderId="7" xfId="2" applyNumberFormat="1" applyFont="1" applyFill="1" applyBorder="1" applyAlignment="1">
      <alignment horizontal="center" vertical="center"/>
    </xf>
    <xf numFmtId="9" fontId="18" fillId="0" borderId="7" xfId="3" applyFont="1" applyFill="1" applyBorder="1" applyAlignment="1">
      <alignment horizontal="right"/>
    </xf>
    <xf numFmtId="9" fontId="18" fillId="10" borderId="7" xfId="78" applyNumberFormat="1" applyBorder="1" applyAlignment="1">
      <alignment horizontal="center"/>
    </xf>
    <xf numFmtId="166" fontId="18" fillId="10" borderId="7" xfId="0" applyNumberFormat="1" applyFont="1" applyFill="1" applyBorder="1" applyAlignment="1">
      <alignment horizontal="center"/>
    </xf>
    <xf numFmtId="164" fontId="18" fillId="10" borderId="7" xfId="3" applyNumberFormat="1" applyFont="1" applyFill="1" applyBorder="1" applyAlignment="1">
      <alignment horizontal="center"/>
    </xf>
    <xf numFmtId="0" fontId="52" fillId="10" borderId="7" xfId="0" applyFont="1" applyFill="1" applyBorder="1" applyAlignment="1">
      <alignment vertical="center"/>
    </xf>
    <xf numFmtId="0" fontId="18" fillId="10" borderId="7" xfId="0" applyFont="1" applyFill="1" applyBorder="1" applyAlignment="1">
      <alignment horizontal="center" vertical="center"/>
    </xf>
    <xf numFmtId="10" fontId="18" fillId="10" borderId="7" xfId="0" applyNumberFormat="1" applyFont="1" applyFill="1" applyBorder="1" applyAlignment="1">
      <alignment horizontal="center" vertical="center"/>
    </xf>
    <xf numFmtId="2" fontId="18" fillId="10" borderId="7" xfId="3" applyNumberFormat="1" applyFont="1" applyFill="1" applyBorder="1" applyAlignment="1">
      <alignment horizontal="center"/>
    </xf>
    <xf numFmtId="171" fontId="18" fillId="10" borderId="7" xfId="3" applyNumberFormat="1" applyFont="1" applyFill="1" applyBorder="1" applyAlignment="1">
      <alignment horizontal="center" vertical="center"/>
    </xf>
    <xf numFmtId="8" fontId="18" fillId="10" borderId="7" xfId="2" applyNumberFormat="1" applyFont="1" applyFill="1" applyBorder="1" applyAlignment="1">
      <alignment horizontal="center" vertical="center"/>
    </xf>
    <xf numFmtId="169" fontId="16" fillId="10" borderId="7" xfId="2" applyNumberFormat="1" applyFont="1" applyFill="1" applyBorder="1" applyAlignment="1">
      <alignment horizontal="center" vertical="center"/>
    </xf>
    <xf numFmtId="169" fontId="16" fillId="10" borderId="9" xfId="2" applyNumberFormat="1" applyFont="1" applyFill="1" applyBorder="1" applyAlignment="1">
      <alignment horizontal="center" vertical="center"/>
    </xf>
    <xf numFmtId="0" fontId="18" fillId="0" borderId="1" xfId="0" applyFont="1" applyBorder="1"/>
    <xf numFmtId="0" fontId="18" fillId="0" borderId="3" xfId="0" applyFont="1" applyBorder="1"/>
    <xf numFmtId="8" fontId="18" fillId="17" borderId="9" xfId="2" applyNumberFormat="1" applyFont="1" applyFill="1" applyBorder="1" applyAlignment="1">
      <alignment horizontal="center" vertical="center"/>
    </xf>
    <xf numFmtId="8" fontId="18" fillId="10" borderId="9" xfId="2" applyNumberFormat="1" applyFont="1" applyFill="1" applyBorder="1" applyAlignment="1">
      <alignment horizontal="center" vertical="center"/>
    </xf>
    <xf numFmtId="0" fontId="18" fillId="0" borderId="27" xfId="0" applyFont="1" applyBorder="1"/>
    <xf numFmtId="8" fontId="18" fillId="10" borderId="23" xfId="2" applyNumberFormat="1" applyFont="1" applyFill="1" applyBorder="1"/>
    <xf numFmtId="8" fontId="18" fillId="10" borderId="7" xfId="2" applyNumberFormat="1" applyFont="1" applyFill="1" applyBorder="1"/>
    <xf numFmtId="8" fontId="18" fillId="10" borderId="26" xfId="2" applyNumberFormat="1" applyFont="1" applyFill="1" applyBorder="1"/>
    <xf numFmtId="10" fontId="18" fillId="10" borderId="7" xfId="16" applyNumberFormat="1" applyFont="1" applyFill="1" applyBorder="1" applyAlignment="1">
      <alignment horizontal="center" vertical="center"/>
    </xf>
    <xf numFmtId="0" fontId="3" fillId="18" borderId="7" xfId="16" applyFill="1" applyBorder="1" applyAlignment="1">
      <alignment horizontal="center"/>
    </xf>
    <xf numFmtId="0" fontId="25" fillId="18" borderId="7" xfId="16" applyFont="1" applyFill="1" applyBorder="1" applyAlignment="1">
      <alignment horizontal="center"/>
    </xf>
    <xf numFmtId="0" fontId="25" fillId="18" borderId="7" xfId="0" applyFont="1" applyFill="1" applyBorder="1" applyAlignment="1">
      <alignment horizontal="center"/>
    </xf>
    <xf numFmtId="2" fontId="3" fillId="10" borderId="7" xfId="16" applyNumberFormat="1" applyFill="1" applyBorder="1" applyAlignment="1">
      <alignment horizontal="center"/>
    </xf>
    <xf numFmtId="169" fontId="16" fillId="10" borderId="1" xfId="0" applyNumberFormat="1" applyFont="1" applyFill="1" applyBorder="1" applyAlignment="1">
      <alignment horizontal="center"/>
    </xf>
    <xf numFmtId="169" fontId="16" fillId="10" borderId="42" xfId="0" applyNumberFormat="1" applyFont="1" applyFill="1" applyBorder="1" applyAlignment="1">
      <alignment horizontal="center"/>
    </xf>
    <xf numFmtId="169" fontId="16" fillId="10" borderId="4" xfId="0" applyNumberFormat="1" applyFont="1" applyFill="1" applyBorder="1" applyAlignment="1">
      <alignment horizontal="center"/>
    </xf>
    <xf numFmtId="169" fontId="16" fillId="10" borderId="2" xfId="0" applyNumberFormat="1" applyFont="1" applyFill="1" applyBorder="1" applyAlignment="1">
      <alignment horizontal="center"/>
    </xf>
    <xf numFmtId="169" fontId="16" fillId="10" borderId="0" xfId="0" applyNumberFormat="1" applyFont="1" applyFill="1" applyAlignment="1">
      <alignment horizontal="center"/>
    </xf>
    <xf numFmtId="169" fontId="16" fillId="10" borderId="6" xfId="0" applyNumberFormat="1" applyFont="1" applyFill="1" applyBorder="1" applyAlignment="1">
      <alignment horizontal="center"/>
    </xf>
    <xf numFmtId="169" fontId="16" fillId="10" borderId="3" xfId="0" applyNumberFormat="1" applyFont="1" applyFill="1" applyBorder="1" applyAlignment="1">
      <alignment horizontal="center"/>
    </xf>
    <xf numFmtId="169" fontId="16" fillId="10" borderId="43" xfId="0" applyNumberFormat="1" applyFont="1" applyFill="1" applyBorder="1" applyAlignment="1">
      <alignment horizontal="center"/>
    </xf>
    <xf numFmtId="169" fontId="16" fillId="10" borderId="5" xfId="0" applyNumberFormat="1" applyFont="1" applyFill="1" applyBorder="1" applyAlignment="1">
      <alignment horizontal="center"/>
    </xf>
    <xf numFmtId="173" fontId="16" fillId="15" borderId="2" xfId="0" applyNumberFormat="1" applyFont="1" applyFill="1" applyBorder="1"/>
    <xf numFmtId="173" fontId="16" fillId="15" borderId="6" xfId="0" applyNumberFormat="1" applyFont="1" applyFill="1" applyBorder="1"/>
    <xf numFmtId="173" fontId="16" fillId="15" borderId="3" xfId="0" applyNumberFormat="1" applyFont="1" applyFill="1" applyBorder="1"/>
    <xf numFmtId="173" fontId="16" fillId="15" borderId="5" xfId="0" applyNumberFormat="1" applyFont="1" applyFill="1" applyBorder="1"/>
    <xf numFmtId="174" fontId="58" fillId="6" borderId="1" xfId="0" applyNumberFormat="1" applyFont="1" applyFill="1" applyBorder="1"/>
    <xf numFmtId="0" fontId="58" fillId="6" borderId="42" xfId="0" applyFont="1" applyFill="1" applyBorder="1"/>
    <xf numFmtId="0" fontId="58" fillId="6" borderId="4" xfId="0" applyFont="1" applyFill="1" applyBorder="1"/>
    <xf numFmtId="174" fontId="64" fillId="10" borderId="0" xfId="0" applyNumberFormat="1" applyFont="1" applyFill="1"/>
    <xf numFmtId="174" fontId="64" fillId="10" borderId="6" xfId="0" applyNumberFormat="1" applyFont="1" applyFill="1" applyBorder="1"/>
    <xf numFmtId="0" fontId="70" fillId="0" borderId="11" xfId="0" applyFont="1" applyBorder="1"/>
    <xf numFmtId="0" fontId="70" fillId="0" borderId="40" xfId="0" applyFont="1" applyBorder="1"/>
    <xf numFmtId="0" fontId="70" fillId="0" borderId="41" xfId="0" applyFont="1" applyBorder="1"/>
    <xf numFmtId="0" fontId="70" fillId="0" borderId="7" xfId="0" applyFont="1" applyBorder="1"/>
    <xf numFmtId="174" fontId="64" fillId="10" borderId="42" xfId="0" applyNumberFormat="1" applyFont="1" applyFill="1" applyBorder="1"/>
    <xf numFmtId="174" fontId="64" fillId="10" borderId="4" xfId="0" applyNumberFormat="1" applyFont="1" applyFill="1" applyBorder="1"/>
    <xf numFmtId="174" fontId="64" fillId="10" borderId="43" xfId="0" applyNumberFormat="1" applyFont="1" applyFill="1" applyBorder="1"/>
    <xf numFmtId="174" fontId="64" fillId="10" borderId="5" xfId="0" applyNumberFormat="1" applyFont="1" applyFill="1" applyBorder="1"/>
    <xf numFmtId="174" fontId="70" fillId="10" borderId="44" xfId="0" applyNumberFormat="1" applyFont="1" applyFill="1" applyBorder="1"/>
    <xf numFmtId="174" fontId="70" fillId="10" borderId="9" xfId="0" applyNumberFormat="1" applyFont="1" applyFill="1" applyBorder="1"/>
    <xf numFmtId="169" fontId="16" fillId="17" borderId="1" xfId="0" applyNumberFormat="1" applyFont="1" applyFill="1" applyBorder="1" applyAlignment="1">
      <alignment horizontal="center"/>
    </xf>
    <xf numFmtId="169" fontId="16" fillId="17" borderId="42" xfId="0" applyNumberFormat="1" applyFont="1" applyFill="1" applyBorder="1" applyAlignment="1">
      <alignment horizontal="center"/>
    </xf>
    <xf numFmtId="169" fontId="16" fillId="17" borderId="4" xfId="0" applyNumberFormat="1" applyFont="1" applyFill="1" applyBorder="1" applyAlignment="1">
      <alignment horizontal="center"/>
    </xf>
    <xf numFmtId="169" fontId="16" fillId="17" borderId="2" xfId="0" applyNumberFormat="1" applyFont="1" applyFill="1" applyBorder="1" applyAlignment="1">
      <alignment horizontal="center"/>
    </xf>
    <xf numFmtId="169" fontId="16" fillId="17" borderId="0" xfId="0" applyNumberFormat="1" applyFont="1" applyFill="1" applyAlignment="1">
      <alignment horizontal="center"/>
    </xf>
    <xf numFmtId="169" fontId="16" fillId="17" borderId="6" xfId="0" applyNumberFormat="1" applyFont="1" applyFill="1" applyBorder="1" applyAlignment="1">
      <alignment horizontal="center"/>
    </xf>
    <xf numFmtId="169" fontId="16" fillId="17" borderId="3" xfId="0" applyNumberFormat="1" applyFont="1" applyFill="1" applyBorder="1" applyAlignment="1">
      <alignment horizontal="center"/>
    </xf>
    <xf numFmtId="169" fontId="16" fillId="17" borderId="43" xfId="0" applyNumberFormat="1" applyFont="1" applyFill="1" applyBorder="1" applyAlignment="1">
      <alignment horizontal="center"/>
    </xf>
    <xf numFmtId="169" fontId="16" fillId="17" borderId="5" xfId="0" applyNumberFormat="1" applyFont="1" applyFill="1" applyBorder="1" applyAlignment="1">
      <alignment horizontal="center"/>
    </xf>
    <xf numFmtId="2" fontId="18" fillId="17" borderId="7" xfId="0" applyNumberFormat="1" applyFont="1" applyFill="1" applyBorder="1" applyAlignment="1">
      <alignment horizontal="center"/>
    </xf>
    <xf numFmtId="0" fontId="58" fillId="6" borderId="4" xfId="0" applyFont="1" applyFill="1" applyBorder="1" applyAlignment="1">
      <alignment horizontal="center" vertical="center" wrapText="1"/>
    </xf>
    <xf numFmtId="0" fontId="16" fillId="0" borderId="2" xfId="0" applyFont="1" applyBorder="1" applyAlignment="1">
      <alignment horizontal="right" wrapText="1"/>
    </xf>
    <xf numFmtId="0" fontId="16" fillId="0" borderId="0" xfId="0" applyFont="1" applyAlignment="1">
      <alignment wrapText="1"/>
    </xf>
    <xf numFmtId="14" fontId="16" fillId="0" borderId="0" xfId="0" applyNumberFormat="1" applyFont="1" applyAlignment="1">
      <alignment vertical="center" wrapText="1"/>
    </xf>
    <xf numFmtId="0" fontId="22" fillId="0" borderId="0" xfId="15" applyBorder="1" applyAlignment="1">
      <alignment vertical="center" wrapText="1"/>
    </xf>
    <xf numFmtId="0" fontId="22" fillId="0" borderId="6" xfId="15" applyBorder="1" applyAlignment="1">
      <alignment vertical="center" wrapText="1"/>
    </xf>
    <xf numFmtId="0" fontId="16" fillId="0" borderId="2" xfId="0" applyFont="1" applyBorder="1" applyAlignment="1">
      <alignment vertical="center" wrapText="1"/>
    </xf>
    <xf numFmtId="10" fontId="16" fillId="0" borderId="2" xfId="0" applyNumberFormat="1" applyFont="1" applyBorder="1"/>
    <xf numFmtId="0" fontId="46" fillId="0" borderId="0" xfId="73" applyBorder="1"/>
    <xf numFmtId="0" fontId="46" fillId="0" borderId="6" xfId="73" applyBorder="1"/>
    <xf numFmtId="0" fontId="16" fillId="0" borderId="2" xfId="0" applyFont="1" applyBorder="1" applyAlignment="1">
      <alignment wrapText="1"/>
    </xf>
    <xf numFmtId="14" fontId="16" fillId="0" borderId="0" xfId="0" applyNumberFormat="1" applyFont="1" applyAlignment="1">
      <alignment wrapText="1"/>
    </xf>
    <xf numFmtId="0" fontId="16" fillId="0" borderId="6" xfId="0" applyFont="1" applyBorder="1" applyAlignment="1">
      <alignment wrapText="1"/>
    </xf>
    <xf numFmtId="0" fontId="22" fillId="0" borderId="0" xfId="15" applyBorder="1"/>
    <xf numFmtId="0" fontId="22" fillId="0" borderId="6" xfId="15" applyBorder="1"/>
    <xf numFmtId="0" fontId="46" fillId="0" borderId="0" xfId="73" applyBorder="1" applyAlignment="1">
      <alignment horizontal="left" vertical="center" wrapText="1"/>
    </xf>
    <xf numFmtId="10" fontId="16" fillId="0" borderId="3" xfId="0" applyNumberFormat="1" applyFont="1" applyBorder="1"/>
    <xf numFmtId="0" fontId="18" fillId="0" borderId="43" xfId="0" applyFont="1" applyBorder="1"/>
    <xf numFmtId="14" fontId="16" fillId="0" borderId="43" xfId="0" applyNumberFormat="1" applyFont="1" applyBorder="1" applyAlignment="1">
      <alignment vertical="center" wrapText="1"/>
    </xf>
    <xf numFmtId="0" fontId="16" fillId="0" borderId="5" xfId="0" applyFont="1" applyBorder="1"/>
    <xf numFmtId="10" fontId="18" fillId="17" borderId="27" xfId="16" applyNumberFormat="1" applyFont="1" applyFill="1" applyBorder="1" applyAlignment="1">
      <alignment horizontal="center" vertical="center"/>
    </xf>
    <xf numFmtId="0" fontId="18" fillId="18" borderId="9" xfId="16" applyFont="1" applyFill="1" applyBorder="1"/>
    <xf numFmtId="0" fontId="18" fillId="18" borderId="27" xfId="16" applyFont="1" applyFill="1" applyBorder="1"/>
    <xf numFmtId="0" fontId="17" fillId="6" borderId="0" xfId="65" applyBorder="1">
      <alignment horizontal="center" vertical="center" wrapText="1"/>
    </xf>
    <xf numFmtId="0" fontId="17" fillId="6" borderId="0" xfId="65" applyBorder="1" applyAlignment="1">
      <alignment horizontal="left" vertical="center" wrapText="1"/>
    </xf>
    <xf numFmtId="168" fontId="29" fillId="0" borderId="0" xfId="2" applyNumberFormat="1" applyFont="1" applyFill="1" applyBorder="1"/>
    <xf numFmtId="0" fontId="52" fillId="0" borderId="11" xfId="0" applyFont="1" applyBorder="1"/>
    <xf numFmtId="0" fontId="17" fillId="3" borderId="11" xfId="13" applyFont="1" applyBorder="1" applyAlignment="1">
      <alignment horizontal="center" vertical="center"/>
    </xf>
    <xf numFmtId="169" fontId="18" fillId="10" borderId="7" xfId="0" applyNumberFormat="1" applyFont="1" applyFill="1" applyBorder="1" applyAlignment="1">
      <alignment horizontal="center"/>
    </xf>
    <xf numFmtId="0" fontId="18" fillId="11" borderId="7" xfId="13" applyFont="1" applyFill="1" applyBorder="1" applyAlignment="1">
      <alignment horizontal="center" vertical="center"/>
    </xf>
    <xf numFmtId="0" fontId="18" fillId="0" borderId="0" xfId="0" applyFont="1" applyAlignment="1">
      <alignment horizontal="right" vertical="center"/>
    </xf>
    <xf numFmtId="0" fontId="74" fillId="8" borderId="27" xfId="0" applyFont="1" applyFill="1" applyBorder="1" applyAlignment="1">
      <alignment horizontal="left" vertical="center"/>
    </xf>
    <xf numFmtId="0" fontId="74" fillId="8" borderId="9" xfId="0" applyFont="1" applyFill="1" applyBorder="1" applyAlignment="1">
      <alignment horizontal="left" vertical="center"/>
    </xf>
    <xf numFmtId="0" fontId="18" fillId="9" borderId="1" xfId="0" applyFont="1" applyFill="1" applyBorder="1"/>
    <xf numFmtId="0" fontId="18" fillId="9" borderId="4" xfId="0" applyFont="1" applyFill="1" applyBorder="1"/>
    <xf numFmtId="0" fontId="18" fillId="10" borderId="2" xfId="0" applyFont="1" applyFill="1" applyBorder="1"/>
    <xf numFmtId="0" fontId="18" fillId="10" borderId="6" xfId="0" applyFont="1" applyFill="1" applyBorder="1"/>
    <xf numFmtId="0" fontId="18" fillId="11" borderId="2" xfId="0" applyFont="1" applyFill="1" applyBorder="1"/>
    <xf numFmtId="0" fontId="18" fillId="11" borderId="6" xfId="0" applyFont="1" applyFill="1" applyBorder="1"/>
    <xf numFmtId="0" fontId="18" fillId="12" borderId="2" xfId="0" applyFont="1" applyFill="1" applyBorder="1"/>
    <xf numFmtId="0" fontId="18" fillId="12" borderId="6" xfId="0" applyFont="1" applyFill="1" applyBorder="1"/>
    <xf numFmtId="0" fontId="18" fillId="13" borderId="2" xfId="0" applyFont="1" applyFill="1" applyBorder="1"/>
    <xf numFmtId="0" fontId="18" fillId="13" borderId="6" xfId="0" applyFont="1" applyFill="1" applyBorder="1"/>
    <xf numFmtId="0" fontId="18" fillId="14" borderId="2" xfId="0" applyFont="1" applyFill="1" applyBorder="1"/>
    <xf numFmtId="0" fontId="18" fillId="14" borderId="6" xfId="0" applyFont="1" applyFill="1" applyBorder="1"/>
    <xf numFmtId="0" fontId="75" fillId="0" borderId="3" xfId="0" applyFont="1" applyBorder="1"/>
    <xf numFmtId="0" fontId="75" fillId="0" borderId="5" xfId="0" applyFont="1" applyBorder="1"/>
    <xf numFmtId="0" fontId="76" fillId="18" borderId="0" xfId="0" applyFont="1" applyFill="1"/>
    <xf numFmtId="0" fontId="1" fillId="0" borderId="0" xfId="16" applyFont="1"/>
    <xf numFmtId="0" fontId="3" fillId="0" borderId="27" xfId="16" applyBorder="1"/>
    <xf numFmtId="0" fontId="3" fillId="0" borderId="44" xfId="16" applyBorder="1"/>
    <xf numFmtId="0" fontId="3" fillId="0" borderId="9" xfId="16" applyBorder="1"/>
    <xf numFmtId="0" fontId="1" fillId="0" borderId="7" xfId="16" applyFont="1" applyBorder="1" applyAlignment="1">
      <alignment horizontal="right"/>
    </xf>
    <xf numFmtId="10" fontId="18" fillId="49" borderId="7" xfId="78" applyNumberFormat="1" applyFill="1" applyBorder="1"/>
    <xf numFmtId="10" fontId="18" fillId="10" borderId="7" xfId="78" applyNumberFormat="1" applyBorder="1"/>
    <xf numFmtId="0" fontId="8" fillId="18" borderId="0" xfId="0" applyFont="1" applyFill="1" applyAlignment="1">
      <alignment horizontal="left"/>
    </xf>
    <xf numFmtId="176" fontId="8" fillId="0" borderId="0" xfId="0" applyNumberFormat="1" applyFont="1" applyAlignment="1">
      <alignment horizontal="left"/>
    </xf>
    <xf numFmtId="0" fontId="15" fillId="6" borderId="12" xfId="0" applyFont="1" applyFill="1" applyBorder="1" applyAlignment="1">
      <alignment horizontal="center"/>
    </xf>
    <xf numFmtId="0" fontId="15" fillId="6" borderId="13" xfId="0" applyFont="1" applyFill="1" applyBorder="1" applyAlignment="1">
      <alignment horizontal="center"/>
    </xf>
    <xf numFmtId="0" fontId="15" fillId="6" borderId="14" xfId="0" applyFont="1" applyFill="1" applyBorder="1" applyAlignment="1">
      <alignment horizontal="center"/>
    </xf>
    <xf numFmtId="0" fontId="16" fillId="0" borderId="22" xfId="0" applyFont="1" applyBorder="1" applyAlignment="1">
      <alignment horizontal="right" vertical="center"/>
    </xf>
    <xf numFmtId="0" fontId="16" fillId="0" borderId="24" xfId="0" applyFont="1" applyBorder="1" applyAlignment="1">
      <alignment horizontal="right" vertical="center"/>
    </xf>
    <xf numFmtId="0" fontId="16" fillId="0" borderId="25" xfId="0" applyFont="1" applyBorder="1" applyAlignment="1">
      <alignment horizontal="right" vertical="center"/>
    </xf>
    <xf numFmtId="0" fontId="15" fillId="6" borderId="7" xfId="16" applyFont="1" applyFill="1" applyBorder="1" applyAlignment="1">
      <alignment horizontal="center"/>
    </xf>
    <xf numFmtId="0" fontId="17" fillId="6" borderId="0" xfId="0" applyFont="1" applyFill="1" applyAlignment="1">
      <alignment horizontal="center" vertical="center" wrapText="1"/>
    </xf>
    <xf numFmtId="0" fontId="17" fillId="6" borderId="43" xfId="0" applyFont="1" applyFill="1" applyBorder="1" applyAlignment="1">
      <alignment horizontal="center" vertical="center" wrapText="1"/>
    </xf>
    <xf numFmtId="0" fontId="15" fillId="6" borderId="7" xfId="0" applyFont="1" applyFill="1" applyBorder="1" applyAlignment="1">
      <alignment horizontal="center"/>
    </xf>
    <xf numFmtId="0" fontId="58" fillId="6" borderId="1" xfId="0" applyFont="1" applyFill="1" applyBorder="1" applyAlignment="1">
      <alignment horizontal="center" vertical="center" wrapText="1"/>
    </xf>
    <xf numFmtId="0" fontId="58" fillId="6" borderId="42" xfId="0" applyFont="1" applyFill="1" applyBorder="1" applyAlignment="1">
      <alignment horizontal="center" vertical="center" wrapText="1"/>
    </xf>
    <xf numFmtId="0" fontId="58" fillId="6" borderId="4" xfId="0" applyFont="1" applyFill="1" applyBorder="1" applyAlignment="1">
      <alignment horizontal="center" wrapText="1"/>
    </xf>
    <xf numFmtId="0" fontId="58" fillId="6" borderId="6" xfId="0" applyFont="1" applyFill="1" applyBorder="1" applyAlignment="1">
      <alignment horizontal="center" wrapText="1"/>
    </xf>
    <xf numFmtId="0" fontId="58" fillId="6" borderId="1" xfId="0" applyFont="1" applyFill="1" applyBorder="1" applyAlignment="1">
      <alignment horizontal="center" wrapText="1"/>
    </xf>
    <xf numFmtId="0" fontId="58" fillId="6" borderId="2" xfId="0" applyFont="1" applyFill="1" applyBorder="1" applyAlignment="1">
      <alignment horizontal="center" wrapText="1"/>
    </xf>
    <xf numFmtId="0" fontId="58" fillId="6" borderId="1" xfId="0" applyFont="1" applyFill="1" applyBorder="1" applyAlignment="1">
      <alignment horizontal="center" vertical="center"/>
    </xf>
    <xf numFmtId="0" fontId="58" fillId="6" borderId="42" xfId="0" applyFont="1" applyFill="1" applyBorder="1" applyAlignment="1">
      <alignment horizontal="center" vertical="center"/>
    </xf>
    <xf numFmtId="0" fontId="58" fillId="6" borderId="4" xfId="0" applyFont="1" applyFill="1" applyBorder="1" applyAlignment="1">
      <alignment horizontal="center" vertical="center"/>
    </xf>
  </cellXfs>
  <cellStyles count="79">
    <cellStyle name="_x0010_“+ˆÉ•?pý¤" xfId="7" xr:uid="{00000000-0005-0000-0000-000000000000}"/>
    <cellStyle name="_x0010_“+ˆÉ•?pý¤ 2" xfId="10" xr:uid="{00000000-0005-0000-0000-000001000000}"/>
    <cellStyle name="20% - Accent1" xfId="33" builtinId="30" customBuiltin="1"/>
    <cellStyle name="20% - Accent2 2" xfId="76" xr:uid="{E9FEE939-526A-49F1-BD2F-A5869931E2E4}"/>
    <cellStyle name="20% - Accent3" xfId="39" builtinId="38" customBuiltin="1"/>
    <cellStyle name="20% - Accent4" xfId="43" builtinId="42" customBuiltin="1"/>
    <cellStyle name="20% - Accent5" xfId="47" builtinId="46" customBuiltin="1"/>
    <cellStyle name="20% - Accent6" xfId="51" builtinId="50" customBuiltin="1"/>
    <cellStyle name="40% - Accent1" xfId="34" builtinId="31" customBuiltin="1"/>
    <cellStyle name="40% - Accent2 2" xfId="77" xr:uid="{920147EA-54AC-4E81-9500-541AD858ACB1}"/>
    <cellStyle name="40% - Accent3" xfId="40" builtinId="39" customBuiltin="1"/>
    <cellStyle name="40% - Accent4" xfId="44" builtinId="43" customBuiltin="1"/>
    <cellStyle name="40% - Accent5" xfId="48" builtinId="47" customBuiltin="1"/>
    <cellStyle name="40% - Accent6" xfId="52" builtinId="51" customBuiltin="1"/>
    <cellStyle name="60% - Accent1" xfId="35"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13" builtinId="29" customBuiltin="1"/>
    <cellStyle name="Accent2" xfId="36" builtinId="33" customBuiltin="1"/>
    <cellStyle name="Accent3" xfId="38" builtinId="37" customBuiltin="1"/>
    <cellStyle name="Accent4" xfId="42" builtinId="41" customBuiltin="1"/>
    <cellStyle name="Accent5" xfId="46" builtinId="45" customBuiltin="1"/>
    <cellStyle name="Accent6" xfId="50" builtinId="49" customBuiltin="1"/>
    <cellStyle name="Bad" xfId="23" builtinId="27" customBuiltin="1"/>
    <cellStyle name="Calculated value" xfId="78" xr:uid="{B93BB339-534D-4BD1-A302-C8E6507D12D7}"/>
    <cellStyle name="Calculation" xfId="27" builtinId="22" customBuiltin="1"/>
    <cellStyle name="Check Cell" xfId="29" builtinId="23" customBuiltin="1"/>
    <cellStyle name="Comma" xfId="1" builtinId="3"/>
    <cellStyle name="Comma 18" xfId="60" xr:uid="{CA6322C6-15CC-4507-8EF6-DE68DA51B7C6}"/>
    <cellStyle name="Comma 2" xfId="4" xr:uid="{00000000-0005-0000-0000-000006000000}"/>
    <cellStyle name="Comma 2 2" xfId="69" xr:uid="{E0901555-5B06-4344-831C-9D7BD406C4B1}"/>
    <cellStyle name="Comma 3" xfId="55" xr:uid="{9788B714-B3FA-445B-81CC-F650A541605F}"/>
    <cellStyle name="Comma 5" xfId="62" xr:uid="{CC1C5F8E-B696-456B-B2BC-6D85F59C6CB6}"/>
    <cellStyle name="Currency" xfId="2" builtinId="4"/>
    <cellStyle name="Currency 2" xfId="8" xr:uid="{00000000-0005-0000-0000-000008000000}"/>
    <cellStyle name="Currency 3" xfId="56" xr:uid="{A30CCD09-559A-4770-A458-EFD8D18DA1FC}"/>
    <cellStyle name="Explanatory Text" xfId="31" builtinId="53" customBuiltin="1"/>
    <cellStyle name="Good" xfId="22" builtinId="26" customBuiltin="1"/>
    <cellStyle name="Heading" xfId="65" xr:uid="{583D189F-99AD-4D42-A01E-22B6F6A12A49}"/>
    <cellStyle name="Heading 1" xfId="18" builtinId="16" customBuiltin="1"/>
    <cellStyle name="Heading 2" xfId="19" builtinId="17" customBuiltin="1"/>
    <cellStyle name="Heading 3" xfId="20" builtinId="18" customBuiltin="1"/>
    <cellStyle name="Heading 4" xfId="21" builtinId="19" customBuiltin="1"/>
    <cellStyle name="Hyperlink" xfId="15" builtinId="8"/>
    <cellStyle name="Hyperlink 2" xfId="73" xr:uid="{9E108085-1061-443C-B3F3-29C2AF15C96B}"/>
    <cellStyle name="Input" xfId="25" builtinId="20" customBuiltin="1"/>
    <cellStyle name="Linked Cell" xfId="28" builtinId="24" customBuiltin="1"/>
    <cellStyle name="Neutral" xfId="24" builtinId="28" customBuiltin="1"/>
    <cellStyle name="no dec" xfId="9" xr:uid="{00000000-0005-0000-0000-000009000000}"/>
    <cellStyle name="no dec 2" xfId="11" xr:uid="{00000000-0005-0000-0000-00000A000000}"/>
    <cellStyle name="Normal" xfId="0" builtinId="0" customBuiltin="1"/>
    <cellStyle name="Normal 16" xfId="5" xr:uid="{00000000-0005-0000-0000-00000C000000}"/>
    <cellStyle name="Normal 2" xfId="6" xr:uid="{00000000-0005-0000-0000-00000D000000}"/>
    <cellStyle name="Normal 2 2" xfId="72" xr:uid="{D9FCF1FC-7A67-441B-AB40-5296B8924150}"/>
    <cellStyle name="Normal 3" xfId="14" xr:uid="{AFFEE163-7550-408E-BE77-53D72AA77F6A}"/>
    <cellStyle name="Normal 3 2" xfId="74" xr:uid="{0B1D5975-C95C-45FC-ADDE-74A494546FE6}"/>
    <cellStyle name="Normal 30 2" xfId="58" xr:uid="{C49F5BAD-5158-4E81-A0B5-6481B49E647B}"/>
    <cellStyle name="Normal 4" xfId="16" xr:uid="{3973A72E-A931-490E-A096-CEF32F34C570}"/>
    <cellStyle name="Normal 4 2" xfId="71" xr:uid="{B306E99B-508B-4A98-A843-3F98A0A361B9}"/>
    <cellStyle name="Normal 5" xfId="54" xr:uid="{6017FA8C-B695-4667-A646-9F41261AC263}"/>
    <cellStyle name="Normal 5 2 2" xfId="59" xr:uid="{125FBB5C-20F4-40EE-85B8-1A668E9CE75E}"/>
    <cellStyle name="Note" xfId="12" builtinId="10"/>
    <cellStyle name="Note 2" xfId="75" xr:uid="{A291D004-BF91-4422-AD05-890E0998A3EA}"/>
    <cellStyle name="Output" xfId="26" builtinId="21" customBuiltin="1"/>
    <cellStyle name="Percent" xfId="3" builtinId="5"/>
    <cellStyle name="Percent 10" xfId="61" xr:uid="{33A12D91-9531-4C0C-A7B1-645D90828002}"/>
    <cellStyle name="Percent 14" xfId="63" xr:uid="{F0D634B2-4745-4733-AC61-7819B86E020B}"/>
    <cellStyle name="Percent 2" xfId="67" xr:uid="{828023F3-E0ED-4D5C-B11C-6C01872F6332}"/>
    <cellStyle name="Percent 2 10" xfId="64" xr:uid="{94B28A0D-69B6-4E1F-B75B-9B127CAFEAA0}"/>
    <cellStyle name="Percent 2 2" xfId="70" xr:uid="{2A104AD2-32FD-4C1B-B480-5177B1CC3619}"/>
    <cellStyle name="Percent 3" xfId="57" xr:uid="{6075FB6E-56A6-4286-8CBF-441CF0606F2F}"/>
    <cellStyle name="Results" xfId="66" xr:uid="{E546C2F6-53C9-4BAB-8862-C1089EF1FEF3}"/>
    <cellStyle name="Subtitle" xfId="68" xr:uid="{84957F7A-4D33-4300-A182-ACC11DF49A9E}"/>
    <cellStyle name="Title" xfId="17" builtinId="15" customBuiltin="1"/>
    <cellStyle name="Total" xfId="32" builtinId="25" customBuiltin="1"/>
    <cellStyle name="Warning Text" xfId="30" builtinId="11"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99"/>
      <color rgb="FF99CCFF"/>
      <color rgb="FFC0C0C0"/>
      <color rgb="FF057DB3"/>
      <color rgb="FFF2F2F2"/>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'User Dashboard'!$E$160</c:f>
              <c:strCache>
                <c:ptCount val="1"/>
                <c:pt idx="0">
                  <c:v>Market (Commodity)</c:v>
                </c:pt>
              </c:strCache>
            </c:strRef>
          </c:tx>
          <c:spPr>
            <a:solidFill>
              <a:schemeClr val="accent4"/>
            </a:solidFill>
            <a:ln>
              <a:noFill/>
            </a:ln>
            <a:effectLst/>
          </c:spPr>
          <c:invertIfNegative val="0"/>
          <c:cat>
            <c:strRef>
              <c:f>'User Dashboard'!$C$161:$C$172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'User Dashboard'!$E$161:$E$172</c:f>
              <c:numCache>
                <c:formatCode>"$"#,##0.00</c:formatCode>
                <c:ptCount val="12"/>
                <c:pt idx="0">
                  <c:v>0.58690490038944421</c:v>
                </c:pt>
                <c:pt idx="1">
                  <c:v>0.5741947373034838</c:v>
                </c:pt>
                <c:pt idx="2">
                  <c:v>0.52725709358932915</c:v>
                </c:pt>
                <c:pt idx="3">
                  <c:v>0.51842791588760673</c:v>
                </c:pt>
                <c:pt idx="4">
                  <c:v>0.53661804280617753</c:v>
                </c:pt>
                <c:pt idx="5">
                  <c:v>0.55064192618105634</c:v>
                </c:pt>
                <c:pt idx="6">
                  <c:v>0.55516284883276801</c:v>
                </c:pt>
                <c:pt idx="7">
                  <c:v>0.55102600562758108</c:v>
                </c:pt>
                <c:pt idx="8">
                  <c:v>0.55893009620057732</c:v>
                </c:pt>
                <c:pt idx="9">
                  <c:v>0.55586181484775221</c:v>
                </c:pt>
                <c:pt idx="10">
                  <c:v>0.58349642065735541</c:v>
                </c:pt>
                <c:pt idx="11">
                  <c:v>0.58835117108738455</c:v>
                </c:pt>
              </c:numCache>
            </c:numRef>
          </c:val>
          <c:extLst>
            <c:ext xmlns:c16="http://schemas.microsoft.com/office/drawing/2014/chart" uri="{C3380CC4-5D6E-409C-BE32-E72D297353CC}">
              <c16:uniqueId val="{00000000-BE6B-40EC-9F0D-B16A15EF30B3}"/>
            </c:ext>
          </c:extLst>
        </c:ser>
        <c:ser>
          <c:idx val="1"/>
          <c:order val="1"/>
          <c:tx>
            <c:strRef>
              <c:f>'User Dashboard'!$F$160</c:f>
              <c:strCache>
                <c:ptCount val="1"/>
                <c:pt idx="0">
                  <c:v>T&amp;D</c:v>
                </c:pt>
              </c:strCache>
            </c:strRef>
          </c:tx>
          <c:spPr>
            <a:solidFill>
              <a:schemeClr val="accent3"/>
            </a:solidFill>
            <a:ln>
              <a:noFill/>
            </a:ln>
            <a:effectLst/>
          </c:spPr>
          <c:invertIfNegative val="0"/>
          <c:cat>
            <c:strRef>
              <c:f>'User Dashboard'!$C$161:$C$172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'User Dashboard'!$F$161:$F$172</c:f>
              <c:numCache>
                <c:formatCode>"$"#,##0.00</c:formatCode>
                <c:ptCount val="12"/>
                <c:pt idx="0">
                  <c:v>0.49868852459016405</c:v>
                </c:pt>
                <c:pt idx="1">
                  <c:v>0.49868852459016405</c:v>
                </c:pt>
                <c:pt idx="2">
                  <c:v>0.49868852459016405</c:v>
                </c:pt>
                <c:pt idx="3">
                  <c:v>0</c:v>
                </c:pt>
                <c:pt idx="4">
                  <c:v>0</c:v>
                </c:pt>
                <c:pt idx="5">
                  <c:v>0</c:v>
                </c:pt>
                <c:pt idx="6">
                  <c:v>0</c:v>
                </c:pt>
                <c:pt idx="7">
                  <c:v>0</c:v>
                </c:pt>
                <c:pt idx="8">
                  <c:v>0</c:v>
                </c:pt>
                <c:pt idx="9">
                  <c:v>0</c:v>
                </c:pt>
                <c:pt idx="10">
                  <c:v>0.49868852459016405</c:v>
                </c:pt>
                <c:pt idx="11">
                  <c:v>0.49868852459016405</c:v>
                </c:pt>
              </c:numCache>
            </c:numRef>
          </c:val>
          <c:extLst>
            <c:ext xmlns:c16="http://schemas.microsoft.com/office/drawing/2014/chart" uri="{C3380CC4-5D6E-409C-BE32-E72D297353CC}">
              <c16:uniqueId val="{0000000C-BE6B-40EC-9F0D-B16A15EF30B3}"/>
            </c:ext>
          </c:extLst>
        </c:ser>
        <c:ser>
          <c:idx val="2"/>
          <c:order val="2"/>
          <c:tx>
            <c:strRef>
              <c:f>'User Dashboard'!$G$160</c:f>
              <c:strCache>
                <c:ptCount val="1"/>
                <c:pt idx="0">
                  <c:v>Environment (CO2 &amp; NOx)</c:v>
                </c:pt>
              </c:strCache>
            </c:strRef>
          </c:tx>
          <c:spPr>
            <a:solidFill>
              <a:schemeClr val="tx2"/>
            </a:solidFill>
            <a:ln>
              <a:noFill/>
            </a:ln>
            <a:effectLst/>
          </c:spPr>
          <c:invertIfNegative val="0"/>
          <c:cat>
            <c:strRef>
              <c:f>'User Dashboard'!$C$161:$C$172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'User Dashboard'!$G$161:$G$172</c:f>
              <c:numCache>
                <c:formatCode>"$"#,##0.00</c:formatCode>
                <c:ptCount val="12"/>
                <c:pt idx="0">
                  <c:v>0.77933749833752342</c:v>
                </c:pt>
                <c:pt idx="1">
                  <c:v>0.77933749833752342</c:v>
                </c:pt>
                <c:pt idx="2">
                  <c:v>0.77933749833752342</c:v>
                </c:pt>
                <c:pt idx="3">
                  <c:v>0.77933749833752342</c:v>
                </c:pt>
                <c:pt idx="4">
                  <c:v>0.77933749833752342</c:v>
                </c:pt>
                <c:pt idx="5">
                  <c:v>0.77933749833752342</c:v>
                </c:pt>
                <c:pt idx="6">
                  <c:v>0.77933749833752342</c:v>
                </c:pt>
                <c:pt idx="7">
                  <c:v>0.77933749833752342</c:v>
                </c:pt>
                <c:pt idx="8">
                  <c:v>0.77933749833752342</c:v>
                </c:pt>
                <c:pt idx="9">
                  <c:v>0.77933749833752342</c:v>
                </c:pt>
                <c:pt idx="10">
                  <c:v>0.77933749833752342</c:v>
                </c:pt>
                <c:pt idx="11">
                  <c:v>0.77933749833752342</c:v>
                </c:pt>
              </c:numCache>
            </c:numRef>
          </c:val>
          <c:extLst>
            <c:ext xmlns:c16="http://schemas.microsoft.com/office/drawing/2014/chart" uri="{C3380CC4-5D6E-409C-BE32-E72D297353CC}">
              <c16:uniqueId val="{0000000D-BE6B-40EC-9F0D-B16A15EF30B3}"/>
            </c:ext>
          </c:extLst>
        </c:ser>
        <c:ser>
          <c:idx val="3"/>
          <c:order val="3"/>
          <c:tx>
            <c:strRef>
              <c:f>'User Dashboard'!$H$160</c:f>
              <c:strCache>
                <c:ptCount val="1"/>
                <c:pt idx="0">
                  <c:v>Upstream methane leakage</c:v>
                </c:pt>
              </c:strCache>
            </c:strRef>
          </c:tx>
          <c:spPr>
            <a:solidFill>
              <a:schemeClr val="bg1">
                <a:lumMod val="65000"/>
              </a:schemeClr>
            </a:solidFill>
            <a:ln>
              <a:noFill/>
            </a:ln>
            <a:effectLst/>
          </c:spPr>
          <c:invertIfNegative val="0"/>
          <c:cat>
            <c:strRef>
              <c:f>'User Dashboard'!$C$161:$C$172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'User Dashboard'!$H$161:$H$172</c:f>
              <c:numCache>
                <c:formatCode>"$"#,##0.00</c:formatCode>
                <c:ptCount val="12"/>
                <c:pt idx="0">
                  <c:v>3.3698623799112773E-2</c:v>
                </c:pt>
                <c:pt idx="1">
                  <c:v>3.3698623799112773E-2</c:v>
                </c:pt>
                <c:pt idx="2">
                  <c:v>3.3698623799112773E-2</c:v>
                </c:pt>
                <c:pt idx="3">
                  <c:v>3.3698623799112773E-2</c:v>
                </c:pt>
                <c:pt idx="4">
                  <c:v>3.3698623799112773E-2</c:v>
                </c:pt>
                <c:pt idx="5">
                  <c:v>3.3698623799112773E-2</c:v>
                </c:pt>
                <c:pt idx="6">
                  <c:v>3.3698623799112773E-2</c:v>
                </c:pt>
                <c:pt idx="7">
                  <c:v>3.3698623799112773E-2</c:v>
                </c:pt>
                <c:pt idx="8">
                  <c:v>3.3698623799112773E-2</c:v>
                </c:pt>
                <c:pt idx="9">
                  <c:v>3.3698623799112773E-2</c:v>
                </c:pt>
                <c:pt idx="10">
                  <c:v>3.3698623799112773E-2</c:v>
                </c:pt>
                <c:pt idx="11">
                  <c:v>3.3698623799112773E-2</c:v>
                </c:pt>
              </c:numCache>
            </c:numRef>
          </c:val>
          <c:extLst>
            <c:ext xmlns:c16="http://schemas.microsoft.com/office/drawing/2014/chart" uri="{C3380CC4-5D6E-409C-BE32-E72D297353CC}">
              <c16:uniqueId val="{0000000E-BE6B-40EC-9F0D-B16A15EF30B3}"/>
            </c:ext>
          </c:extLst>
        </c:ser>
        <c:ser>
          <c:idx val="4"/>
          <c:order val="4"/>
          <c:tx>
            <c:strRef>
              <c:f>'User Dashboard'!$I$160</c:f>
              <c:strCache>
                <c:ptCount val="1"/>
                <c:pt idx="0">
                  <c:v>Behind-the-meter methane leakage</c:v>
                </c:pt>
              </c:strCache>
            </c:strRef>
          </c:tx>
          <c:spPr>
            <a:solidFill>
              <a:schemeClr val="bg1">
                <a:lumMod val="50000"/>
              </a:schemeClr>
            </a:solidFill>
            <a:ln>
              <a:noFill/>
            </a:ln>
            <a:effectLst/>
          </c:spPr>
          <c:invertIfNegative val="0"/>
          <c:cat>
            <c:strRef>
              <c:f>'User Dashboard'!$C$161:$C$172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'User Dashboard'!$I$161:$I$172</c:f>
              <c:numCache>
                <c:formatCode>"$"#,##0.00</c:formatCode>
                <c:ptCount val="12"/>
                <c:pt idx="0">
                  <c:v>2.2908387078574937E-2</c:v>
                </c:pt>
                <c:pt idx="1">
                  <c:v>2.2908387078574937E-2</c:v>
                </c:pt>
                <c:pt idx="2">
                  <c:v>2.2908387078574937E-2</c:v>
                </c:pt>
                <c:pt idx="3">
                  <c:v>2.2908387078574937E-2</c:v>
                </c:pt>
                <c:pt idx="4">
                  <c:v>2.2908387078574937E-2</c:v>
                </c:pt>
                <c:pt idx="5">
                  <c:v>2.2908387078574937E-2</c:v>
                </c:pt>
                <c:pt idx="6">
                  <c:v>2.2908387078574937E-2</c:v>
                </c:pt>
                <c:pt idx="7">
                  <c:v>2.2908387078574937E-2</c:v>
                </c:pt>
                <c:pt idx="8">
                  <c:v>2.2908387078574937E-2</c:v>
                </c:pt>
                <c:pt idx="9">
                  <c:v>2.2908387078574937E-2</c:v>
                </c:pt>
                <c:pt idx="10">
                  <c:v>2.2908387078574937E-2</c:v>
                </c:pt>
                <c:pt idx="11">
                  <c:v>2.2908387078574937E-2</c:v>
                </c:pt>
              </c:numCache>
            </c:numRef>
          </c:val>
          <c:extLst>
            <c:ext xmlns:c16="http://schemas.microsoft.com/office/drawing/2014/chart" uri="{C3380CC4-5D6E-409C-BE32-E72D297353CC}">
              <c16:uniqueId val="{0000000F-BE6B-40EC-9F0D-B16A15EF30B3}"/>
            </c:ext>
          </c:extLst>
        </c:ser>
        <c:ser>
          <c:idx val="5"/>
          <c:order val="5"/>
          <c:tx>
            <c:strRef>
              <c:f>'User Dashboard'!$J$160</c:f>
              <c:strCache>
                <c:ptCount val="1"/>
                <c:pt idx="0">
                  <c:v>Air Quality Adder</c:v>
                </c:pt>
              </c:strCache>
            </c:strRef>
          </c:tx>
          <c:spPr>
            <a:solidFill>
              <a:schemeClr val="tx1"/>
            </a:solidFill>
            <a:ln>
              <a:noFill/>
            </a:ln>
            <a:effectLst/>
          </c:spPr>
          <c:invertIfNegative val="0"/>
          <c:cat>
            <c:strRef>
              <c:f>'User Dashboard'!$C$161:$C$172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'User Dashboard'!$J$161:$J$172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603-414B-8366-CDE4D96B48B5}"/>
            </c:ext>
          </c:extLst>
        </c:ser>
        <c:dLbls>
          <c:showLegendKey val="0"/>
          <c:showVal val="0"/>
          <c:showCatName val="0"/>
          <c:showSerName val="0"/>
          <c:showPercent val="0"/>
          <c:showBubbleSize val="0"/>
        </c:dLbls>
        <c:gapWidth val="50"/>
        <c:overlap val="100"/>
        <c:axId val="626189552"/>
        <c:axId val="626182832"/>
      </c:barChart>
      <c:catAx>
        <c:axId val="62618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26182832"/>
        <c:crosses val="autoZero"/>
        <c:auto val="1"/>
        <c:lblAlgn val="ctr"/>
        <c:lblOffset val="100"/>
        <c:noMultiLvlLbl val="0"/>
      </c:catAx>
      <c:valAx>
        <c:axId val="62618283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$/therm</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2618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Output!$B$52</c:f>
          <c:strCache>
            <c:ptCount val="1"/>
            <c:pt idx="0">
              <c:v>Levelized Gas Avoided Costs: SDG&amp;E, Total Core, Small Boiler (&lt;100MMBtu/Hr), Uncontrolled</c:v>
            </c:pt>
          </c:strCache>
        </c:strRef>
      </c:tx>
      <c:layout>
        <c:manualLayout>
          <c:xMode val="edge"/>
          <c:yMode val="edge"/>
          <c:x val="0.11602230810872055"/>
          <c:y val="3.4883720930232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32076988513229"/>
          <c:y val="0.27906976744186046"/>
          <c:w val="0.76304577949855723"/>
          <c:h val="0.5"/>
        </c:manualLayout>
      </c:layout>
      <c:lineChart>
        <c:grouping val="standard"/>
        <c:varyColors val="0"/>
        <c:ser>
          <c:idx val="0"/>
          <c:order val="0"/>
          <c:tx>
            <c:strRef>
              <c:f>Output!$C$16</c:f>
              <c:strCache>
                <c:ptCount val="1"/>
                <c:pt idx="0">
                  <c:v>Monthly </c:v>
                </c:pt>
              </c:strCache>
            </c:strRef>
          </c:tx>
          <c:spPr>
            <a:ln w="28575" cap="rnd">
              <a:solidFill>
                <a:schemeClr val="accent1"/>
              </a:solidFill>
              <a:round/>
            </a:ln>
            <a:effectLst/>
          </c:spPr>
          <c:marker>
            <c:symbol val="none"/>
          </c:marker>
          <c:cat>
            <c:strRef>
              <c:f>Output!$B$17:$B$28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Output!$C$17:$C$28</c:f>
              <c:numCache>
                <c:formatCode>"$"#,##0.00</c:formatCode>
                <c:ptCount val="12"/>
                <c:pt idx="0">
                  <c:v>1.9215379341948193</c:v>
                </c:pt>
                <c:pt idx="1">
                  <c:v>1.908827771108859</c:v>
                </c:pt>
                <c:pt idx="2">
                  <c:v>1.8618901273947044</c:v>
                </c:pt>
                <c:pt idx="3">
                  <c:v>1.354372425102818</c:v>
                </c:pt>
                <c:pt idx="4">
                  <c:v>1.3725625520213887</c:v>
                </c:pt>
                <c:pt idx="5">
                  <c:v>1.3865864353962674</c:v>
                </c:pt>
                <c:pt idx="6">
                  <c:v>1.3911073580479791</c:v>
                </c:pt>
                <c:pt idx="7">
                  <c:v>1.3869705148427922</c:v>
                </c:pt>
                <c:pt idx="8">
                  <c:v>1.3948746054157883</c:v>
                </c:pt>
                <c:pt idx="9">
                  <c:v>1.3918063240629635</c:v>
                </c:pt>
                <c:pt idx="10">
                  <c:v>1.9181294544627305</c:v>
                </c:pt>
                <c:pt idx="11">
                  <c:v>1.9229842048927597</c:v>
                </c:pt>
              </c:numCache>
            </c:numRef>
          </c:val>
          <c:smooth val="0"/>
          <c:extLst>
            <c:ext xmlns:c16="http://schemas.microsoft.com/office/drawing/2014/chart" uri="{C3380CC4-5D6E-409C-BE32-E72D297353CC}">
              <c16:uniqueId val="{00000000-6001-4C1B-880B-FE43F7862C05}"/>
            </c:ext>
          </c:extLst>
        </c:ser>
        <c:dLbls>
          <c:showLegendKey val="0"/>
          <c:showVal val="0"/>
          <c:showCatName val="0"/>
          <c:showSerName val="0"/>
          <c:showPercent val="0"/>
          <c:showBubbleSize val="0"/>
        </c:dLbls>
        <c:smooth val="0"/>
        <c:axId val="433030656"/>
        <c:axId val="564428800"/>
      </c:lineChart>
      <c:catAx>
        <c:axId val="43303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428800"/>
        <c:crosses val="autoZero"/>
        <c:auto val="1"/>
        <c:lblAlgn val="ctr"/>
        <c:lblOffset val="100"/>
        <c:tickLblSkip val="1"/>
        <c:tickMarkSkip val="1"/>
        <c:noMultiLvlLbl val="0"/>
      </c:catAx>
      <c:valAx>
        <c:axId val="56442880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Avoided Cost (Levelized $/Therm)</a:t>
                </a:r>
              </a:p>
            </c:rich>
          </c:tx>
          <c:layout>
            <c:manualLayout>
              <c:xMode val="edge"/>
              <c:yMode val="edge"/>
              <c:x val="2.9465983011738556E-2"/>
              <c:y val="0.17441860465116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0306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Output!$B$53</c:f>
          <c:strCache>
            <c:ptCount val="1"/>
            <c:pt idx="0">
              <c:v>Monthly Gas Avoided Costs: SDG&amp;E, Total Core, Small Boiler (&lt;100MMBtu/Hr), Uncontrolled</c:v>
            </c:pt>
          </c:strCache>
        </c:strRef>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view3D>
      <c:rotX val="14"/>
      <c:hPercent val="100"/>
      <c:rotY val="32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72664359861592"/>
          <c:y val="0.16474011687719708"/>
          <c:w val="0.77566320645905418"/>
          <c:h val="0.69942295235581919"/>
        </c:manualLayout>
      </c:layout>
      <c:surface3DChart>
        <c:wireframe val="0"/>
        <c:ser>
          <c:idx val="0"/>
          <c:order val="0"/>
          <c:tx>
            <c:strRef>
              <c:f>Output!$G$17</c:f>
              <c:strCache>
                <c:ptCount val="1"/>
                <c:pt idx="0">
                  <c:v>January</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Output!$H$17:$AM$17</c:f>
              <c:numCache>
                <c:formatCode>"$"#,##0.00</c:formatCode>
                <c:ptCount val="32"/>
                <c:pt idx="0">
                  <c:v>1.9117604805224206</c:v>
                </c:pt>
                <c:pt idx="1">
                  <c:v>1.9215379341948193</c:v>
                </c:pt>
                <c:pt idx="2">
                  <c:v>1.9698947621130292</c:v>
                </c:pt>
                <c:pt idx="3">
                  <c:v>2.0069575794744137</c:v>
                </c:pt>
                <c:pt idx="4">
                  <c:v>2.043092256717761</c:v>
                </c:pt>
                <c:pt idx="5">
                  <c:v>2.079450889737168</c:v>
                </c:pt>
                <c:pt idx="6">
                  <c:v>2.1163490659564204</c:v>
                </c:pt>
                <c:pt idx="7">
                  <c:v>2.1537819645319245</c:v>
                </c:pt>
                <c:pt idx="8">
                  <c:v>2.1916404244054974</c:v>
                </c:pt>
                <c:pt idx="9">
                  <c:v>2.2301447303877349</c:v>
                </c:pt>
                <c:pt idx="10">
                  <c:v>2.2694793053811306</c:v>
                </c:pt>
                <c:pt idx="11">
                  <c:v>2.3092874764026385</c:v>
                </c:pt>
                <c:pt idx="12">
                  <c:v>2.3500337003264473</c:v>
                </c:pt>
                <c:pt idx="13">
                  <c:v>2.3909320778279231</c:v>
                </c:pt>
                <c:pt idx="14">
                  <c:v>2.4326234567979013</c:v>
                </c:pt>
                <c:pt idx="15">
                  <c:v>2.4753836757302472</c:v>
                </c:pt>
                <c:pt idx="16">
                  <c:v>2.5189576281237995</c:v>
                </c:pt>
                <c:pt idx="17">
                  <c:v>2.5633239943711805</c:v>
                </c:pt>
                <c:pt idx="18">
                  <c:v>2.6081877994275664</c:v>
                </c:pt>
                <c:pt idx="19">
                  <c:v>2.653704465487027</c:v>
                </c:pt>
                <c:pt idx="20">
                  <c:v>2.69995830124159</c:v>
                </c:pt>
                <c:pt idx="21">
                  <c:v>2.7469725684238506</c:v>
                </c:pt>
                <c:pt idx="22">
                  <c:v>2.7946775891188329</c:v>
                </c:pt>
                <c:pt idx="23">
                  <c:v>2.8431814845251782</c:v>
                </c:pt>
                <c:pt idx="24">
                  <c:v>2.8924883200382205</c:v>
                </c:pt>
                <c:pt idx="25">
                  <c:v>2.9426558904576758</c:v>
                </c:pt>
                <c:pt idx="26">
                  <c:v>2.9936013874305329</c:v>
                </c:pt>
                <c:pt idx="27">
                  <c:v>3.045313574234636</c:v>
                </c:pt>
                <c:pt idx="28">
                  <c:v>3.0956416528820361</c:v>
                </c:pt>
                <c:pt idx="29">
                  <c:v>3.1475563383647613</c:v>
                </c:pt>
                <c:pt idx="30">
                  <c:v>3.1997250390860419</c:v>
                </c:pt>
                <c:pt idx="31">
                  <c:v>3.252229990025389</c:v>
                </c:pt>
              </c:numCache>
            </c:numRef>
          </c:val>
          <c:extLst>
            <c:ext xmlns:c16="http://schemas.microsoft.com/office/drawing/2014/chart" uri="{C3380CC4-5D6E-409C-BE32-E72D297353CC}">
              <c16:uniqueId val="{00000000-1343-448F-89A2-8590D27FB4A8}"/>
            </c:ext>
          </c:extLst>
        </c:ser>
        <c:ser>
          <c:idx val="1"/>
          <c:order val="1"/>
          <c:tx>
            <c:strRef>
              <c:f>Output!$G$18</c:f>
              <c:strCache>
                <c:ptCount val="1"/>
                <c:pt idx="0">
                  <c:v>February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Output!$H$18:$AM$18</c:f>
              <c:numCache>
                <c:formatCode>"$"#,##0.00</c:formatCode>
                <c:ptCount val="32"/>
                <c:pt idx="0">
                  <c:v>1.8975095948080338</c:v>
                </c:pt>
                <c:pt idx="1">
                  <c:v>1.908827771108859</c:v>
                </c:pt>
                <c:pt idx="2">
                  <c:v>1.9567108672079785</c:v>
                </c:pt>
                <c:pt idx="3">
                  <c:v>1.9934320609337823</c:v>
                </c:pt>
                <c:pt idx="4">
                  <c:v>2.0292813719226093</c:v>
                </c:pt>
                <c:pt idx="5">
                  <c:v>2.0653757861311863</c:v>
                </c:pt>
                <c:pt idx="6">
                  <c:v>2.1019960307595342</c:v>
                </c:pt>
                <c:pt idx="7">
                  <c:v>2.1391295131820618</c:v>
                </c:pt>
                <c:pt idx="8">
                  <c:v>2.1766900047554181</c:v>
                </c:pt>
                <c:pt idx="9">
                  <c:v>2.2149023521660434</c:v>
                </c:pt>
                <c:pt idx="10">
                  <c:v>2.2538950718495148</c:v>
                </c:pt>
                <c:pt idx="11">
                  <c:v>2.2934079184770924</c:v>
                </c:pt>
                <c:pt idx="12">
                  <c:v>2.3337648180000561</c:v>
                </c:pt>
                <c:pt idx="13">
                  <c:v>2.3743314249806513</c:v>
                </c:pt>
                <c:pt idx="14">
                  <c:v>2.4157010382625428</c:v>
                </c:pt>
                <c:pt idx="15">
                  <c:v>2.4580984581321972</c:v>
                </c:pt>
                <c:pt idx="16">
                  <c:v>2.5012978081901593</c:v>
                </c:pt>
                <c:pt idx="17">
                  <c:v>2.5452574492571616</c:v>
                </c:pt>
                <c:pt idx="18">
                  <c:v>2.5897305726659474</c:v>
                </c:pt>
                <c:pt idx="19">
                  <c:v>2.6348453455471619</c:v>
                </c:pt>
                <c:pt idx="20">
                  <c:v>2.6806886352984578</c:v>
                </c:pt>
                <c:pt idx="21">
                  <c:v>2.7272800658482916</c:v>
                </c:pt>
                <c:pt idx="22">
                  <c:v>2.7745563251575902</c:v>
                </c:pt>
                <c:pt idx="23">
                  <c:v>2.8226176503865066</c:v>
                </c:pt>
                <c:pt idx="24">
                  <c:v>2.8714744644758121</c:v>
                </c:pt>
                <c:pt idx="25">
                  <c:v>2.9211780624148656</c:v>
                </c:pt>
                <c:pt idx="26">
                  <c:v>2.971650694947078</c:v>
                </c:pt>
                <c:pt idx="27">
                  <c:v>3.0228785743463851</c:v>
                </c:pt>
                <c:pt idx="28">
                  <c:v>3.0727627389983807</c:v>
                </c:pt>
                <c:pt idx="29">
                  <c:v>3.1242017183673134</c:v>
                </c:pt>
                <c:pt idx="30">
                  <c:v>3.1759098037840321</c:v>
                </c:pt>
                <c:pt idx="31">
                  <c:v>3.2279462963479228</c:v>
                </c:pt>
              </c:numCache>
            </c:numRef>
          </c:val>
          <c:extLst>
            <c:ext xmlns:c16="http://schemas.microsoft.com/office/drawing/2014/chart" uri="{C3380CC4-5D6E-409C-BE32-E72D297353CC}">
              <c16:uniqueId val="{00000001-1343-448F-89A2-8590D27FB4A8}"/>
            </c:ext>
          </c:extLst>
        </c:ser>
        <c:ser>
          <c:idx val="2"/>
          <c:order val="2"/>
          <c:tx>
            <c:strRef>
              <c:f>Output!$G$19</c:f>
              <c:strCache>
                <c:ptCount val="1"/>
                <c:pt idx="0">
                  <c:v>March</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Output!$H$19:$AM$19</c:f>
              <c:numCache>
                <c:formatCode>"$"#,##0.00</c:formatCode>
                <c:ptCount val="32"/>
                <c:pt idx="0">
                  <c:v>1.8491689892110146</c:v>
                </c:pt>
                <c:pt idx="1">
                  <c:v>1.8618901273947044</c:v>
                </c:pt>
                <c:pt idx="2">
                  <c:v>1.9084330296358267</c:v>
                </c:pt>
                <c:pt idx="3">
                  <c:v>1.9440146399357485</c:v>
                </c:pt>
                <c:pt idx="4">
                  <c:v>1.9788416673788802</c:v>
                </c:pt>
                <c:pt idx="5">
                  <c:v>2.013930721564166</c:v>
                </c:pt>
                <c:pt idx="6">
                  <c:v>2.0495141207516165</c:v>
                </c:pt>
                <c:pt idx="7">
                  <c:v>2.0855733399351379</c:v>
                </c:pt>
                <c:pt idx="8">
                  <c:v>2.1220483500217124</c:v>
                </c:pt>
                <c:pt idx="9">
                  <c:v>2.1591544611153637</c:v>
                </c:pt>
                <c:pt idx="10">
                  <c:v>2.1969623208757407</c:v>
                </c:pt>
                <c:pt idx="11">
                  <c:v>2.235314661416024</c:v>
                </c:pt>
                <c:pt idx="12">
                  <c:v>2.274389473134482</c:v>
                </c:pt>
                <c:pt idx="13">
                  <c:v>2.313728045332204</c:v>
                </c:pt>
                <c:pt idx="14">
                  <c:v>2.353844580620966</c:v>
                </c:pt>
                <c:pt idx="15">
                  <c:v>2.3949044545444043</c:v>
                </c:pt>
                <c:pt idx="16">
                  <c:v>2.4367223318413789</c:v>
                </c:pt>
                <c:pt idx="17">
                  <c:v>2.4792412292444976</c:v>
                </c:pt>
                <c:pt idx="18">
                  <c:v>2.5222731910055973</c:v>
                </c:pt>
                <c:pt idx="19">
                  <c:v>2.5659143199437677</c:v>
                </c:pt>
                <c:pt idx="20">
                  <c:v>2.6102487523531828</c:v>
                </c:pt>
                <c:pt idx="21">
                  <c:v>2.6552919840656264</c:v>
                </c:pt>
                <c:pt idx="22">
                  <c:v>2.7009906959245527</c:v>
                </c:pt>
                <c:pt idx="23">
                  <c:v>2.7474322109131029</c:v>
                </c:pt>
                <c:pt idx="24">
                  <c:v>2.7946323900325716</c:v>
                </c:pt>
                <c:pt idx="25">
                  <c:v>2.8426338998598646</c:v>
                </c:pt>
                <c:pt idx="26">
                  <c:v>2.8913687334512321</c:v>
                </c:pt>
                <c:pt idx="27">
                  <c:v>2.9408220624857901</c:v>
                </c:pt>
                <c:pt idx="28">
                  <c:v>2.9890717363710699</c:v>
                </c:pt>
                <c:pt idx="29">
                  <c:v>3.038772551072495</c:v>
                </c:pt>
                <c:pt idx="30">
                  <c:v>3.0887608626406076</c:v>
                </c:pt>
                <c:pt idx="31">
                  <c:v>3.1390721396088717</c:v>
                </c:pt>
              </c:numCache>
            </c:numRef>
          </c:val>
          <c:extLst>
            <c:ext xmlns:c16="http://schemas.microsoft.com/office/drawing/2014/chart" uri="{C3380CC4-5D6E-409C-BE32-E72D297353CC}">
              <c16:uniqueId val="{00000002-1343-448F-89A2-8590D27FB4A8}"/>
            </c:ext>
          </c:extLst>
        </c:ser>
        <c:ser>
          <c:idx val="3"/>
          <c:order val="3"/>
          <c:tx>
            <c:strRef>
              <c:f>Output!$G$20</c:f>
              <c:strCache>
                <c:ptCount val="1"/>
                <c:pt idx="0">
                  <c:v>April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4">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Output!$H$20:$AM$20</c:f>
              <c:numCache>
                <c:formatCode>"$"#,##0.00</c:formatCode>
                <c:ptCount val="32"/>
                <c:pt idx="0">
                  <c:v>1.3403159669203677</c:v>
                </c:pt>
                <c:pt idx="1">
                  <c:v>1.354372425102818</c:v>
                </c:pt>
                <c:pt idx="2">
                  <c:v>1.3803461049263532</c:v>
                </c:pt>
                <c:pt idx="3">
                  <c:v>1.4053047938981207</c:v>
                </c:pt>
                <c:pt idx="4">
                  <c:v>1.429346010840933</c:v>
                </c:pt>
                <c:pt idx="5">
                  <c:v>1.4534560143610151</c:v>
                </c:pt>
                <c:pt idx="6">
                  <c:v>1.4778337060845663</c:v>
                </c:pt>
                <c:pt idx="7">
                  <c:v>1.5024494356245983</c:v>
                </c:pt>
                <c:pt idx="8">
                  <c:v>1.5272583149531178</c:v>
                </c:pt>
                <c:pt idx="9">
                  <c:v>1.5524759609338576</c:v>
                </c:pt>
                <c:pt idx="10">
                  <c:v>1.5781204150806891</c:v>
                </c:pt>
                <c:pt idx="11">
                  <c:v>1.604112368826712</c:v>
                </c:pt>
                <c:pt idx="12">
                  <c:v>1.6305043592458324</c:v>
                </c:pt>
                <c:pt idx="13">
                  <c:v>1.656961834441222</c:v>
                </c:pt>
                <c:pt idx="14">
                  <c:v>1.6839550393158027</c:v>
                </c:pt>
                <c:pt idx="15">
                  <c:v>1.7116008557694373</c:v>
                </c:pt>
                <c:pt idx="16">
                  <c:v>1.7397332593353796</c:v>
                </c:pt>
                <c:pt idx="17">
                  <c:v>1.7682721960379726</c:v>
                </c:pt>
                <c:pt idx="18">
                  <c:v>1.7970651580952639</c:v>
                </c:pt>
                <c:pt idx="19">
                  <c:v>1.8261795973634927</c:v>
                </c:pt>
                <c:pt idx="20">
                  <c:v>1.8556965936405334</c:v>
                </c:pt>
                <c:pt idx="21">
                  <c:v>1.8856228416110805</c:v>
                </c:pt>
                <c:pt idx="22">
                  <c:v>1.9159044671557717</c:v>
                </c:pt>
                <c:pt idx="23">
                  <c:v>1.9466163859061876</c:v>
                </c:pt>
                <c:pt idx="24">
                  <c:v>1.9777739429985568</c:v>
                </c:pt>
                <c:pt idx="25">
                  <c:v>2.009408170764508</c:v>
                </c:pt>
                <c:pt idx="26">
                  <c:v>2.0414488374970703</c:v>
                </c:pt>
                <c:pt idx="27">
                  <c:v>2.0738724069636758</c:v>
                </c:pt>
                <c:pt idx="28">
                  <c:v>2.1047870946344074</c:v>
                </c:pt>
                <c:pt idx="29">
                  <c:v>2.1367894631497899</c:v>
                </c:pt>
                <c:pt idx="30">
                  <c:v>2.1687447831199522</c:v>
                </c:pt>
                <c:pt idx="31">
                  <c:v>2.2006618822588964</c:v>
                </c:pt>
              </c:numCache>
            </c:numRef>
          </c:val>
          <c:extLst>
            <c:ext xmlns:c16="http://schemas.microsoft.com/office/drawing/2014/chart" uri="{C3380CC4-5D6E-409C-BE32-E72D297353CC}">
              <c16:uniqueId val="{00000003-1343-448F-89A2-8590D27FB4A8}"/>
            </c:ext>
          </c:extLst>
        </c:ser>
        <c:ser>
          <c:idx val="4"/>
          <c:order val="4"/>
          <c:tx>
            <c:strRef>
              <c:f>Output!$G$21</c:f>
              <c:strCache>
                <c:ptCount val="1"/>
                <c:pt idx="0">
                  <c:v>May</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Output!$H$21:$AM$21</c:f>
              <c:numCache>
                <c:formatCode>"$"#,##0.00</c:formatCode>
                <c:ptCount val="32"/>
                <c:pt idx="0">
                  <c:v>1.3570206744614886</c:v>
                </c:pt>
                <c:pt idx="1">
                  <c:v>1.3725625520213887</c:v>
                </c:pt>
                <c:pt idx="2">
                  <c:v>1.3988618881917925</c:v>
                </c:pt>
                <c:pt idx="3">
                  <c:v>1.4242044587399034</c:v>
                </c:pt>
                <c:pt idx="4">
                  <c:v>1.4486269147700104</c:v>
                </c:pt>
                <c:pt idx="5">
                  <c:v>1.4731405542322253</c:v>
                </c:pt>
                <c:pt idx="6">
                  <c:v>1.4979250169436829</c:v>
                </c:pt>
                <c:pt idx="7">
                  <c:v>1.522942174420375</c:v>
                </c:pt>
                <c:pt idx="8">
                  <c:v>1.5481646701008716</c:v>
                </c:pt>
                <c:pt idx="9">
                  <c:v>1.5738243048997451</c:v>
                </c:pt>
                <c:pt idx="10">
                  <c:v>1.5998912132361585</c:v>
                </c:pt>
                <c:pt idx="11">
                  <c:v>1.6263659920085651</c:v>
                </c:pt>
                <c:pt idx="12">
                  <c:v>1.6531811615710348</c:v>
                </c:pt>
                <c:pt idx="13">
                  <c:v>1.6801158876026623</c:v>
                </c:pt>
                <c:pt idx="14">
                  <c:v>1.707625391040708</c:v>
                </c:pt>
                <c:pt idx="15">
                  <c:v>1.7357884959593748</c:v>
                </c:pt>
                <c:pt idx="16">
                  <c:v>1.7644553714118563</c:v>
                </c:pt>
                <c:pt idx="17">
                  <c:v>1.7935236539947645</c:v>
                </c:pt>
                <c:pt idx="18">
                  <c:v>1.8228743660334281</c:v>
                </c:pt>
                <c:pt idx="19">
                  <c:v>1.8525549207307197</c:v>
                </c:pt>
                <c:pt idx="20">
                  <c:v>1.8826532216788698</c:v>
                </c:pt>
                <c:pt idx="21">
                  <c:v>1.9131731584333149</c:v>
                </c:pt>
                <c:pt idx="22">
                  <c:v>1.9440633818321218</c:v>
                </c:pt>
                <c:pt idx="23">
                  <c:v>1.9753961436658076</c:v>
                </c:pt>
                <c:pt idx="24">
                  <c:v>2.0071932206165823</c:v>
                </c:pt>
                <c:pt idx="25">
                  <c:v>2.0394817112962365</c:v>
                </c:pt>
                <c:pt idx="26">
                  <c:v>2.0721918404008348</c:v>
                </c:pt>
                <c:pt idx="27">
                  <c:v>2.1052965083417305</c:v>
                </c:pt>
                <c:pt idx="28">
                  <c:v>2.1368423282432936</c:v>
                </c:pt>
                <c:pt idx="29">
                  <c:v>2.1695095067019095</c:v>
                </c:pt>
                <c:pt idx="30">
                  <c:v>2.202140183243416</c:v>
                </c:pt>
                <c:pt idx="31">
                  <c:v>2.2347236138668989</c:v>
                </c:pt>
              </c:numCache>
            </c:numRef>
          </c:val>
          <c:extLst>
            <c:ext xmlns:c16="http://schemas.microsoft.com/office/drawing/2014/chart" uri="{C3380CC4-5D6E-409C-BE32-E72D297353CC}">
              <c16:uniqueId val="{00000004-1343-448F-89A2-8590D27FB4A8}"/>
            </c:ext>
          </c:extLst>
        </c:ser>
        <c:ser>
          <c:idx val="5"/>
          <c:order val="5"/>
          <c:tx>
            <c:strRef>
              <c:f>Output!$G$22</c:f>
              <c:strCache>
                <c:ptCount val="1"/>
                <c:pt idx="0">
                  <c:v>June</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a:sp3d contourW="9525">
              <a:contourClr>
                <a:schemeClr val="accent6">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Output!$H$22:$AM$22</c:f>
              <c:numCache>
                <c:formatCode>"$"#,##0.00</c:formatCode>
                <c:ptCount val="32"/>
                <c:pt idx="0">
                  <c:v>1.3695060896666167</c:v>
                </c:pt>
                <c:pt idx="1">
                  <c:v>1.3865864353962674</c:v>
                </c:pt>
                <c:pt idx="2">
                  <c:v>1.4130992948141379</c:v>
                </c:pt>
                <c:pt idx="3">
                  <c:v>1.4387266304744264</c:v>
                </c:pt>
                <c:pt idx="4">
                  <c:v>1.4634401125421437</c:v>
                </c:pt>
                <c:pt idx="5">
                  <c:v>1.48826765703881</c:v>
                </c:pt>
                <c:pt idx="6">
                  <c:v>1.5133666845403457</c:v>
                </c:pt>
                <c:pt idx="7">
                  <c:v>1.538690441545973</c:v>
                </c:pt>
                <c:pt idx="8">
                  <c:v>1.5642304532130944</c:v>
                </c:pt>
                <c:pt idx="9">
                  <c:v>1.5902334181041464</c:v>
                </c:pt>
                <c:pt idx="10">
                  <c:v>1.6166189046762089</c:v>
                </c:pt>
                <c:pt idx="11">
                  <c:v>1.6434723350399545</c:v>
                </c:pt>
                <c:pt idx="12">
                  <c:v>1.6705994795228376</c:v>
                </c:pt>
                <c:pt idx="13">
                  <c:v>1.6979024072756548</c:v>
                </c:pt>
                <c:pt idx="14">
                  <c:v>1.7258159036462182</c:v>
                </c:pt>
                <c:pt idx="15">
                  <c:v>1.754377612187632</c:v>
                </c:pt>
                <c:pt idx="16">
                  <c:v>1.7834563700456967</c:v>
                </c:pt>
                <c:pt idx="17">
                  <c:v>1.8129271377979097</c:v>
                </c:pt>
                <c:pt idx="18">
                  <c:v>1.8427077071209315</c:v>
                </c:pt>
                <c:pt idx="19">
                  <c:v>1.8728237501337959</c:v>
                </c:pt>
                <c:pt idx="20">
                  <c:v>1.9033695487096005</c:v>
                </c:pt>
                <c:pt idx="21">
                  <c:v>1.9343459760318333</c:v>
                </c:pt>
                <c:pt idx="22">
                  <c:v>1.9657048695090364</c:v>
                </c:pt>
                <c:pt idx="23">
                  <c:v>1.9975149409532988</c:v>
                </c:pt>
                <c:pt idx="24">
                  <c:v>2.0298045804783373</c:v>
                </c:pt>
                <c:pt idx="25">
                  <c:v>2.0625964434741144</c:v>
                </c:pt>
                <c:pt idx="26">
                  <c:v>2.0958219267016123</c:v>
                </c:pt>
                <c:pt idx="27">
                  <c:v>2.1294504145839861</c:v>
                </c:pt>
                <c:pt idx="28">
                  <c:v>2.1614823681417996</c:v>
                </c:pt>
                <c:pt idx="29">
                  <c:v>2.1946603847161317</c:v>
                </c:pt>
                <c:pt idx="30">
                  <c:v>2.2278134557993026</c:v>
                </c:pt>
                <c:pt idx="31">
                  <c:v>2.2609101650779087</c:v>
                </c:pt>
              </c:numCache>
            </c:numRef>
          </c:val>
          <c:extLst>
            <c:ext xmlns:c16="http://schemas.microsoft.com/office/drawing/2014/chart" uri="{C3380CC4-5D6E-409C-BE32-E72D297353CC}">
              <c16:uniqueId val="{00000005-1343-448F-89A2-8590D27FB4A8}"/>
            </c:ext>
          </c:extLst>
        </c:ser>
        <c:ser>
          <c:idx val="6"/>
          <c:order val="6"/>
          <c:tx>
            <c:strRef>
              <c:f>Output!$G$23</c:f>
              <c:strCache>
                <c:ptCount val="1"/>
                <c:pt idx="0">
                  <c:v>July</c:v>
                </c:pt>
              </c:strCache>
            </c:strRef>
          </c:tx>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a:sp3d contourW="9525">
              <a:contourClr>
                <a:schemeClr val="accent1">
                  <a:lumMod val="60000"/>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Output!$H$23:$AM$23</c:f>
              <c:numCache>
                <c:formatCode>"$"#,##0.00</c:formatCode>
                <c:ptCount val="32"/>
                <c:pt idx="0">
                  <c:v>1.3725348579338905</c:v>
                </c:pt>
                <c:pt idx="1">
                  <c:v>1.3911073580479791</c:v>
                </c:pt>
                <c:pt idx="2">
                  <c:v>1.4175939451373907</c:v>
                </c:pt>
                <c:pt idx="3">
                  <c:v>1.4432847289082285</c:v>
                </c:pt>
                <c:pt idx="4">
                  <c:v>1.4680846977364663</c:v>
                </c:pt>
                <c:pt idx="5">
                  <c:v>1.4930203201586134</c:v>
                </c:pt>
                <c:pt idx="6">
                  <c:v>1.5182231869640335</c:v>
                </c:pt>
                <c:pt idx="7">
                  <c:v>1.5436384731677852</c:v>
                </c:pt>
                <c:pt idx="8">
                  <c:v>1.5692773826911499</c:v>
                </c:pt>
                <c:pt idx="9">
                  <c:v>1.5953975477901436</c:v>
                </c:pt>
                <c:pt idx="10">
                  <c:v>1.621867705716062</c:v>
                </c:pt>
                <c:pt idx="11">
                  <c:v>1.6488594460278845</c:v>
                </c:pt>
                <c:pt idx="12">
                  <c:v>1.6760509903500029</c:v>
                </c:pt>
                <c:pt idx="13">
                  <c:v>1.7034732745597227</c:v>
                </c:pt>
                <c:pt idx="14">
                  <c:v>1.7315320711797773</c:v>
                </c:pt>
                <c:pt idx="15">
                  <c:v>1.7602217576144055</c:v>
                </c:pt>
                <c:pt idx="16">
                  <c:v>1.7894328526915806</c:v>
                </c:pt>
                <c:pt idx="17">
                  <c:v>1.8190191346857441</c:v>
                </c:pt>
                <c:pt idx="18">
                  <c:v>1.8489379077077075</c:v>
                </c:pt>
                <c:pt idx="19">
                  <c:v>1.8791918965939707</c:v>
                </c:pt>
                <c:pt idx="20">
                  <c:v>1.9098802699119393</c:v>
                </c:pt>
                <c:pt idx="21">
                  <c:v>1.9410007658572119</c:v>
                </c:pt>
                <c:pt idx="22">
                  <c:v>1.9725093899852144</c:v>
                </c:pt>
                <c:pt idx="23">
                  <c:v>2.0044699480380861</c:v>
                </c:pt>
                <c:pt idx="24">
                  <c:v>2.0369171543317215</c:v>
                </c:pt>
                <c:pt idx="25">
                  <c:v>2.0698686589746647</c:v>
                </c:pt>
                <c:pt idx="26">
                  <c:v>2.1032583142250907</c:v>
                </c:pt>
                <c:pt idx="27">
                  <c:v>2.1370524236371073</c:v>
                </c:pt>
                <c:pt idx="28">
                  <c:v>2.1692399667442785</c:v>
                </c:pt>
                <c:pt idx="29">
                  <c:v>2.2025783458159589</c:v>
                </c:pt>
                <c:pt idx="30">
                  <c:v>2.2359041817883236</c:v>
                </c:pt>
                <c:pt idx="31">
                  <c:v>2.2691652510335008</c:v>
                </c:pt>
              </c:numCache>
            </c:numRef>
          </c:val>
          <c:extLst>
            <c:ext xmlns:c16="http://schemas.microsoft.com/office/drawing/2014/chart" uri="{C3380CC4-5D6E-409C-BE32-E72D297353CC}">
              <c16:uniqueId val="{00000006-1343-448F-89A2-8590D27FB4A8}"/>
            </c:ext>
          </c:extLst>
        </c:ser>
        <c:ser>
          <c:idx val="7"/>
          <c:order val="7"/>
          <c:tx>
            <c:strRef>
              <c:f>Output!$G$24</c:f>
              <c:strCache>
                <c:ptCount val="1"/>
                <c:pt idx="0">
                  <c:v>August</c:v>
                </c:pt>
              </c:strCache>
            </c:strRef>
          </c:tx>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a:sp3d contourW="9525">
              <a:contourClr>
                <a:schemeClr val="accent2">
                  <a:lumMod val="60000"/>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Output!$H$24:$AM$24</c:f>
              <c:numCache>
                <c:formatCode>"$"#,##0.00</c:formatCode>
                <c:ptCount val="32"/>
                <c:pt idx="0">
                  <c:v>1.3670137512756524</c:v>
                </c:pt>
                <c:pt idx="1">
                  <c:v>1.3869705148427922</c:v>
                </c:pt>
                <c:pt idx="2">
                  <c:v>1.4132186335025994</c:v>
                </c:pt>
                <c:pt idx="3">
                  <c:v>1.4387731021236996</c:v>
                </c:pt>
                <c:pt idx="4">
                  <c:v>1.4634736937309671</c:v>
                </c:pt>
                <c:pt idx="5">
                  <c:v>1.4883294193249936</c:v>
                </c:pt>
                <c:pt idx="6">
                  <c:v>1.5134439815178429</c:v>
                </c:pt>
                <c:pt idx="7">
                  <c:v>1.5387553370697269</c:v>
                </c:pt>
                <c:pt idx="8">
                  <c:v>1.5642941984783592</c:v>
                </c:pt>
                <c:pt idx="9">
                  <c:v>1.5903251159646454</c:v>
                </c:pt>
                <c:pt idx="10">
                  <c:v>1.6166680310888082</c:v>
                </c:pt>
                <c:pt idx="11">
                  <c:v>1.6435780445567989</c:v>
                </c:pt>
                <c:pt idx="12">
                  <c:v>1.6706108184829835</c:v>
                </c:pt>
                <c:pt idx="13">
                  <c:v>1.6979257028215686</c:v>
                </c:pt>
                <c:pt idx="14">
                  <c:v>1.7258931217600755</c:v>
                </c:pt>
                <c:pt idx="15">
                  <c:v>1.7544642642256525</c:v>
                </c:pt>
                <c:pt idx="16">
                  <c:v>1.7835530433169791</c:v>
                </c:pt>
                <c:pt idx="17">
                  <c:v>1.812994330702244</c:v>
                </c:pt>
                <c:pt idx="18">
                  <c:v>1.8427856180030662</c:v>
                </c:pt>
                <c:pt idx="19">
                  <c:v>1.8729066349583725</c:v>
                </c:pt>
                <c:pt idx="20">
                  <c:v>1.9034598912408358</c:v>
                </c:pt>
                <c:pt idx="21">
                  <c:v>1.9344400246090117</c:v>
                </c:pt>
                <c:pt idx="22">
                  <c:v>1.9658078959072784</c:v>
                </c:pt>
                <c:pt idx="23">
                  <c:v>1.9976214085002022</c:v>
                </c:pt>
                <c:pt idx="24">
                  <c:v>2.0299210609356249</c:v>
                </c:pt>
                <c:pt idx="25">
                  <c:v>2.0627192215943468</c:v>
                </c:pt>
                <c:pt idx="26">
                  <c:v>2.0959532304995587</c:v>
                </c:pt>
                <c:pt idx="27">
                  <c:v>2.1295868351823111</c:v>
                </c:pt>
                <c:pt idx="28">
                  <c:v>2.1616288966918109</c:v>
                </c:pt>
                <c:pt idx="29">
                  <c:v>2.194808618759021</c:v>
                </c:pt>
                <c:pt idx="30">
                  <c:v>2.2279883986252784</c:v>
                </c:pt>
                <c:pt idx="31">
                  <c:v>2.2610960150540427</c:v>
                </c:pt>
              </c:numCache>
            </c:numRef>
          </c:val>
          <c:extLst>
            <c:ext xmlns:c16="http://schemas.microsoft.com/office/drawing/2014/chart" uri="{C3380CC4-5D6E-409C-BE32-E72D297353CC}">
              <c16:uniqueId val="{00000007-1343-448F-89A2-8590D27FB4A8}"/>
            </c:ext>
          </c:extLst>
        </c:ser>
        <c:ser>
          <c:idx val="8"/>
          <c:order val="8"/>
          <c:tx>
            <c:strRef>
              <c:f>Output!$G$25</c:f>
              <c:strCache>
                <c:ptCount val="1"/>
                <c:pt idx="0">
                  <c:v>September</c:v>
                </c:pt>
              </c:strCache>
            </c:strRef>
          </c:tx>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a:sp3d contourW="9525">
              <a:contourClr>
                <a:schemeClr val="accent3">
                  <a:lumMod val="60000"/>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Output!$H$25:$AM$25</c:f>
              <c:numCache>
                <c:formatCode>"$"#,##0.00</c:formatCode>
                <c:ptCount val="32"/>
                <c:pt idx="0">
                  <c:v>1.3733425464774891</c:v>
                </c:pt>
                <c:pt idx="1">
                  <c:v>1.3948746054157883</c:v>
                </c:pt>
                <c:pt idx="2">
                  <c:v>1.4211754585194607</c:v>
                </c:pt>
                <c:pt idx="3">
                  <c:v>1.446870269764488</c:v>
                </c:pt>
                <c:pt idx="4">
                  <c:v>1.4717296759879224</c:v>
                </c:pt>
                <c:pt idx="5">
                  <c:v>1.4967672169749258</c:v>
                </c:pt>
                <c:pt idx="6">
                  <c:v>1.5220608019946551</c:v>
                </c:pt>
                <c:pt idx="7">
                  <c:v>1.5475397652511513</c:v>
                </c:pt>
                <c:pt idx="8">
                  <c:v>1.5732551236407699</c:v>
                </c:pt>
                <c:pt idx="9">
                  <c:v>1.5994841825086934</c:v>
                </c:pt>
                <c:pt idx="10">
                  <c:v>1.6259938363201574</c:v>
                </c:pt>
                <c:pt idx="11">
                  <c:v>1.6531288110097275</c:v>
                </c:pt>
                <c:pt idx="12">
                  <c:v>1.680311704264978</c:v>
                </c:pt>
                <c:pt idx="13">
                  <c:v>1.7078345809909719</c:v>
                </c:pt>
                <c:pt idx="14">
                  <c:v>1.7360404057544088</c:v>
                </c:pt>
                <c:pt idx="15">
                  <c:v>1.7648358372452515</c:v>
                </c:pt>
                <c:pt idx="16">
                  <c:v>1.7941564453804837</c:v>
                </c:pt>
                <c:pt idx="17">
                  <c:v>1.8238144595939829</c:v>
                </c:pt>
                <c:pt idx="18">
                  <c:v>1.8538477579618364</c:v>
                </c:pt>
                <c:pt idx="19">
                  <c:v>1.8842124859552594</c:v>
                </c:pt>
                <c:pt idx="20">
                  <c:v>1.915016760345861</c:v>
                </c:pt>
                <c:pt idx="21">
                  <c:v>1.9462519814396868</c:v>
                </c:pt>
                <c:pt idx="22">
                  <c:v>1.9778830389232918</c:v>
                </c:pt>
                <c:pt idx="23">
                  <c:v>2.0099631645381844</c:v>
                </c:pt>
                <c:pt idx="24">
                  <c:v>2.0425395644933397</c:v>
                </c:pt>
                <c:pt idx="25">
                  <c:v>2.0756195629342313</c:v>
                </c:pt>
                <c:pt idx="26">
                  <c:v>2.1091426374744584</c:v>
                </c:pt>
                <c:pt idx="27">
                  <c:v>2.1430691695723199</c:v>
                </c:pt>
                <c:pt idx="28">
                  <c:v>2.1753844228998598</c:v>
                </c:pt>
                <c:pt idx="29">
                  <c:v>2.2088489920815566</c:v>
                </c:pt>
                <c:pt idx="30">
                  <c:v>2.242326300829685</c:v>
                </c:pt>
                <c:pt idx="31">
                  <c:v>2.275722422376397</c:v>
                </c:pt>
              </c:numCache>
            </c:numRef>
          </c:val>
          <c:extLst>
            <c:ext xmlns:c16="http://schemas.microsoft.com/office/drawing/2014/chart" uri="{C3380CC4-5D6E-409C-BE32-E72D297353CC}">
              <c16:uniqueId val="{00000008-1343-448F-89A2-8590D27FB4A8}"/>
            </c:ext>
          </c:extLst>
        </c:ser>
        <c:ser>
          <c:idx val="9"/>
          <c:order val="9"/>
          <c:tx>
            <c:strRef>
              <c:f>Output!$G$26</c:f>
              <c:strCache>
                <c:ptCount val="1"/>
                <c:pt idx="0">
                  <c:v>October</c:v>
                </c:pt>
              </c:strCache>
            </c:strRef>
          </c:tx>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a:sp3d contourW="9525">
              <a:contourClr>
                <a:schemeClr val="accent4">
                  <a:lumMod val="60000"/>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Output!$H$26:$AM$26</c:f>
              <c:numCache>
                <c:formatCode>"$"#,##0.00</c:formatCode>
                <c:ptCount val="32"/>
                <c:pt idx="0">
                  <c:v>1.3688813784218827</c:v>
                </c:pt>
                <c:pt idx="1">
                  <c:v>1.3918063240629635</c:v>
                </c:pt>
                <c:pt idx="2">
                  <c:v>1.4178953465104402</c:v>
                </c:pt>
                <c:pt idx="3">
                  <c:v>1.4434786314217107</c:v>
                </c:pt>
                <c:pt idx="4">
                  <c:v>1.468261634735301</c:v>
                </c:pt>
                <c:pt idx="5">
                  <c:v>1.4932424467544778</c:v>
                </c:pt>
                <c:pt idx="6">
                  <c:v>1.518471430559208</c:v>
                </c:pt>
                <c:pt idx="7">
                  <c:v>1.5438706217161884</c:v>
                </c:pt>
                <c:pt idx="8">
                  <c:v>1.5695105026743987</c:v>
                </c:pt>
                <c:pt idx="9">
                  <c:v>1.5956757634920422</c:v>
                </c:pt>
                <c:pt idx="10">
                  <c:v>1.6220844143808399</c:v>
                </c:pt>
                <c:pt idx="11">
                  <c:v>1.6491647431682162</c:v>
                </c:pt>
                <c:pt idx="12">
                  <c:v>1.6762165806261158</c:v>
                </c:pt>
                <c:pt idx="13">
                  <c:v>1.7036600411806873</c:v>
                </c:pt>
                <c:pt idx="14">
                  <c:v>1.7318036286471785</c:v>
                </c:pt>
                <c:pt idx="15">
                  <c:v>1.7605109449330425</c:v>
                </c:pt>
                <c:pt idx="16">
                  <c:v>1.7897406690656754</c:v>
                </c:pt>
                <c:pt idx="17">
                  <c:v>1.8192859083503117</c:v>
                </c:pt>
                <c:pt idx="18">
                  <c:v>1.8492245147574036</c:v>
                </c:pt>
                <c:pt idx="19">
                  <c:v>1.8794897196458666</c:v>
                </c:pt>
                <c:pt idx="20">
                  <c:v>1.910193158318763</c:v>
                </c:pt>
                <c:pt idx="21">
                  <c:v>1.9413231365683548</c:v>
                </c:pt>
                <c:pt idx="22">
                  <c:v>1.9728492997652807</c:v>
                </c:pt>
                <c:pt idx="23">
                  <c:v>2.0048191179758175</c:v>
                </c:pt>
                <c:pt idx="24">
                  <c:v>2.0372856285364782</c:v>
                </c:pt>
                <c:pt idx="25">
                  <c:v>2.0702509248160199</c:v>
                </c:pt>
                <c:pt idx="26">
                  <c:v>2.103657835000643</c:v>
                </c:pt>
                <c:pt idx="27">
                  <c:v>2.1374641289217804</c:v>
                </c:pt>
                <c:pt idx="28">
                  <c:v>2.1696710648701365</c:v>
                </c:pt>
                <c:pt idx="29">
                  <c:v>2.2030163715268358</c:v>
                </c:pt>
                <c:pt idx="30">
                  <c:v>2.2363869532726977</c:v>
                </c:pt>
                <c:pt idx="31">
                  <c:v>2.2696688524212911</c:v>
                </c:pt>
              </c:numCache>
            </c:numRef>
          </c:val>
          <c:extLst>
            <c:ext xmlns:c16="http://schemas.microsoft.com/office/drawing/2014/chart" uri="{C3380CC4-5D6E-409C-BE32-E72D297353CC}">
              <c16:uniqueId val="{00000009-1343-448F-89A2-8590D27FB4A8}"/>
            </c:ext>
          </c:extLst>
        </c:ser>
        <c:ser>
          <c:idx val="10"/>
          <c:order val="10"/>
          <c:tx>
            <c:strRef>
              <c:f>Output!$G$27</c:f>
              <c:strCache>
                <c:ptCount val="1"/>
                <c:pt idx="0">
                  <c:v>November</c:v>
                </c:pt>
              </c:strCache>
            </c:strRef>
          </c:tx>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a:sp3d contourW="9525">
              <a:contourClr>
                <a:schemeClr val="accent5">
                  <a:lumMod val="60000"/>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Output!$H$27:$AM$27</c:f>
              <c:numCache>
                <c:formatCode>"$"#,##0.00</c:formatCode>
                <c:ptCount val="32"/>
                <c:pt idx="0">
                  <c:v>1.8931246536767912</c:v>
                </c:pt>
                <c:pt idx="1">
                  <c:v>1.9181294544627305</c:v>
                </c:pt>
                <c:pt idx="2">
                  <c:v>1.9649449348031083</c:v>
                </c:pt>
                <c:pt idx="3">
                  <c:v>2.0014945154265789</c:v>
                </c:pt>
                <c:pt idx="4">
                  <c:v>2.0374436305586534</c:v>
                </c:pt>
                <c:pt idx="5">
                  <c:v>2.0738337694472206</c:v>
                </c:pt>
                <c:pt idx="6">
                  <c:v>2.1106935797664397</c:v>
                </c:pt>
                <c:pt idx="7">
                  <c:v>2.1479374750821139</c:v>
                </c:pt>
                <c:pt idx="8">
                  <c:v>2.1856645648068307</c:v>
                </c:pt>
                <c:pt idx="9">
                  <c:v>2.2241875312123263</c:v>
                </c:pt>
                <c:pt idx="10">
                  <c:v>2.263162315413572</c:v>
                </c:pt>
                <c:pt idx="11">
                  <c:v>2.3031328333812109</c:v>
                </c:pt>
                <c:pt idx="12">
                  <c:v>2.3432367394830069</c:v>
                </c:pt>
                <c:pt idx="13">
                  <c:v>2.3840559331012212</c:v>
                </c:pt>
                <c:pt idx="14">
                  <c:v>2.4258850346526408</c:v>
                </c:pt>
                <c:pt idx="15">
                  <c:v>2.4685402114052843</c:v>
                </c:pt>
                <c:pt idx="16">
                  <c:v>2.5120071252364342</c:v>
                </c:pt>
                <c:pt idx="17">
                  <c:v>2.5560527175993588</c:v>
                </c:pt>
                <c:pt idx="18">
                  <c:v>2.6008062407624051</c:v>
                </c:pt>
                <c:pt idx="19">
                  <c:v>2.6461787894567053</c:v>
                </c:pt>
                <c:pt idx="20">
                  <c:v>2.6922974503933417</c:v>
                </c:pt>
                <c:pt idx="21">
                  <c:v>2.7391523503548258</c:v>
                </c:pt>
                <c:pt idx="22">
                  <c:v>2.786722225916626</c:v>
                </c:pt>
                <c:pt idx="23">
                  <c:v>2.8350570973893108</c:v>
                </c:pt>
                <c:pt idx="24">
                  <c:v>2.8842250764800981</c:v>
                </c:pt>
                <c:pt idx="25">
                  <c:v>2.9342290830498472</c:v>
                </c:pt>
                <c:pt idx="26">
                  <c:v>2.9850185617828258</c:v>
                </c:pt>
                <c:pt idx="27">
                  <c:v>3.0365526323720085</c:v>
                </c:pt>
                <c:pt idx="28">
                  <c:v>3.0867449094741573</c:v>
                </c:pt>
                <c:pt idx="29">
                  <c:v>3.1384678135246364</c:v>
                </c:pt>
                <c:pt idx="30">
                  <c:v>3.1905778121077137</c:v>
                </c:pt>
                <c:pt idx="31">
                  <c:v>3.2429406709114343</c:v>
                </c:pt>
              </c:numCache>
            </c:numRef>
          </c:val>
          <c:extLst>
            <c:ext xmlns:c16="http://schemas.microsoft.com/office/drawing/2014/chart" uri="{C3380CC4-5D6E-409C-BE32-E72D297353CC}">
              <c16:uniqueId val="{0000000A-1343-448F-89A2-8590D27FB4A8}"/>
            </c:ext>
          </c:extLst>
        </c:ser>
        <c:ser>
          <c:idx val="11"/>
          <c:order val="11"/>
          <c:tx>
            <c:strRef>
              <c:f>Output!$G$28</c:f>
              <c:strCache>
                <c:ptCount val="1"/>
                <c:pt idx="0">
                  <c:v>December</c:v>
                </c:pt>
              </c:strCache>
            </c:strRef>
          </c:tx>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a:sp3d contourW="9525">
              <a:contourClr>
                <a:schemeClr val="accent6">
                  <a:lumMod val="60000"/>
                  <a:shade val="95000"/>
                </a:schemeClr>
              </a:contourClr>
            </a:sp3d>
          </c:spPr>
          <c:cat>
            <c:numRef>
              <c:f>Output!$H$16:$AM$16</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Output!$H$28:$AM$28</c:f>
              <c:numCache>
                <c:formatCode>"$"#,##0.00</c:formatCode>
                <c:ptCount val="32"/>
                <c:pt idx="0">
                  <c:v>1.8963377555425818</c:v>
                </c:pt>
                <c:pt idx="1">
                  <c:v>1.9229842048927597</c:v>
                </c:pt>
                <c:pt idx="2">
                  <c:v>1.9697677197744223</c:v>
                </c:pt>
                <c:pt idx="3">
                  <c:v>2.0063843146887925</c:v>
                </c:pt>
                <c:pt idx="4">
                  <c:v>2.0424260134692602</c:v>
                </c:pt>
                <c:pt idx="5">
                  <c:v>2.0789324824630322</c:v>
                </c:pt>
                <c:pt idx="6">
                  <c:v>2.1159038956223886</c:v>
                </c:pt>
                <c:pt idx="7">
                  <c:v>2.1532457902275528</c:v>
                </c:pt>
                <c:pt idx="8">
                  <c:v>2.1910789439176122</c:v>
                </c:pt>
                <c:pt idx="9">
                  <c:v>2.2297280219586026</c:v>
                </c:pt>
                <c:pt idx="10">
                  <c:v>2.2687930181980729</c:v>
                </c:pt>
                <c:pt idx="11">
                  <c:v>2.30891269999591</c:v>
                </c:pt>
                <c:pt idx="12">
                  <c:v>2.349084333795421</c:v>
                </c:pt>
                <c:pt idx="13">
                  <c:v>2.3900317231981596</c:v>
                </c:pt>
                <c:pt idx="14">
                  <c:v>2.4320174485202797</c:v>
                </c:pt>
                <c:pt idx="15">
                  <c:v>2.4748100325668685</c:v>
                </c:pt>
                <c:pt idx="16">
                  <c:v>2.5184190380151481</c:v>
                </c:pt>
                <c:pt idx="17">
                  <c:v>2.5625881124666936</c:v>
                </c:pt>
                <c:pt idx="18">
                  <c:v>2.607490029747165</c:v>
                </c:pt>
                <c:pt idx="19">
                  <c:v>2.6530106138843519</c:v>
                </c:pt>
                <c:pt idx="20">
                  <c:v>2.6992823108199211</c:v>
                </c:pt>
                <c:pt idx="21">
                  <c:v>2.7462917955171964</c:v>
                </c:pt>
                <c:pt idx="22">
                  <c:v>2.7940224044250339</c:v>
                </c:pt>
                <c:pt idx="23">
                  <c:v>2.8425187409443176</c:v>
                </c:pt>
                <c:pt idx="24">
                  <c:v>2.891855873403725</c:v>
                </c:pt>
                <c:pt idx="25">
                  <c:v>2.9420312057927891</c:v>
                </c:pt>
                <c:pt idx="26">
                  <c:v>2.9929969015984499</c:v>
                </c:pt>
                <c:pt idx="27">
                  <c:v>3.0447086953011695</c:v>
                </c:pt>
                <c:pt idx="28">
                  <c:v>3.0950680063140288</c:v>
                </c:pt>
                <c:pt idx="29">
                  <c:v>3.1469629437308591</c:v>
                </c:pt>
                <c:pt idx="30">
                  <c:v>3.1992586362874995</c:v>
                </c:pt>
                <c:pt idx="31">
                  <c:v>3.2517979478057497</c:v>
                </c:pt>
              </c:numCache>
            </c:numRef>
          </c:val>
          <c:extLst>
            <c:ext xmlns:c16="http://schemas.microsoft.com/office/drawing/2014/chart" uri="{C3380CC4-5D6E-409C-BE32-E72D297353CC}">
              <c16:uniqueId val="{0000000B-1343-448F-89A2-8590D27FB4A8}"/>
            </c:ext>
          </c:extLst>
        </c:ser>
        <c:bandFmts>
          <c:band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bandFmt>
          <c:band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bandFmt>
          <c:bandFmt>
            <c:idx val="2"/>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bandFmt>
          <c:bandFmt>
            <c:idx val="3"/>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4">
                    <a:shade val="95000"/>
                  </a:schemeClr>
                </a:contourClr>
              </a:sp3d>
            </c:spPr>
          </c:bandFmt>
          <c:bandFmt>
            <c:idx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bandFmt>
          <c:band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a:sp3d contourW="9525">
                <a:contourClr>
                  <a:schemeClr val="accent6">
                    <a:shade val="95000"/>
                  </a:schemeClr>
                </a:contourClr>
              </a:sp3d>
            </c:spPr>
          </c:bandFmt>
          <c:bandFmt>
            <c:idx val="6"/>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a:sp3d contourW="9525">
                <a:contourClr>
                  <a:schemeClr val="accent1">
                    <a:lumMod val="60000"/>
                    <a:shade val="95000"/>
                  </a:schemeClr>
                </a:contourClr>
              </a:sp3d>
            </c:spPr>
          </c:bandFmt>
          <c:bandFmt>
            <c:idx val="7"/>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a:sp3d contourW="9525">
                <a:contourClr>
                  <a:schemeClr val="accent2">
                    <a:lumMod val="60000"/>
                    <a:shade val="95000"/>
                  </a:schemeClr>
                </a:contourClr>
              </a:sp3d>
            </c:spPr>
          </c:bandFmt>
          <c:bandFmt>
            <c:idx val="8"/>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a:sp3d contourW="9525">
                <a:contourClr>
                  <a:schemeClr val="accent3">
                    <a:lumMod val="60000"/>
                    <a:shade val="95000"/>
                  </a:schemeClr>
                </a:contourClr>
              </a:sp3d>
            </c:spPr>
          </c:bandFmt>
          <c:bandFmt>
            <c:idx val="9"/>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a:sp3d contourW="9525">
                <a:contourClr>
                  <a:schemeClr val="accent4">
                    <a:lumMod val="60000"/>
                    <a:shade val="95000"/>
                  </a:schemeClr>
                </a:contourClr>
              </a:sp3d>
            </c:spPr>
          </c:bandFmt>
          <c:bandFmt>
            <c:idx val="10"/>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a:sp3d contourW="9525">
                <a:contourClr>
                  <a:schemeClr val="accent5">
                    <a:lumMod val="60000"/>
                    <a:shade val="95000"/>
                  </a:schemeClr>
                </a:contourClr>
              </a:sp3d>
            </c:spPr>
          </c:bandFmt>
          <c:bandFmt>
            <c:idx val="11"/>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a:sp3d contourW="9525">
                <a:contourClr>
                  <a:schemeClr val="accent6">
                    <a:lumMod val="60000"/>
                    <a:shade val="95000"/>
                  </a:schemeClr>
                </a:contourClr>
              </a:sp3d>
            </c:spPr>
          </c:bandFmt>
          <c:bandFmt>
            <c:idx val="12"/>
            <c:spPr>
              <a:gradFill rotWithShape="1">
                <a:gsLst>
                  <a:gs pos="0">
                    <a:schemeClr val="accent1">
                      <a:lumMod val="80000"/>
                      <a:lumOff val="20000"/>
                      <a:tint val="50000"/>
                      <a:satMod val="300000"/>
                    </a:schemeClr>
                  </a:gs>
                  <a:gs pos="35000">
                    <a:schemeClr val="accent1">
                      <a:lumMod val="80000"/>
                      <a:lumOff val="20000"/>
                      <a:tint val="37000"/>
                      <a:satMod val="300000"/>
                    </a:schemeClr>
                  </a:gs>
                  <a:gs pos="100000">
                    <a:schemeClr val="accent1">
                      <a:lumMod val="80000"/>
                      <a:lumOff val="20000"/>
                      <a:tint val="15000"/>
                      <a:satMod val="350000"/>
                    </a:schemeClr>
                  </a:gs>
                </a:gsLst>
                <a:lin ang="16200000" scaled="1"/>
              </a:gradFill>
              <a:ln w="9525" cap="flat" cmpd="sng" algn="ctr">
                <a:solidFill>
                  <a:schemeClr val="accent1">
                    <a:lumMod val="80000"/>
                    <a:lumOff val="20000"/>
                    <a:shade val="95000"/>
                  </a:schemeClr>
                </a:solidFill>
                <a:round/>
              </a:ln>
              <a:effectLst>
                <a:outerShdw blurRad="40000" dist="20000" dir="5400000" rotWithShape="0">
                  <a:srgbClr val="000000">
                    <a:alpha val="38000"/>
                  </a:srgbClr>
                </a:outerShdw>
              </a:effectLst>
              <a:sp3d contourW="9525">
                <a:contourClr>
                  <a:schemeClr val="accent1">
                    <a:lumMod val="80000"/>
                    <a:lumOff val="20000"/>
                    <a:shade val="95000"/>
                  </a:schemeClr>
                </a:contourClr>
              </a:sp3d>
            </c:spPr>
          </c:bandFmt>
          <c:bandFmt>
            <c:idx val="13"/>
            <c:spPr>
              <a:gradFill rotWithShape="1">
                <a:gsLst>
                  <a:gs pos="0">
                    <a:schemeClr val="accent2">
                      <a:lumMod val="80000"/>
                      <a:lumOff val="20000"/>
                      <a:tint val="50000"/>
                      <a:satMod val="300000"/>
                    </a:schemeClr>
                  </a:gs>
                  <a:gs pos="35000">
                    <a:schemeClr val="accent2">
                      <a:lumMod val="80000"/>
                      <a:lumOff val="20000"/>
                      <a:tint val="37000"/>
                      <a:satMod val="300000"/>
                    </a:schemeClr>
                  </a:gs>
                  <a:gs pos="100000">
                    <a:schemeClr val="accent2">
                      <a:lumMod val="80000"/>
                      <a:lumOff val="20000"/>
                      <a:tint val="15000"/>
                      <a:satMod val="350000"/>
                    </a:schemeClr>
                  </a:gs>
                </a:gsLst>
                <a:lin ang="16200000" scaled="1"/>
              </a:gradFill>
              <a:ln w="9525" cap="flat" cmpd="sng" algn="ctr">
                <a:solidFill>
                  <a:schemeClr val="accent2">
                    <a:lumMod val="80000"/>
                    <a:lumOff val="20000"/>
                    <a:shade val="95000"/>
                  </a:schemeClr>
                </a:solidFill>
                <a:round/>
              </a:ln>
              <a:effectLst>
                <a:outerShdw blurRad="40000" dist="20000" dir="5400000" rotWithShape="0">
                  <a:srgbClr val="000000">
                    <a:alpha val="38000"/>
                  </a:srgbClr>
                </a:outerShdw>
              </a:effectLst>
              <a:sp3d contourW="9525">
                <a:contourClr>
                  <a:schemeClr val="accent2">
                    <a:lumMod val="80000"/>
                    <a:lumOff val="20000"/>
                    <a:shade val="95000"/>
                  </a:schemeClr>
                </a:contourClr>
              </a:sp3d>
            </c:spPr>
          </c:bandFmt>
          <c:bandFmt>
            <c:idx val="14"/>
            <c:spPr>
              <a:gradFill rotWithShape="1">
                <a:gsLst>
                  <a:gs pos="0">
                    <a:schemeClr val="accent3">
                      <a:lumMod val="80000"/>
                      <a:lumOff val="20000"/>
                      <a:tint val="50000"/>
                      <a:satMod val="300000"/>
                    </a:schemeClr>
                  </a:gs>
                  <a:gs pos="35000">
                    <a:schemeClr val="accent3">
                      <a:lumMod val="80000"/>
                      <a:lumOff val="20000"/>
                      <a:tint val="37000"/>
                      <a:satMod val="300000"/>
                    </a:schemeClr>
                  </a:gs>
                  <a:gs pos="100000">
                    <a:schemeClr val="accent3">
                      <a:lumMod val="80000"/>
                      <a:lumOff val="20000"/>
                      <a:tint val="15000"/>
                      <a:satMod val="350000"/>
                    </a:schemeClr>
                  </a:gs>
                </a:gsLst>
                <a:lin ang="16200000" scaled="1"/>
              </a:gradFill>
              <a:ln w="9525" cap="flat" cmpd="sng" algn="ctr">
                <a:solidFill>
                  <a:schemeClr val="accent3">
                    <a:lumMod val="80000"/>
                    <a:lumOff val="20000"/>
                    <a:shade val="95000"/>
                  </a:schemeClr>
                </a:solidFill>
                <a:round/>
              </a:ln>
              <a:effectLst>
                <a:outerShdw blurRad="40000" dist="20000" dir="5400000" rotWithShape="0">
                  <a:srgbClr val="000000">
                    <a:alpha val="38000"/>
                  </a:srgbClr>
                </a:outerShdw>
              </a:effectLst>
              <a:sp3d contourW="9525">
                <a:contourClr>
                  <a:schemeClr val="accent3">
                    <a:lumMod val="80000"/>
                    <a:lumOff val="20000"/>
                    <a:shade val="95000"/>
                  </a:schemeClr>
                </a:contourClr>
              </a:sp3d>
            </c:spPr>
          </c:bandFmt>
        </c:bandFmts>
        <c:axId val="450141184"/>
        <c:axId val="450147072"/>
        <c:axId val="450113024"/>
      </c:surface3DChart>
      <c:catAx>
        <c:axId val="4501411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0147072"/>
        <c:crosses val="autoZero"/>
        <c:auto val="1"/>
        <c:lblAlgn val="ctr"/>
        <c:lblOffset val="100"/>
        <c:tickLblSkip val="3"/>
        <c:tickMarkSkip val="1"/>
        <c:noMultiLvlLbl val="1"/>
      </c:catAx>
      <c:valAx>
        <c:axId val="450147072"/>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Avoided Cost 
(Nominal $/Therm)</a:t>
                </a:r>
              </a:p>
            </c:rich>
          </c:tx>
          <c:layout>
            <c:manualLayout>
              <c:xMode val="edge"/>
              <c:yMode val="edge"/>
              <c:x val="0.67993079584775085"/>
              <c:y val="0.2716766839729215"/>
            </c:manualLayout>
          </c:layout>
          <c:overlay val="0"/>
          <c:spPr>
            <a:noFill/>
            <a:ln>
              <a:noFill/>
            </a:ln>
            <a:effectLst/>
          </c:spPr>
        </c:title>
        <c:numFmt formatCode="&quot;$&quot;#,##0.00"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0141184"/>
        <c:crosses val="max"/>
        <c:crossBetween val="between"/>
      </c:valAx>
      <c:serAx>
        <c:axId val="45011302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0147072"/>
        <c:crosses val="autoZero"/>
        <c:tickLblSkip val="7"/>
        <c:tickMarkSkip val="1"/>
      </c:serAx>
      <c:spPr>
        <a:noFill/>
        <a:ln>
          <a:noFill/>
        </a:ln>
        <a:effectLst/>
      </c:spPr>
    </c:plotArea>
    <c:legend>
      <c:legendPos val="b"/>
      <c:legendEntry>
        <c:idx val="0"/>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Commodity!$C$49</c:f>
              <c:strCache>
                <c:ptCount val="1"/>
                <c:pt idx="0">
                  <c:v>2023</c:v>
                </c:pt>
              </c:strCache>
            </c:strRef>
          </c:tx>
          <c:spPr>
            <a:ln w="28575" cap="rnd">
              <a:solidFill>
                <a:schemeClr val="accent1"/>
              </a:solidFill>
              <a:round/>
            </a:ln>
            <a:effectLst/>
          </c:spPr>
          <c:marker>
            <c:symbol val="none"/>
          </c:marker>
          <c:val>
            <c:numRef>
              <c:f>Commodity!$C$36:$C$47</c:f>
              <c:numCache>
                <c:formatCode>"$"#,##0.00_);[Red]\("$"#,##0.00\)</c:formatCode>
                <c:ptCount val="12"/>
                <c:pt idx="0">
                  <c:v>0.58063147785339497</c:v>
                </c:pt>
                <c:pt idx="1">
                  <c:v>0.56657734992993647</c:v>
                </c:pt>
                <c:pt idx="2">
                  <c:v>0.51890416886778712</c:v>
                </c:pt>
                <c:pt idx="3">
                  <c:v>0.50888000939985534</c:v>
                </c:pt>
                <c:pt idx="4">
                  <c:v>0.52535407995322914</c:v>
                </c:pt>
                <c:pt idx="5">
                  <c:v>0.53766711269990375</c:v>
                </c:pt>
                <c:pt idx="6">
                  <c:v>0.54065406365382274</c:v>
                </c:pt>
                <c:pt idx="7">
                  <c:v>0.53520918529264128</c:v>
                </c:pt>
                <c:pt idx="8">
                  <c:v>0.54145060067906781</c:v>
                </c:pt>
                <c:pt idx="9">
                  <c:v>0.53705102665973237</c:v>
                </c:pt>
                <c:pt idx="10">
                  <c:v>0.5622529503922219</c:v>
                </c:pt>
                <c:pt idx="11">
                  <c:v>0.56542168990483599</c:v>
                </c:pt>
              </c:numCache>
            </c:numRef>
          </c:val>
          <c:smooth val="0"/>
          <c:extLst>
            <c:ext xmlns:c16="http://schemas.microsoft.com/office/drawing/2014/chart" uri="{C3380CC4-5D6E-409C-BE32-E72D297353CC}">
              <c16:uniqueId val="{00000000-3DA1-4355-8E60-B5036934E2B0}"/>
            </c:ext>
          </c:extLst>
        </c:ser>
        <c:ser>
          <c:idx val="1"/>
          <c:order val="1"/>
          <c:tx>
            <c:strRef>
              <c:f>Commodity!$O$49</c:f>
              <c:strCache>
                <c:ptCount val="1"/>
                <c:pt idx="0">
                  <c:v>2035</c:v>
                </c:pt>
              </c:strCache>
            </c:strRef>
          </c:tx>
          <c:spPr>
            <a:ln w="28575" cap="rnd">
              <a:solidFill>
                <a:schemeClr val="accent2"/>
              </a:solidFill>
              <a:round/>
            </a:ln>
            <a:effectLst/>
          </c:spPr>
          <c:marker>
            <c:symbol val="none"/>
          </c:marker>
          <c:val>
            <c:numRef>
              <c:f>Commodity!$O$36:$O$47</c:f>
              <c:numCache>
                <c:formatCode>"$"#,##0.00_);[Red]\("$"#,##0.00\)</c:formatCode>
                <c:ptCount val="12"/>
                <c:pt idx="0">
                  <c:v>0.72963258389387431</c:v>
                </c:pt>
                <c:pt idx="1">
                  <c:v>0.71358832124457294</c:v>
                </c:pt>
                <c:pt idx="2">
                  <c:v>0.65503275431599906</c:v>
                </c:pt>
                <c:pt idx="3">
                  <c:v>0.6438445784434581</c:v>
                </c:pt>
                <c:pt idx="4">
                  <c:v>0.66620828882334204</c:v>
                </c:pt>
                <c:pt idx="5">
                  <c:v>0.68338611717817732</c:v>
                </c:pt>
                <c:pt idx="6">
                  <c:v>0.68876236059747253</c:v>
                </c:pt>
                <c:pt idx="7">
                  <c:v>0.68339729958463269</c:v>
                </c:pt>
                <c:pt idx="8">
                  <c:v>0.69296424808758583</c:v>
                </c:pt>
                <c:pt idx="9">
                  <c:v>0.68892566461730764</c:v>
                </c:pt>
                <c:pt idx="10">
                  <c:v>0.72292946669127001</c:v>
                </c:pt>
                <c:pt idx="11">
                  <c:v>0.72869632498753656</c:v>
                </c:pt>
              </c:numCache>
            </c:numRef>
          </c:val>
          <c:smooth val="0"/>
          <c:extLst>
            <c:ext xmlns:c16="http://schemas.microsoft.com/office/drawing/2014/chart" uri="{C3380CC4-5D6E-409C-BE32-E72D297353CC}">
              <c16:uniqueId val="{00000001-3DA1-4355-8E60-B5036934E2B0}"/>
            </c:ext>
          </c:extLst>
        </c:ser>
        <c:ser>
          <c:idx val="2"/>
          <c:order val="2"/>
          <c:tx>
            <c:strRef>
              <c:f>Commodity!$T$49</c:f>
              <c:strCache>
                <c:ptCount val="1"/>
                <c:pt idx="0">
                  <c:v>2040</c:v>
                </c:pt>
              </c:strCache>
            </c:strRef>
          </c:tx>
          <c:spPr>
            <a:ln w="28575" cap="rnd">
              <a:solidFill>
                <a:schemeClr val="accent3"/>
              </a:solidFill>
              <a:round/>
            </a:ln>
            <a:effectLst/>
          </c:spPr>
          <c:marker>
            <c:symbol val="none"/>
          </c:marker>
          <c:val>
            <c:numRef>
              <c:f>Commodity!$T$36:$T$47</c:f>
              <c:numCache>
                <c:formatCode>"$"#,##0.00_);[Red]\("$"#,##0.00\)</c:formatCode>
                <c:ptCount val="12"/>
                <c:pt idx="0">
                  <c:v>0.8115312449746005</c:v>
                </c:pt>
                <c:pt idx="1">
                  <c:v>0.79371413933947355</c:v>
                </c:pt>
                <c:pt idx="2">
                  <c:v>0.7286093858753081</c:v>
                </c:pt>
                <c:pt idx="3">
                  <c:v>0.71618983281577042</c:v>
                </c:pt>
                <c:pt idx="4">
                  <c:v>0.74109265131359292</c:v>
                </c:pt>
                <c:pt idx="5">
                  <c:v>0.76022823691827268</c:v>
                </c:pt>
                <c:pt idx="6">
                  <c:v>0.76623612339542679</c:v>
                </c:pt>
                <c:pt idx="7">
                  <c:v>0.76029450210992378</c:v>
                </c:pt>
                <c:pt idx="8">
                  <c:v>0.7709652406619345</c:v>
                </c:pt>
                <c:pt idx="9">
                  <c:v>0.76649921379440866</c:v>
                </c:pt>
                <c:pt idx="10">
                  <c:v>0.80436036058424443</c:v>
                </c:pt>
                <c:pt idx="11">
                  <c:v>0.81080552317530419</c:v>
                </c:pt>
              </c:numCache>
            </c:numRef>
          </c:val>
          <c:smooth val="0"/>
          <c:extLst>
            <c:ext xmlns:c16="http://schemas.microsoft.com/office/drawing/2014/chart" uri="{C3380CC4-5D6E-409C-BE32-E72D297353CC}">
              <c16:uniqueId val="{00000002-3DA1-4355-8E60-B5036934E2B0}"/>
            </c:ext>
          </c:extLst>
        </c:ser>
        <c:ser>
          <c:idx val="3"/>
          <c:order val="3"/>
          <c:tx>
            <c:strRef>
              <c:f>Commodity!$Y$49</c:f>
              <c:strCache>
                <c:ptCount val="1"/>
                <c:pt idx="0">
                  <c:v>2045</c:v>
                </c:pt>
              </c:strCache>
            </c:strRef>
          </c:tx>
          <c:spPr>
            <a:ln w="28575" cap="rnd">
              <a:solidFill>
                <a:schemeClr val="accent4"/>
              </a:solidFill>
              <a:round/>
            </a:ln>
            <a:effectLst/>
          </c:spPr>
          <c:marker>
            <c:symbol val="none"/>
          </c:marker>
          <c:val>
            <c:numRef>
              <c:f>Commodity!$Y$36:$Y$47</c:f>
              <c:numCache>
                <c:formatCode>"$"#,##0.00_);[Red]\("$"#,##0.00\)</c:formatCode>
                <c:ptCount val="12"/>
                <c:pt idx="0">
                  <c:v>0.9044862270645474</c:v>
                </c:pt>
                <c:pt idx="1">
                  <c:v>0.88464277148146775</c:v>
                </c:pt>
                <c:pt idx="2">
                  <c:v>0.81209284127137171</c:v>
                </c:pt>
                <c:pt idx="3">
                  <c:v>0.79826332616802254</c:v>
                </c:pt>
                <c:pt idx="4">
                  <c:v>0.82603345898493585</c:v>
                </c:pt>
                <c:pt idx="5">
                  <c:v>0.84737614900161717</c:v>
                </c:pt>
                <c:pt idx="6">
                  <c:v>0.85408672146333087</c:v>
                </c:pt>
                <c:pt idx="7">
                  <c:v>0.84747775294465644</c:v>
                </c:pt>
                <c:pt idx="8">
                  <c:v>0.85938617800975836</c:v>
                </c:pt>
                <c:pt idx="9">
                  <c:v>0.85442193820895851</c:v>
                </c:pt>
                <c:pt idx="10">
                  <c:v>0.89664070122410655</c:v>
                </c:pt>
                <c:pt idx="11">
                  <c:v>0.90384008831326579</c:v>
                </c:pt>
              </c:numCache>
            </c:numRef>
          </c:val>
          <c:smooth val="0"/>
          <c:extLst>
            <c:ext xmlns:c16="http://schemas.microsoft.com/office/drawing/2014/chart" uri="{C3380CC4-5D6E-409C-BE32-E72D297353CC}">
              <c16:uniqueId val="{00000003-3DA1-4355-8E60-B5036934E2B0}"/>
            </c:ext>
          </c:extLst>
        </c:ser>
        <c:dLbls>
          <c:showLegendKey val="0"/>
          <c:showVal val="0"/>
          <c:showCatName val="0"/>
          <c:showSerName val="0"/>
          <c:showPercent val="0"/>
          <c:showBubbleSize val="0"/>
        </c:dLbls>
        <c:smooth val="0"/>
        <c:axId val="1204032479"/>
        <c:axId val="1204033439"/>
      </c:lineChart>
      <c:catAx>
        <c:axId val="12040324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033439"/>
        <c:crosses val="autoZero"/>
        <c:auto val="1"/>
        <c:lblAlgn val="ctr"/>
        <c:lblOffset val="100"/>
        <c:noMultiLvlLbl val="0"/>
      </c:catAx>
      <c:valAx>
        <c:axId val="1204033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03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TRC Cost of Carbon</c:v>
          </c:tx>
          <c:spPr>
            <a:ln w="28575" cap="rnd">
              <a:solidFill>
                <a:schemeClr val="accent1"/>
              </a:solidFill>
              <a:round/>
            </a:ln>
            <a:effectLst/>
          </c:spPr>
          <c:marker>
            <c:symbol val="none"/>
          </c:marker>
          <c:cat>
            <c:numRef>
              <c:f>Emissions!$D$30:$AL$30</c:f>
              <c:numCache>
                <c:formatCode>General</c:formatCode>
                <c:ptCount val="35"/>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numCache>
            </c:numRef>
          </c:cat>
          <c:val>
            <c:numRef>
              <c:f>Emissions!$D$19:$AL$19</c:f>
              <c:numCache>
                <c:formatCode>"$"#,##0.00</c:formatCode>
                <c:ptCount val="35"/>
                <c:pt idx="0">
                  <c:v>114</c:v>
                </c:pt>
                <c:pt idx="1">
                  <c:v>114</c:v>
                </c:pt>
                <c:pt idx="2">
                  <c:v>114</c:v>
                </c:pt>
                <c:pt idx="3">
                  <c:v>114</c:v>
                </c:pt>
                <c:pt idx="4">
                  <c:v>114</c:v>
                </c:pt>
                <c:pt idx="5">
                  <c:v>114</c:v>
                </c:pt>
                <c:pt idx="6">
                  <c:v>114</c:v>
                </c:pt>
                <c:pt idx="7">
                  <c:v>114</c:v>
                </c:pt>
                <c:pt idx="8">
                  <c:v>114</c:v>
                </c:pt>
                <c:pt idx="9">
                  <c:v>114</c:v>
                </c:pt>
                <c:pt idx="10">
                  <c:v>114</c:v>
                </c:pt>
                <c:pt idx="11">
                  <c:v>114</c:v>
                </c:pt>
                <c:pt idx="12">
                  <c:v>114</c:v>
                </c:pt>
                <c:pt idx="13">
                  <c:v>114</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114</c:v>
                </c:pt>
                <c:pt idx="30">
                  <c:v>114</c:v>
                </c:pt>
                <c:pt idx="31">
                  <c:v>114</c:v>
                </c:pt>
                <c:pt idx="32">
                  <c:v>114</c:v>
                </c:pt>
                <c:pt idx="33">
                  <c:v>114</c:v>
                </c:pt>
                <c:pt idx="34">
                  <c:v>114</c:v>
                </c:pt>
              </c:numCache>
            </c:numRef>
          </c:val>
          <c:smooth val="0"/>
          <c:extLst>
            <c:ext xmlns:c16="http://schemas.microsoft.com/office/drawing/2014/chart" uri="{C3380CC4-5D6E-409C-BE32-E72D297353CC}">
              <c16:uniqueId val="{00000000-FD08-4769-B3FB-62FE2615EC2E}"/>
            </c:ext>
          </c:extLst>
        </c:ser>
        <c:ser>
          <c:idx val="1"/>
          <c:order val="1"/>
          <c:tx>
            <c:v>Social Cost of Carbon - Base</c:v>
          </c:tx>
          <c:spPr>
            <a:ln w="28575" cap="rnd">
              <a:solidFill>
                <a:schemeClr val="accent2"/>
              </a:solidFill>
              <a:round/>
            </a:ln>
            <a:effectLst/>
          </c:spPr>
          <c:marker>
            <c:symbol val="none"/>
          </c:marker>
          <c:cat>
            <c:numRef>
              <c:f>Emissions!$D$30:$AL$30</c:f>
              <c:numCache>
                <c:formatCode>General</c:formatCode>
                <c:ptCount val="35"/>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numCache>
            </c:numRef>
          </c:cat>
          <c:val>
            <c:numRef>
              <c:f>Emissions!$D$27:$AL$27</c:f>
              <c:numCache>
                <c:formatCode>"$"#,##0.00_);[Red]\("$"#,##0.00\)</c:formatCode>
                <c:ptCount val="35"/>
                <c:pt idx="0">
                  <c:v>51</c:v>
                </c:pt>
                <c:pt idx="1">
                  <c:v>53.04</c:v>
                </c:pt>
                <c:pt idx="2">
                  <c:v>55.141199999999998</c:v>
                </c:pt>
                <c:pt idx="3">
                  <c:v>57.305231999999997</c:v>
                </c:pt>
                <c:pt idx="4">
                  <c:v>59.533768799999997</c:v>
                </c:pt>
                <c:pt idx="5">
                  <c:v>61.828524979199997</c:v>
                </c:pt>
                <c:pt idx="6">
                  <c:v>64.4164903819008</c:v>
                </c:pt>
                <c:pt idx="7">
                  <c:v>67.083242990717949</c:v>
                </c:pt>
                <c:pt idx="8">
                  <c:v>69.830899107735036</c:v>
                </c:pt>
                <c:pt idx="9">
                  <c:v>72.661628172236519</c:v>
                </c:pt>
                <c:pt idx="10">
                  <c:v>75.57765403967494</c:v>
                </c:pt>
                <c:pt idx="11">
                  <c:v>78.33258142886308</c:v>
                </c:pt>
                <c:pt idx="12">
                  <c:v>81.167474852002897</c:v>
                </c:pt>
                <c:pt idx="13">
                  <c:v>84.084430979496744</c:v>
                </c:pt>
                <c:pt idx="14">
                  <c:v>87.085598362149568</c:v>
                </c:pt>
                <c:pt idx="15">
                  <c:v>90.173178667716655</c:v>
                </c:pt>
                <c:pt idx="16">
                  <c:v>93.623985087179747</c:v>
                </c:pt>
                <c:pt idx="17">
                  <c:v>97.176754491954256</c:v>
                </c:pt>
                <c:pt idx="18">
                  <c:v>100.83418507888487</c:v>
                </c:pt>
                <c:pt idx="19">
                  <c:v>104.59904218749593</c:v>
                </c:pt>
                <c:pt idx="20">
                  <c:v>108.47415990641986</c:v>
                </c:pt>
                <c:pt idx="21">
                  <c:v>112.46244271722576</c:v>
                </c:pt>
                <c:pt idx="22">
                  <c:v>116.56686717650133</c:v>
                </c:pt>
                <c:pt idx="23">
                  <c:v>120.79048363706103</c:v>
                </c:pt>
                <c:pt idx="24">
                  <c:v>125.13641800917253</c:v>
                </c:pt>
                <c:pt idx="25">
                  <c:v>129.60787356271362</c:v>
                </c:pt>
                <c:pt idx="26">
                  <c:v>134.20813277119277</c:v>
                </c:pt>
                <c:pt idx="27">
                  <c:v>138.9405591985859</c:v>
                </c:pt>
                <c:pt idx="28">
                  <c:v>143.80859942996639</c:v>
                </c:pt>
                <c:pt idx="29">
                  <c:v>148.81578504692257</c:v>
                </c:pt>
                <c:pt idx="30">
                  <c:v>153.96573464878506</c:v>
                </c:pt>
                <c:pt idx="31">
                  <c:v>159.26215592070324</c:v>
                </c:pt>
                <c:pt idx="32">
                  <c:v>164.70884774963869</c:v>
                </c:pt>
                <c:pt idx="33">
                  <c:v>170.30970238936328</c:v>
                </c:pt>
                <c:pt idx="34">
                  <c:v>176.06870767557695</c:v>
                </c:pt>
              </c:numCache>
            </c:numRef>
          </c:val>
          <c:smooth val="0"/>
          <c:extLst>
            <c:ext xmlns:c16="http://schemas.microsoft.com/office/drawing/2014/chart" uri="{C3380CC4-5D6E-409C-BE32-E72D297353CC}">
              <c16:uniqueId val="{00000001-FD08-4769-B3FB-62FE2615EC2E}"/>
            </c:ext>
          </c:extLst>
        </c:ser>
        <c:ser>
          <c:idx val="2"/>
          <c:order val="2"/>
          <c:tx>
            <c:v>Social Cost of Carbon - High</c:v>
          </c:tx>
          <c:spPr>
            <a:ln w="28575" cap="rnd">
              <a:solidFill>
                <a:schemeClr val="accent3"/>
              </a:solidFill>
              <a:round/>
            </a:ln>
            <a:effectLst/>
          </c:spPr>
          <c:marker>
            <c:symbol val="none"/>
          </c:marker>
          <c:cat>
            <c:numRef>
              <c:f>Emissions!$D$30:$AL$30</c:f>
              <c:numCache>
                <c:formatCode>General</c:formatCode>
                <c:ptCount val="35"/>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numCache>
            </c:numRef>
          </c:cat>
          <c:val>
            <c:numRef>
              <c:f>Emissions!$D$28:$AL$28</c:f>
              <c:numCache>
                <c:formatCode>"$"#,##0.00_);[Red]\("$"#,##0.00\)</c:formatCode>
                <c:ptCount val="35"/>
                <c:pt idx="0">
                  <c:v>152</c:v>
                </c:pt>
                <c:pt idx="1">
                  <c:v>158.50800000000001</c:v>
                </c:pt>
                <c:pt idx="2">
                  <c:v>165.21552</c:v>
                </c:pt>
                <c:pt idx="3">
                  <c:v>172.1279376</c:v>
                </c:pt>
                <c:pt idx="4">
                  <c:v>179.25076569600003</c:v>
                </c:pt>
                <c:pt idx="5">
                  <c:v>186.5896557408</c:v>
                </c:pt>
                <c:pt idx="6">
                  <c:v>194.37563356496639</c:v>
                </c:pt>
                <c:pt idx="7">
                  <c:v>202.39841463980309</c:v>
                </c:pt>
                <c:pt idx="8">
                  <c:v>210.66435670420731</c:v>
                </c:pt>
                <c:pt idx="9">
                  <c:v>219.17997708533179</c:v>
                </c:pt>
                <c:pt idx="10">
                  <c:v>227.95195653901959</c:v>
                </c:pt>
                <c:pt idx="11">
                  <c:v>237.23581804169962</c:v>
                </c:pt>
                <c:pt idx="12">
                  <c:v>246.79985322187133</c:v>
                </c:pt>
                <c:pt idx="13">
                  <c:v>256.65155548203319</c:v>
                </c:pt>
                <c:pt idx="14">
                  <c:v>266.79860589131283</c:v>
                </c:pt>
                <c:pt idx="15">
                  <c:v>277.24887769477061</c:v>
                </c:pt>
                <c:pt idx="16">
                  <c:v>288.01044092801044</c:v>
                </c:pt>
                <c:pt idx="17">
                  <c:v>299.09156713950188</c:v>
                </c:pt>
                <c:pt idx="18">
                  <c:v>310.50073422308174</c:v>
                </c:pt>
                <c:pt idx="19">
                  <c:v>322.24663136314899</c:v>
                </c:pt>
                <c:pt idx="20">
                  <c:v>334.33816409512968</c:v>
                </c:pt>
                <c:pt idx="21">
                  <c:v>346.17819294628521</c:v>
                </c:pt>
                <c:pt idx="22">
                  <c:v>358.35808768584894</c:v>
                </c:pt>
                <c:pt idx="23">
                  <c:v>370.8867069378166</c:v>
                </c:pt>
                <c:pt idx="24">
                  <c:v>383.77312772478871</c:v>
                </c:pt>
                <c:pt idx="25">
                  <c:v>397.02665066046455</c:v>
                </c:pt>
                <c:pt idx="26">
                  <c:v>410.65680526247758</c:v>
                </c:pt>
                <c:pt idx="27">
                  <c:v>424.67335538830679</c:v>
                </c:pt>
                <c:pt idx="28">
                  <c:v>439.08630479706443</c:v>
                </c:pt>
                <c:pt idx="29">
                  <c:v>453.90590284001684</c:v>
                </c:pt>
                <c:pt idx="30">
                  <c:v>469.14265028276856</c:v>
                </c:pt>
                <c:pt idx="31">
                  <c:v>484.80730526209419</c:v>
                </c:pt>
                <c:pt idx="32">
                  <c:v>500.91088938048</c:v>
                </c:pt>
                <c:pt idx="33">
                  <c:v>517.46469394149631</c:v>
                </c:pt>
                <c:pt idx="34">
                  <c:v>534.48028632920091</c:v>
                </c:pt>
              </c:numCache>
            </c:numRef>
          </c:val>
          <c:smooth val="0"/>
          <c:extLst>
            <c:ext xmlns:c16="http://schemas.microsoft.com/office/drawing/2014/chart" uri="{C3380CC4-5D6E-409C-BE32-E72D297353CC}">
              <c16:uniqueId val="{00000002-FD08-4769-B3FB-62FE2615EC2E}"/>
            </c:ext>
          </c:extLst>
        </c:ser>
        <c:dLbls>
          <c:showLegendKey val="0"/>
          <c:showVal val="0"/>
          <c:showCatName val="0"/>
          <c:showSerName val="0"/>
          <c:showPercent val="0"/>
          <c:showBubbleSize val="0"/>
        </c:dLbls>
        <c:smooth val="0"/>
        <c:axId val="775345887"/>
        <c:axId val="775340127"/>
      </c:lineChart>
      <c:catAx>
        <c:axId val="77534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75340127"/>
        <c:crosses val="autoZero"/>
        <c:auto val="1"/>
        <c:lblAlgn val="ctr"/>
        <c:lblOffset val="100"/>
        <c:noMultiLvlLbl val="0"/>
      </c:catAx>
      <c:valAx>
        <c:axId val="775340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$/tonne</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7534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'T&amp;D'!$B$5:$B$7</c:f>
              <c:strCache>
                <c:ptCount val="3"/>
                <c:pt idx="0">
                  <c:v>PG&amp;E</c:v>
                </c:pt>
              </c:strCache>
            </c:strRef>
          </c:tx>
          <c:spPr>
            <a:solidFill>
              <a:schemeClr val="accent1"/>
            </a:solidFill>
            <a:ln>
              <a:noFill/>
            </a:ln>
            <a:effectLst/>
          </c:spPr>
          <c:invertIfNegative val="0"/>
          <c:cat>
            <c:strRef>
              <c:f>'T&amp;D'!$C$5:$C$7</c:f>
              <c:strCache>
                <c:ptCount val="3"/>
                <c:pt idx="0">
                  <c:v>Residential</c:v>
                </c:pt>
                <c:pt idx="1">
                  <c:v>Commercial</c:v>
                </c:pt>
                <c:pt idx="2">
                  <c:v>Total Core</c:v>
                </c:pt>
              </c:strCache>
            </c:strRef>
          </c:cat>
          <c:val>
            <c:numRef>
              <c:f>'T&amp;D'!$F$5:$F$7</c:f>
              <c:numCache>
                <c:formatCode>"$"#,##0.00_);[Red]\("$"#,##0.00\)</c:formatCode>
                <c:ptCount val="3"/>
                <c:pt idx="0">
                  <c:v>0.38250000000000001</c:v>
                </c:pt>
                <c:pt idx="1">
                  <c:v>0.20594999999999999</c:v>
                </c:pt>
                <c:pt idx="2">
                  <c:v>0.31218000000000001</c:v>
                </c:pt>
              </c:numCache>
            </c:numRef>
          </c:val>
          <c:extLst>
            <c:ext xmlns:c16="http://schemas.microsoft.com/office/drawing/2014/chart" uri="{C3380CC4-5D6E-409C-BE32-E72D297353CC}">
              <c16:uniqueId val="{00000000-F71D-461A-B52D-8C015CA19508}"/>
            </c:ext>
          </c:extLst>
        </c:ser>
        <c:ser>
          <c:idx val="1"/>
          <c:order val="1"/>
          <c:tx>
            <c:strRef>
              <c:f>'T&amp;D'!$B$8:$B$10</c:f>
              <c:strCache>
                <c:ptCount val="3"/>
                <c:pt idx="0">
                  <c:v>SoCal Gas</c:v>
                </c:pt>
              </c:strCache>
            </c:strRef>
          </c:tx>
          <c:spPr>
            <a:solidFill>
              <a:schemeClr val="accent2"/>
            </a:solidFill>
            <a:ln>
              <a:noFill/>
            </a:ln>
            <a:effectLst/>
          </c:spPr>
          <c:invertIfNegative val="0"/>
          <c:cat>
            <c:strRef>
              <c:f>'T&amp;D'!$C$5:$C$7</c:f>
              <c:strCache>
                <c:ptCount val="3"/>
                <c:pt idx="0">
                  <c:v>Residential</c:v>
                </c:pt>
                <c:pt idx="1">
                  <c:v>Commercial</c:v>
                </c:pt>
                <c:pt idx="2">
                  <c:v>Total Core</c:v>
                </c:pt>
              </c:strCache>
            </c:strRef>
          </c:cat>
          <c:val>
            <c:numRef>
              <c:f>'T&amp;D'!$F$8:$F$10</c:f>
              <c:numCache>
                <c:formatCode>"$"#,##0.00_);[Red]\("$"#,##0.00\)</c:formatCode>
                <c:ptCount val="3"/>
                <c:pt idx="0">
                  <c:v>0.22</c:v>
                </c:pt>
                <c:pt idx="1">
                  <c:v>0.13</c:v>
                </c:pt>
                <c:pt idx="2">
                  <c:v>0.19</c:v>
                </c:pt>
              </c:numCache>
            </c:numRef>
          </c:val>
          <c:extLst>
            <c:ext xmlns:c16="http://schemas.microsoft.com/office/drawing/2014/chart" uri="{C3380CC4-5D6E-409C-BE32-E72D297353CC}">
              <c16:uniqueId val="{00000001-F71D-461A-B52D-8C015CA19508}"/>
            </c:ext>
          </c:extLst>
        </c:ser>
        <c:ser>
          <c:idx val="2"/>
          <c:order val="2"/>
          <c:tx>
            <c:strRef>
              <c:f>'T&amp;D'!$B$11:$B$13</c:f>
              <c:strCache>
                <c:ptCount val="3"/>
                <c:pt idx="0">
                  <c:v>SDG&amp;E</c:v>
                </c:pt>
              </c:strCache>
            </c:strRef>
          </c:tx>
          <c:spPr>
            <a:solidFill>
              <a:schemeClr val="accent3"/>
            </a:solidFill>
            <a:ln>
              <a:noFill/>
            </a:ln>
            <a:effectLst/>
          </c:spPr>
          <c:invertIfNegative val="0"/>
          <c:cat>
            <c:strRef>
              <c:f>'T&amp;D'!$C$5:$C$7</c:f>
              <c:strCache>
                <c:ptCount val="3"/>
                <c:pt idx="0">
                  <c:v>Residential</c:v>
                </c:pt>
                <c:pt idx="1">
                  <c:v>Commercial</c:v>
                </c:pt>
                <c:pt idx="2">
                  <c:v>Total Core</c:v>
                </c:pt>
              </c:strCache>
            </c:strRef>
          </c:cat>
          <c:val>
            <c:numRef>
              <c:f>'T&amp;D'!$F$11:$F$13</c:f>
              <c:numCache>
                <c:formatCode>"$"#,##0.00_);[Red]\("$"#,##0.00\)</c:formatCode>
                <c:ptCount val="3"/>
                <c:pt idx="0">
                  <c:v>0.33</c:v>
                </c:pt>
                <c:pt idx="1">
                  <c:v>0.2</c:v>
                </c:pt>
                <c:pt idx="2">
                  <c:v>0.27</c:v>
                </c:pt>
              </c:numCache>
            </c:numRef>
          </c:val>
          <c:extLst>
            <c:ext xmlns:c16="http://schemas.microsoft.com/office/drawing/2014/chart" uri="{C3380CC4-5D6E-409C-BE32-E72D297353CC}">
              <c16:uniqueId val="{00000002-F71D-461A-B52D-8C015CA19508}"/>
            </c:ext>
          </c:extLst>
        </c:ser>
        <c:dLbls>
          <c:showLegendKey val="0"/>
          <c:showVal val="0"/>
          <c:showCatName val="0"/>
          <c:showSerName val="0"/>
          <c:showPercent val="0"/>
          <c:showBubbleSize val="0"/>
        </c:dLbls>
        <c:gapWidth val="100"/>
        <c:overlap val="-5"/>
        <c:axId val="988412831"/>
        <c:axId val="988410911"/>
      </c:barChart>
      <c:catAx>
        <c:axId val="98841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8410911"/>
        <c:crosses val="autoZero"/>
        <c:auto val="1"/>
        <c:lblAlgn val="ctr"/>
        <c:lblOffset val="100"/>
        <c:noMultiLvlLbl val="0"/>
      </c:catAx>
      <c:valAx>
        <c:axId val="98841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2024$/therm</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841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'IEPR Gas Prices Nominal'!$T$5:$AY$5</c:f>
              <c:numCache>
                <c:formatCode>General</c:formatCode>
                <c:ptCount val="32"/>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numCache>
            </c:numRef>
          </c:cat>
          <c:val>
            <c:numRef>
              <c:f>'IEPR Gas Prices Nominal'!$T$18:$AY$18</c:f>
              <c:numCache>
                <c:formatCode>0.000</c:formatCode>
                <c:ptCount val="32"/>
                <c:pt idx="0">
                  <c:v>5.4333780960720235</c:v>
                </c:pt>
                <c:pt idx="1">
                  <c:v>5.4954577362019359</c:v>
                </c:pt>
                <c:pt idx="2">
                  <c:v>5.6307590928489191</c:v>
                </c:pt>
                <c:pt idx="3">
                  <c:v>5.7577397035741198</c:v>
                </c:pt>
                <c:pt idx="4">
                  <c:v>5.8757627265464931</c:v>
                </c:pt>
                <c:pt idx="5">
                  <c:v>5.9950341718858633</c:v>
                </c:pt>
                <c:pt idx="6">
                  <c:v>6.1169805772507369</c:v>
                </c:pt>
                <c:pt idx="7">
                  <c:v>6.2410943710292086</c:v>
                </c:pt>
                <c:pt idx="8">
                  <c:v>6.3673962123381846</c:v>
                </c:pt>
                <c:pt idx="9">
                  <c:v>6.4983956477362037</c:v>
                </c:pt>
                <c:pt idx="10">
                  <c:v>6.6330226027566859</c:v>
                </c:pt>
                <c:pt idx="11">
                  <c:v>6.7725850465173787</c:v>
                </c:pt>
                <c:pt idx="12">
                  <c:v>6.9144733403876906</c:v>
                </c:pt>
                <c:pt idx="13">
                  <c:v>7.0584011402671871</c:v>
                </c:pt>
                <c:pt idx="14">
                  <c:v>7.2085340122779273</c:v>
                </c:pt>
                <c:pt idx="15">
                  <c:v>7.3650154304837647</c:v>
                </c:pt>
                <c:pt idx="16">
                  <c:v>7.526657657665516</c:v>
                </c:pt>
                <c:pt idx="17">
                  <c:v>7.6921053791318839</c:v>
                </c:pt>
                <c:pt idx="18">
                  <c:v>7.8607523065524871</c:v>
                </c:pt>
                <c:pt idx="19">
                  <c:v>8.0327312408870259</c:v>
                </c:pt>
                <c:pt idx="20">
                  <c:v>8.2090050401156791</c:v>
                </c:pt>
                <c:pt idx="21">
                  <c:v>8.3895656741513509</c:v>
                </c:pt>
                <c:pt idx="22">
                  <c:v>8.5739567951133644</c:v>
                </c:pt>
                <c:pt idx="23">
                  <c:v>8.7628350025503163</c:v>
                </c:pt>
                <c:pt idx="24">
                  <c:v>8.9565160919471545</c:v>
                </c:pt>
                <c:pt idx="25">
                  <c:v>9.1551985018552546</c:v>
                </c:pt>
                <c:pt idx="26">
                  <c:v>9.3582136524542676</c:v>
                </c:pt>
                <c:pt idx="27">
                  <c:v>9.5652409190065004</c:v>
                </c:pt>
                <c:pt idx="28">
                  <c:v>9.7563510162574527</c:v>
                </c:pt>
                <c:pt idx="29">
                  <c:v>9.9588742210767549</c:v>
                </c:pt>
                <c:pt idx="30">
                  <c:v>10.161215651285602</c:v>
                </c:pt>
                <c:pt idx="31">
                  <c:v>10.362952261610966</c:v>
                </c:pt>
              </c:numCache>
            </c:numRef>
          </c:val>
          <c:smooth val="0"/>
          <c:extLst>
            <c:ext xmlns:c16="http://schemas.microsoft.com/office/drawing/2014/chart" uri="{C3380CC4-5D6E-409C-BE32-E72D297353CC}">
              <c16:uniqueId val="{00000000-EB4E-42F4-B6FE-11455CB66BBE}"/>
            </c:ext>
          </c:extLst>
        </c:ser>
        <c:dLbls>
          <c:showLegendKey val="0"/>
          <c:showVal val="0"/>
          <c:showCatName val="0"/>
          <c:showSerName val="0"/>
          <c:showPercent val="0"/>
          <c:showBubbleSize val="0"/>
        </c:dLbls>
        <c:smooth val="0"/>
        <c:axId val="982918207"/>
        <c:axId val="982923007"/>
      </c:lineChart>
      <c:catAx>
        <c:axId val="98291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2923007"/>
        <c:crosses val="autoZero"/>
        <c:auto val="1"/>
        <c:lblAlgn val="ctr"/>
        <c:lblOffset val="100"/>
        <c:noMultiLvlLbl val="0"/>
      </c:catAx>
      <c:valAx>
        <c:axId val="98292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Nominal $/MMBtu</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291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584834</xdr:colOff>
      <xdr:row>13</xdr:row>
      <xdr:rowOff>131445</xdr:rowOff>
    </xdr:from>
    <xdr:to>
      <xdr:col>8</xdr:col>
      <xdr:colOff>421004</xdr:colOff>
      <xdr:row>21</xdr:row>
      <xdr:rowOff>127635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84834" y="2425065"/>
          <a:ext cx="5330190" cy="1276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Gas Model is designed to output information used</a:t>
          </a:r>
          <a:r>
            <a:rPr lang="en-US" sz="1100" baseline="0"/>
            <a:t> for the evaluation of energy efficiency programs that impact natural gas usage. The model uses a simple representation of gas avoided costs (commodity and T&amp;D capacity).  </a:t>
          </a:r>
        </a:p>
        <a:p>
          <a:endParaRPr lang="en-US" sz="1100"/>
        </a:p>
        <a:p>
          <a:r>
            <a:rPr lang="en-US" sz="1100"/>
            <a:t>To generate results, the user</a:t>
          </a:r>
          <a:r>
            <a:rPr lang="en-US" sz="1100" baseline="0"/>
            <a:t> need only change inputs of the User Dashboard tab.  The monthly output is shown at the bottom of that tab.</a:t>
          </a:r>
          <a:endParaRPr lang="en-US" sz="1100"/>
        </a:p>
      </xdr:txBody>
    </xdr:sp>
    <xdr:clientData/>
  </xdr:twoCellAnchor>
  <xdr:twoCellAnchor editAs="oneCell">
    <xdr:from>
      <xdr:col>1</xdr:col>
      <xdr:colOff>19050</xdr:colOff>
      <xdr:row>4</xdr:row>
      <xdr:rowOff>47625</xdr:rowOff>
    </xdr:from>
    <xdr:to>
      <xdr:col>4</xdr:col>
      <xdr:colOff>421590</xdr:colOff>
      <xdr:row>7</xdr:row>
      <xdr:rowOff>53340</xdr:rowOff>
    </xdr:to>
    <xdr:pic>
      <xdr:nvPicPr>
        <xdr:cNvPr id="3" name="Picture 2" descr="E3 fin logos">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0340" t="19754" b="65335"/>
        <a:stretch>
          <a:fillRect/>
        </a:stretch>
      </xdr:blipFill>
      <xdr:spPr bwMode="auto">
        <a:xfrm>
          <a:off x="514350" y="1066800"/>
          <a:ext cx="33876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4</xdr:row>
      <xdr:rowOff>47625</xdr:rowOff>
    </xdr:from>
    <xdr:to>
      <xdr:col>5</xdr:col>
      <xdr:colOff>349885</xdr:colOff>
      <xdr:row>7</xdr:row>
      <xdr:rowOff>53340</xdr:rowOff>
    </xdr:to>
    <xdr:pic>
      <xdr:nvPicPr>
        <xdr:cNvPr id="4" name="Picture 1" descr="E3 fin logos">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0340" t="19754" b="65335"/>
        <a:stretch>
          <a:fillRect/>
        </a:stretch>
      </xdr:blipFill>
      <xdr:spPr bwMode="auto">
        <a:xfrm>
          <a:off x="590550" y="936625"/>
          <a:ext cx="3752850" cy="527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619126</xdr:colOff>
      <xdr:row>172</xdr:row>
      <xdr:rowOff>100965</xdr:rowOff>
    </xdr:from>
    <xdr:to>
      <xdr:col>8</xdr:col>
      <xdr:colOff>76201</xdr:colOff>
      <xdr:row>187</xdr:row>
      <xdr:rowOff>129540</xdr:rowOff>
    </xdr:to>
    <xdr:graphicFrame macro="">
      <xdr:nvGraphicFramePr>
        <xdr:cNvPr id="2" name="Chart 1">
          <a:extLst>
            <a:ext uri="{FF2B5EF4-FFF2-40B4-BE49-F238E27FC236}">
              <a16:creationId xmlns:a16="http://schemas.microsoft.com/office/drawing/2014/main" id="{1C7076B6-14FF-EED0-1572-A8CE0DA36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29</xdr:row>
      <xdr:rowOff>47625</xdr:rowOff>
    </xdr:from>
    <xdr:to>
      <xdr:col>4</xdr:col>
      <xdr:colOff>1015365</xdr:colOff>
      <xdr:row>49</xdr:row>
      <xdr:rowOff>95250</xdr:rowOff>
    </xdr:to>
    <xdr:graphicFrame macro="">
      <xdr:nvGraphicFramePr>
        <xdr:cNvPr id="2050" name="Chart 2">
          <a:extLst>
            <a:ext uri="{FF2B5EF4-FFF2-40B4-BE49-F238E27FC236}">
              <a16:creationId xmlns:a16="http://schemas.microsoft.com/office/drawing/2014/main" id="{00000000-0008-0000-02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190500</xdr:colOff>
      <xdr:row>29</xdr:row>
      <xdr:rowOff>28575</xdr:rowOff>
    </xdr:from>
    <xdr:to>
      <xdr:col>14</xdr:col>
      <xdr:colOff>440055</xdr:colOff>
      <xdr:row>49</xdr:row>
      <xdr:rowOff>95250</xdr:rowOff>
    </xdr:to>
    <xdr:graphicFrame macro="">
      <xdr:nvGraphicFramePr>
        <xdr:cNvPr id="2051" name="Chart 3">
          <a:extLst>
            <a:ext uri="{FF2B5EF4-FFF2-40B4-BE49-F238E27FC236}">
              <a16:creationId xmlns:a16="http://schemas.microsoft.com/office/drawing/2014/main" id="{00000000-0008-0000-0200-000003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333374</xdr:colOff>
      <xdr:row>62</xdr:row>
      <xdr:rowOff>38100</xdr:rowOff>
    </xdr:from>
    <xdr:to>
      <xdr:col>23</xdr:col>
      <xdr:colOff>266699</xdr:colOff>
      <xdr:row>86</xdr:row>
      <xdr:rowOff>0</xdr:rowOff>
    </xdr:to>
    <xdr:graphicFrame macro="">
      <xdr:nvGraphicFramePr>
        <xdr:cNvPr id="3" name="Chart 2">
          <a:extLst>
            <a:ext uri="{FF2B5EF4-FFF2-40B4-BE49-F238E27FC236}">
              <a16:creationId xmlns:a16="http://schemas.microsoft.com/office/drawing/2014/main" id="{5FD62CBA-5F32-AB73-966A-1E569FE5C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40005</xdr:colOff>
      <xdr:row>33</xdr:row>
      <xdr:rowOff>59055</xdr:rowOff>
    </xdr:from>
    <xdr:to>
      <xdr:col>10</xdr:col>
      <xdr:colOff>283845</xdr:colOff>
      <xdr:row>45</xdr:row>
      <xdr:rowOff>54483</xdr:rowOff>
    </xdr:to>
    <xdr:graphicFrame macro="">
      <xdr:nvGraphicFramePr>
        <xdr:cNvPr id="2" name="Chart 1">
          <a:extLst>
            <a:ext uri="{FF2B5EF4-FFF2-40B4-BE49-F238E27FC236}">
              <a16:creationId xmlns:a16="http://schemas.microsoft.com/office/drawing/2014/main" id="{321AD251-F590-E0A0-EDC6-CD845B5C8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426720</xdr:colOff>
      <xdr:row>14</xdr:row>
      <xdr:rowOff>22860</xdr:rowOff>
    </xdr:from>
    <xdr:to>
      <xdr:col>12</xdr:col>
      <xdr:colOff>548640</xdr:colOff>
      <xdr:row>24</xdr:row>
      <xdr:rowOff>30480</xdr:rowOff>
    </xdr:to>
    <xdr:graphicFrame macro="">
      <xdr:nvGraphicFramePr>
        <xdr:cNvPr id="2" name="Chart 1">
          <a:extLst>
            <a:ext uri="{FF2B5EF4-FFF2-40B4-BE49-F238E27FC236}">
              <a16:creationId xmlns:a16="http://schemas.microsoft.com/office/drawing/2014/main" id="{84CC5028-5292-30D9-904F-96B479269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51</xdr:col>
      <xdr:colOff>563880</xdr:colOff>
      <xdr:row>4</xdr:row>
      <xdr:rowOff>0</xdr:rowOff>
    </xdr:from>
    <xdr:to>
      <xdr:col>59</xdr:col>
      <xdr:colOff>198120</xdr:colOff>
      <xdr:row>19</xdr:row>
      <xdr:rowOff>0</xdr:rowOff>
    </xdr:to>
    <xdr:graphicFrame macro="">
      <xdr:nvGraphicFramePr>
        <xdr:cNvPr id="3" name="Chart 2">
          <a:extLst>
            <a:ext uri="{FF2B5EF4-FFF2-40B4-BE49-F238E27FC236}">
              <a16:creationId xmlns:a16="http://schemas.microsoft.com/office/drawing/2014/main" id="{429B4225-0157-B7DA-D4AD-3A4DE64D7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threesf.sharepoint.com/Sffs01/rv%20team/Link%20Busta%20(DO%20NOT%20DELETE%20THIS%20FI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threesf.sharepoint.com/M:/USERS/EMosley/General%20Marketing/Bloomberg%20One%20Pag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nk Busta (DO NOT DELETE THIS "/>
      <sheetName val="Traffic_Rev"/>
      <sheetName val="RTL-IP-Dep-FA"/>
      <sheetName val="IA - Summary"/>
      <sheetName val="Assumptions"/>
      <sheetName val="#REF"/>
      <sheetName val="IPRD"/>
      <sheetName val="Inventec"/>
      <sheetName val="Broadcom"/>
      <sheetName val="VARS"/>
      <sheetName val="7 Qtr (1Q00-3Q01)"/>
      <sheetName val="Cap-FA"/>
      <sheetName val="Assumptions and Inputs"/>
      <sheetName val="Summary"/>
      <sheetName val="Risk Data"/>
      <sheetName val="Bal Sht 9-30-01"/>
      <sheetName val="Do not use"/>
      <sheetName val="LOH0197"/>
      <sheetName val="CAPITAL"/>
      <sheetName val="CAPMIP"/>
      <sheetName val="Input1"/>
      <sheetName val="Input2"/>
      <sheetName val="EPG"/>
      <sheetName val="Music"/>
      <sheetName val="Shopping"/>
      <sheetName val="Weather"/>
      <sheetName val="Banking"/>
      <sheetName val="Cost to Customer"/>
      <sheetName val="2001"/>
      <sheetName val="Q3"/>
      <sheetName val="Q4"/>
      <sheetName val="Projections 2"/>
      <sheetName val="Inputs"/>
      <sheetName val="key_inputs"/>
      <sheetName val="Proj. Financials"/>
      <sheetName val="KeyMultInputs"/>
      <sheetName val="Attrition"/>
      <sheetName val="Iowa Curves"/>
      <sheetName val="Historical"/>
      <sheetName val="Mult-3yr"/>
      <sheetName val="WP_Hist ABC"/>
      <sheetName val="Exb II.1_Summary Taira"/>
      <sheetName val="Detail Schedules"/>
      <sheetName val="Forecast"/>
      <sheetName val="Jobs"/>
      <sheetName val="dom-salaries"/>
      <sheetName val="Trends &amp; Rates"/>
      <sheetName val="Deferred Maint - old"/>
      <sheetName val="Deferred Add"/>
      <sheetName val="Existing"/>
      <sheetName val="INPUT"/>
      <sheetName val="DCF"/>
      <sheetName val="Historical IS"/>
      <sheetName val="Scratch and Validation Rules"/>
      <sheetName val="MA SREC Prices"/>
      <sheetName val="Drop Down"/>
      <sheetName val="SREC Curves"/>
      <sheetName val="Topaz_Wind_LLC"/>
      <sheetName val="Update_Tracker"/>
      <sheetName val="Dash"/>
      <sheetName val="Main_Inputs"/>
      <sheetName val="CTB"/>
      <sheetName val="Post-Flip PAYG"/>
      <sheetName val="Topaz_Wind_LLC_Allocations"/>
      <sheetName val="Tax_Equity_Accounts"/>
      <sheetName val="Metrics"/>
      <sheetName val="XIRR_Flip_Tracker"/>
      <sheetName val="CD_EY Cost Seg_Tax"/>
      <sheetName val="CD_EY Cost Seg_Val"/>
      <sheetName val="HH1_EY Cost Seg_Tax"/>
      <sheetName val="HH1_EY Cost Seg_Val"/>
      <sheetName val="COD_Depr_Inputs"/>
      <sheetName val="2017_Tax_Depr"/>
      <sheetName val="CD_PTC Exp_1.5_87"/>
      <sheetName val="CD_PTC Exp_1.5_77"/>
      <sheetName val="HH1_PTC Exp_1.5_87"/>
      <sheetName val="HH1_PTC Exp_1.5_87a"/>
      <sheetName val="Hours In Period"/>
      <sheetName val="OM_Inputs"/>
      <sheetName val="CD_Pro_Forma"/>
      <sheetName val="HH1_Pro_Forma"/>
      <sheetName val="CD_Rev_Build"/>
      <sheetName val="HH1_Rev_Build"/>
      <sheetName val="Rev_Inputs"/>
      <sheetName val="Hedge &amp; TA"/>
      <sheetName val="Merchant_and_Rec_Pricing"/>
      <sheetName val="NEER_Accounting"/>
      <sheetName val="Defd_Contrib_Sched"/>
      <sheetName val="Schedule 4.3(k)"/>
      <sheetName val="12x24_Inputs"/>
      <sheetName val="Link_Busta_(DO_NOT_DELETE_THIS_"/>
      <sheetName val="IA_-_Summary"/>
      <sheetName val="7_Qtr_(1Q00-3Q01)"/>
      <sheetName val="Assumptions_and_Inputs"/>
      <sheetName val="Risk_Data"/>
      <sheetName val="Bal_Sht_9-30-01"/>
      <sheetName val="Do_not_use"/>
      <sheetName val="Cost_to_Customer"/>
      <sheetName val="Projections_2"/>
      <sheetName val="Historical_IS"/>
      <sheetName val="Detail_Schedules"/>
      <sheetName val="Trends_&amp;_Rates"/>
      <sheetName val="Deferred_Maint_-_old"/>
      <sheetName val="Deferred_Add"/>
      <sheetName val="Proj__Financials"/>
      <sheetName val="Iowa_Curves"/>
      <sheetName val="WP_Hist_ABC"/>
      <sheetName val="Exb_II_1_Summary_Taira"/>
      <sheetName val="Exh B-8"/>
      <sheetName val="Exh B-5"/>
      <sheetName val="Exh B-2"/>
      <sheetName val="Exh B-6"/>
      <sheetName val="Exh B-4"/>
      <sheetName val="Exh B-3"/>
      <sheetName val="Exh B-7"/>
      <sheetName val="Exh B-1"/>
      <sheetName val="LCOE"/>
      <sheetName val="Dismantlement R06S REVISED"/>
      <sheetName val="2020 Dismantlement Detail"/>
      <sheetName val="Tie Out to BOBJ"/>
      <sheetName val="2020 Prior Detail"/>
      <sheetName val="Variance Comments"/>
      <sheetName val="New Company code"/>
      <sheetName val="2018 Dismantlement Detail"/>
      <sheetName val="2018 Dismantlement in BOBJ"/>
      <sheetName val="New Companies"/>
      <sheetName val="VR06S BOBJ"/>
      <sheetName val="Tables"/>
      <sheetName val="Revised Accretion"/>
      <sheetName val="Inputs &amp; Scenarios"/>
      <sheetName val="Global Input"/>
      <sheetName val="WARRCAPM(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Pager"/>
      <sheetName val="1st Bond"/>
      <sheetName val="2nd Bond"/>
      <sheetName val="3rd Bond"/>
      <sheetName val="Quote"/>
    </sheetNames>
    <sheetDataSet>
      <sheetData sheetId="0" refreshError="1">
        <row r="2">
          <cell r="A2" t="str">
            <v>One New Orchard Road, Armonk, NY 10504, United States</v>
          </cell>
          <cell r="G2" t="str">
            <v>N.A.</v>
          </cell>
          <cell r="I2" t="str">
            <v>914-499-1900</v>
          </cell>
        </row>
        <row r="3">
          <cell r="Q3" t="str">
            <v>One New Orchard Road</v>
          </cell>
        </row>
        <row r="5">
          <cell r="A5" t="str">
            <v>Description</v>
          </cell>
        </row>
        <row r="6">
          <cell r="A6" t="str">
            <v>International Business Machines Corporation (IBM) provides customer solutions</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E3">
      <a:dk1>
        <a:sysClr val="windowText" lastClr="000000"/>
      </a:dk1>
      <a:lt1>
        <a:sysClr val="window" lastClr="FFFFFF"/>
      </a:lt1>
      <a:dk2>
        <a:srgbClr val="315361"/>
      </a:dk2>
      <a:lt2>
        <a:srgbClr val="EEECE1"/>
      </a:lt2>
      <a:accent1>
        <a:srgbClr val="034E6E"/>
      </a:accent1>
      <a:accent2>
        <a:srgbClr val="AF7E00"/>
      </a:accent2>
      <a:accent3>
        <a:srgbClr val="AF2200"/>
      </a:accent3>
      <a:accent4>
        <a:srgbClr val="007E33"/>
      </a:accent4>
      <a:accent5>
        <a:srgbClr val="AF5D00"/>
      </a:accent5>
      <a:accent6>
        <a:srgbClr val="0A1978"/>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hyperlink" Target="https://www.whitehouse.gov/wp-content/uploads/2021/02/TechnicalSupportDocument_SocialCostofCarbonMethaneNitrousOxide.pdf" TargetMode="External"/><Relationship Id="rId3" Type="http://schemas.openxmlformats.org/officeDocument/2006/relationships/hyperlink" Target="https://www.epa.gov/air-emissions-factors-and-quantification/ap-42-compilation-air-emissions-factors-stationary-sources" TargetMode="External"/><Relationship Id="rId7" Type="http://schemas.openxmlformats.org/officeDocument/2006/relationships/hyperlink" Target="https://www.ethree.com/wp-content/uploads/2022/01/CPUC-Air-Quality-Report-FINAL.pdf" TargetMode="External"/><Relationship Id="rId2" Type="http://schemas.openxmlformats.org/officeDocument/2006/relationships/hyperlink" Target="https://www.epa.gov/sites/default/files/2020-09/documents/1.4_natural_gas_combustion.pdf" TargetMode="External"/><Relationship Id="rId1" Type="http://schemas.openxmlformats.org/officeDocument/2006/relationships/hyperlink" Target="https://www.epa.gov/sites/default/files/2020-09/documents/1.4_natural_gas_combustion.pdf" TargetMode="External"/><Relationship Id="rId6" Type="http://schemas.openxmlformats.org/officeDocument/2006/relationships/hyperlink" Target="https://www.energy.ca.gov/programs-and-topics/topics/energy-assessment/natural-gas-electric-generation-prices-california-and" TargetMode="External"/><Relationship Id="rId5" Type="http://schemas.openxmlformats.org/officeDocument/2006/relationships/hyperlink" Target="https://www.energy.ca.gov/programs-and-topics/topics/energy-assessment/natural-gas-electric-generation-prices-california-and" TargetMode="External"/><Relationship Id="rId4" Type="http://schemas.openxmlformats.org/officeDocument/2006/relationships/hyperlink" Target="https://www.energy.ca.gov/programs-and-topics/topics/energy-assessment/natural-gas-electric-generation-prices-california-and" TargetMode="External"/><Relationship Id="rId9"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6"/>
  </sheetPr>
  <dimension ref="A1:AN81"/>
  <sheetViews>
    <sheetView workbookViewId="0"/>
  </sheetViews>
  <sheetFormatPr baseColWidth="10" defaultColWidth="9" defaultRowHeight="14"/>
  <cols>
    <col min="1" max="1" width="7.796875" customWidth="1"/>
    <col min="2" max="2" width="19.19921875" customWidth="1"/>
    <col min="3" max="3" width="16.59765625" customWidth="1"/>
    <col min="11" max="11" width="25.796875" bestFit="1" customWidth="1"/>
    <col min="12" max="40" width="9" style="36"/>
  </cols>
  <sheetData>
    <row r="1" spans="1:11">
      <c r="A1" s="36"/>
      <c r="B1" s="36"/>
      <c r="C1" s="36"/>
      <c r="D1" s="36"/>
      <c r="E1" s="36"/>
      <c r="F1" s="36"/>
      <c r="G1" s="36"/>
      <c r="H1" s="36"/>
      <c r="I1" s="36"/>
      <c r="J1" s="36"/>
      <c r="K1" s="36"/>
    </row>
    <row r="2" spans="1:11" ht="26">
      <c r="A2" s="36"/>
      <c r="B2" s="32" t="s">
        <v>0</v>
      </c>
      <c r="C2" s="33"/>
      <c r="D2" s="36"/>
      <c r="E2" s="36"/>
      <c r="F2" s="36"/>
      <c r="G2" s="36"/>
      <c r="H2" s="36"/>
      <c r="I2" s="36"/>
      <c r="J2" s="36"/>
      <c r="K2" s="36"/>
    </row>
    <row r="3" spans="1:11" ht="16">
      <c r="A3" s="36"/>
      <c r="B3" s="34" t="s">
        <v>1</v>
      </c>
      <c r="C3" s="33"/>
      <c r="D3" s="36"/>
      <c r="E3" s="36"/>
      <c r="F3" s="36"/>
      <c r="G3" s="36"/>
      <c r="H3" s="36"/>
      <c r="I3" s="36"/>
      <c r="J3" s="36"/>
      <c r="K3" s="36"/>
    </row>
    <row r="4" spans="1:11">
      <c r="A4" s="36"/>
      <c r="B4" s="35" t="s">
        <v>2</v>
      </c>
      <c r="C4" s="33"/>
      <c r="D4" s="36"/>
      <c r="E4" s="36"/>
      <c r="F4" s="36"/>
      <c r="G4" s="36"/>
      <c r="H4" s="36"/>
      <c r="I4" s="36"/>
      <c r="J4" s="36"/>
      <c r="K4" s="36"/>
    </row>
    <row r="5" spans="1:11">
      <c r="A5" s="36"/>
      <c r="B5" s="33"/>
      <c r="C5" s="33"/>
      <c r="D5" s="36"/>
      <c r="E5" s="36"/>
      <c r="F5" s="36"/>
      <c r="G5" s="36"/>
      <c r="H5" s="36"/>
      <c r="I5" s="36"/>
      <c r="J5" s="36"/>
      <c r="K5" s="36"/>
    </row>
    <row r="6" spans="1:11">
      <c r="A6" s="36"/>
      <c r="B6" s="33"/>
      <c r="C6" s="33"/>
      <c r="D6" s="36"/>
      <c r="E6" s="36"/>
      <c r="F6" s="36"/>
      <c r="G6" s="36"/>
      <c r="H6" s="36"/>
      <c r="I6" s="36"/>
      <c r="J6" s="36"/>
      <c r="K6" s="36"/>
    </row>
    <row r="7" spans="1:11">
      <c r="A7" s="36"/>
      <c r="B7" s="33"/>
      <c r="C7" s="33"/>
      <c r="D7" s="36"/>
      <c r="E7" s="36"/>
      <c r="F7" s="36"/>
      <c r="G7" s="36"/>
      <c r="H7" s="36"/>
      <c r="I7" s="36"/>
      <c r="J7" s="36"/>
      <c r="K7" s="36"/>
    </row>
    <row r="8" spans="1:11">
      <c r="A8" s="36"/>
      <c r="B8" s="33"/>
      <c r="C8" s="33"/>
      <c r="D8" s="36"/>
      <c r="E8" s="36"/>
      <c r="F8" s="36"/>
      <c r="G8" s="36"/>
      <c r="H8" s="36"/>
      <c r="I8" s="36"/>
      <c r="J8" s="36"/>
      <c r="K8" s="36"/>
    </row>
    <row r="9" spans="1:11">
      <c r="A9" s="36"/>
      <c r="B9" s="358" t="s">
        <v>3</v>
      </c>
      <c r="C9" s="358"/>
      <c r="D9" s="36"/>
      <c r="E9" s="36"/>
      <c r="F9" s="36"/>
      <c r="G9" s="36"/>
      <c r="H9" s="36"/>
      <c r="I9" s="36"/>
      <c r="J9" s="36"/>
      <c r="K9" s="36"/>
    </row>
    <row r="10" spans="1:11">
      <c r="A10" s="36"/>
      <c r="B10" s="358" t="s">
        <v>4</v>
      </c>
      <c r="C10" s="358"/>
      <c r="D10" s="36"/>
      <c r="E10" s="36"/>
      <c r="F10" s="36"/>
      <c r="G10" s="36"/>
      <c r="H10" s="36"/>
      <c r="I10" s="36"/>
      <c r="J10" s="36"/>
      <c r="K10" s="36"/>
    </row>
    <row r="11" spans="1:11">
      <c r="A11" s="36"/>
      <c r="B11" s="358" t="s">
        <v>5</v>
      </c>
      <c r="C11" s="358"/>
      <c r="D11" s="36"/>
      <c r="E11" s="36"/>
      <c r="F11" s="36"/>
      <c r="G11" s="36"/>
      <c r="H11" s="36"/>
      <c r="I11" s="36"/>
      <c r="J11" s="36"/>
      <c r="K11" s="36"/>
    </row>
    <row r="12" spans="1:11">
      <c r="A12" s="36"/>
      <c r="B12" s="358" t="s">
        <v>6</v>
      </c>
      <c r="C12" s="358"/>
      <c r="D12" s="36"/>
      <c r="E12" s="36"/>
      <c r="F12" s="36"/>
      <c r="G12" s="36"/>
      <c r="H12" s="36"/>
      <c r="I12" s="36"/>
      <c r="J12" s="36"/>
      <c r="K12" s="36"/>
    </row>
    <row r="13" spans="1:11">
      <c r="A13" s="36"/>
      <c r="B13" s="359">
        <v>45590</v>
      </c>
      <c r="C13" s="359"/>
      <c r="D13" s="36"/>
      <c r="E13" s="36"/>
      <c r="F13" s="36"/>
      <c r="G13" s="36"/>
      <c r="H13" s="36"/>
      <c r="I13" s="36"/>
      <c r="J13" s="36"/>
      <c r="K13" s="36"/>
    </row>
    <row r="14" spans="1:11">
      <c r="A14" s="36"/>
      <c r="B14" s="36"/>
      <c r="C14" s="36"/>
      <c r="D14" s="36"/>
      <c r="E14" s="36"/>
      <c r="F14" s="36"/>
      <c r="G14" s="36"/>
      <c r="H14" s="36"/>
      <c r="I14" s="36"/>
      <c r="J14" s="36"/>
      <c r="K14" s="36"/>
    </row>
    <row r="15" spans="1:11">
      <c r="A15" s="36"/>
      <c r="B15" s="36"/>
      <c r="C15" s="36"/>
      <c r="D15" s="36"/>
      <c r="E15" s="36"/>
      <c r="F15" s="36"/>
      <c r="G15" s="36"/>
      <c r="H15" s="36"/>
      <c r="I15" s="36"/>
      <c r="J15" s="36"/>
      <c r="K15" s="36"/>
    </row>
    <row r="16" spans="1:11">
      <c r="A16" s="36"/>
      <c r="B16" s="36"/>
      <c r="C16" s="36"/>
      <c r="D16" s="36"/>
      <c r="E16" s="36"/>
      <c r="F16" s="36"/>
      <c r="G16" s="36"/>
      <c r="H16" s="36"/>
      <c r="I16" s="36"/>
      <c r="J16" s="36"/>
      <c r="K16" s="36"/>
    </row>
    <row r="17" spans="1:11">
      <c r="A17" s="36"/>
      <c r="B17" s="36"/>
      <c r="C17" s="36"/>
      <c r="D17" s="36"/>
      <c r="E17" s="36"/>
      <c r="F17" s="36"/>
      <c r="G17" s="36"/>
      <c r="H17" s="36"/>
      <c r="I17" s="36"/>
      <c r="J17" s="36"/>
      <c r="K17" s="36"/>
    </row>
    <row r="18" spans="1:11">
      <c r="A18" s="36"/>
      <c r="B18" s="36"/>
      <c r="C18" s="36"/>
      <c r="D18" s="36"/>
      <c r="E18" s="36"/>
      <c r="F18" s="36"/>
      <c r="G18" s="36"/>
      <c r="H18" s="36"/>
      <c r="I18" s="36"/>
      <c r="J18" s="36"/>
      <c r="K18" s="36"/>
    </row>
    <row r="19" spans="1:11">
      <c r="A19" s="36"/>
      <c r="B19" s="36"/>
      <c r="C19" s="36"/>
      <c r="D19" s="36"/>
      <c r="E19" s="36"/>
      <c r="F19" s="36"/>
      <c r="G19" s="36"/>
      <c r="H19" s="36"/>
      <c r="I19" s="36"/>
      <c r="J19" s="36"/>
      <c r="K19" s="36"/>
    </row>
    <row r="20" spans="1:11">
      <c r="A20" s="36"/>
      <c r="B20" s="36"/>
      <c r="C20" s="36"/>
      <c r="D20" s="36"/>
      <c r="E20" s="36"/>
      <c r="F20" s="36"/>
      <c r="G20" s="36"/>
      <c r="H20" s="36"/>
      <c r="I20" s="36"/>
      <c r="J20" s="36"/>
      <c r="K20" s="36"/>
    </row>
    <row r="21" spans="1:11">
      <c r="A21" s="36"/>
      <c r="B21" s="36"/>
      <c r="C21" s="36"/>
      <c r="D21" s="36"/>
      <c r="E21" s="36"/>
      <c r="F21" s="36"/>
      <c r="G21" s="36"/>
      <c r="H21" s="36"/>
      <c r="I21" s="36"/>
      <c r="J21" s="36"/>
      <c r="K21" s="36"/>
    </row>
    <row r="22" spans="1:11">
      <c r="A22" s="36"/>
      <c r="B22" s="36"/>
      <c r="C22" s="36"/>
      <c r="D22" s="36"/>
      <c r="E22" s="36"/>
      <c r="F22" s="36"/>
      <c r="G22" s="36"/>
      <c r="H22" s="36"/>
      <c r="I22" s="36"/>
      <c r="J22" s="36"/>
      <c r="K22" s="36"/>
    </row>
    <row r="23" spans="1:11">
      <c r="A23" s="36"/>
      <c r="B23" s="36"/>
      <c r="C23" s="36"/>
      <c r="D23" s="36"/>
      <c r="E23" s="36"/>
      <c r="F23" s="36"/>
      <c r="G23" s="36"/>
      <c r="H23" s="36"/>
      <c r="I23" s="36"/>
      <c r="J23" s="36"/>
      <c r="K23" s="36"/>
    </row>
    <row r="24" spans="1:11">
      <c r="A24" s="36"/>
      <c r="B24" s="36"/>
      <c r="C24" s="36"/>
      <c r="D24" s="36"/>
      <c r="E24" s="36"/>
      <c r="F24" s="36"/>
      <c r="G24" s="36"/>
      <c r="H24" s="36"/>
      <c r="I24" s="36"/>
      <c r="J24" s="36"/>
      <c r="K24" s="36"/>
    </row>
    <row r="25" spans="1:11">
      <c r="A25" s="36"/>
      <c r="B25" s="36"/>
      <c r="C25" s="36"/>
      <c r="D25" s="36"/>
      <c r="E25" s="36"/>
      <c r="F25" s="36"/>
      <c r="G25" s="36"/>
      <c r="H25" s="36"/>
      <c r="I25" s="36"/>
      <c r="J25" s="36"/>
      <c r="K25" s="36"/>
    </row>
    <row r="26" spans="1:11" ht="15">
      <c r="A26" s="36"/>
      <c r="B26" s="334" t="s">
        <v>7</v>
      </c>
      <c r="C26" s="335"/>
      <c r="D26" s="36"/>
      <c r="E26" s="36"/>
      <c r="F26" s="36"/>
      <c r="G26" s="36"/>
      <c r="H26" s="36"/>
      <c r="I26" s="36"/>
      <c r="J26" s="36"/>
      <c r="K26" s="36"/>
    </row>
    <row r="27" spans="1:11" ht="15">
      <c r="A27" s="36"/>
      <c r="B27" s="336" t="s">
        <v>8</v>
      </c>
      <c r="C27" s="337"/>
      <c r="D27" s="36"/>
      <c r="E27" s="36"/>
      <c r="F27" s="36"/>
      <c r="G27" s="36"/>
      <c r="H27" s="36"/>
      <c r="I27" s="36"/>
      <c r="J27" s="36"/>
      <c r="K27" s="36"/>
    </row>
    <row r="28" spans="1:11" ht="15">
      <c r="A28" s="36"/>
      <c r="B28" s="338" t="s">
        <v>9</v>
      </c>
      <c r="C28" s="339"/>
      <c r="D28" s="36"/>
      <c r="E28" s="36"/>
      <c r="F28" s="36"/>
      <c r="G28" s="36"/>
      <c r="H28" s="36"/>
      <c r="I28" s="36"/>
      <c r="J28" s="36"/>
      <c r="K28" s="36"/>
    </row>
    <row r="29" spans="1:11" ht="15">
      <c r="A29" s="36"/>
      <c r="B29" s="340" t="s">
        <v>10</v>
      </c>
      <c r="C29" s="341"/>
      <c r="D29" s="36"/>
      <c r="E29" s="36"/>
      <c r="F29" s="36"/>
      <c r="G29" s="36"/>
      <c r="H29" s="36"/>
      <c r="I29" s="36"/>
      <c r="J29" s="36"/>
      <c r="K29" s="36"/>
    </row>
    <row r="30" spans="1:11" ht="15">
      <c r="A30" s="36"/>
      <c r="B30" s="342" t="s">
        <v>11</v>
      </c>
      <c r="C30" s="343"/>
      <c r="D30" s="36"/>
      <c r="E30" s="36"/>
      <c r="F30" s="36"/>
      <c r="G30" s="36"/>
      <c r="H30" s="36"/>
      <c r="I30" s="36"/>
      <c r="J30" s="36"/>
      <c r="K30" s="36"/>
    </row>
    <row r="31" spans="1:11" ht="15">
      <c r="A31" s="36"/>
      <c r="B31" s="344" t="s">
        <v>12</v>
      </c>
      <c r="C31" s="345"/>
      <c r="D31" s="36"/>
      <c r="E31" s="36"/>
      <c r="F31" s="36"/>
      <c r="G31" s="36"/>
      <c r="H31" s="36"/>
      <c r="I31" s="36"/>
      <c r="J31" s="36"/>
      <c r="K31" s="36"/>
    </row>
    <row r="32" spans="1:11" ht="15">
      <c r="A32" s="36"/>
      <c r="B32" s="346" t="s">
        <v>13</v>
      </c>
      <c r="C32" s="347"/>
      <c r="D32" s="36"/>
      <c r="E32" s="36"/>
      <c r="F32" s="36"/>
      <c r="G32" s="36"/>
      <c r="H32" s="36"/>
      <c r="I32" s="36"/>
      <c r="J32" s="36"/>
      <c r="K32" s="36"/>
    </row>
    <row r="33" spans="1:11" ht="15">
      <c r="A33" s="36"/>
      <c r="B33" s="348" t="s">
        <v>14</v>
      </c>
      <c r="C33" s="349"/>
      <c r="D33" s="36"/>
      <c r="E33" s="36"/>
      <c r="F33" s="36"/>
      <c r="G33" s="36"/>
      <c r="H33" s="36"/>
      <c r="I33" s="36"/>
      <c r="J33" s="36"/>
      <c r="K33" s="36"/>
    </row>
    <row r="34" spans="1:11">
      <c r="A34" s="36"/>
      <c r="B34" s="350"/>
      <c r="C34" s="36"/>
      <c r="D34" s="36"/>
      <c r="E34" s="36"/>
      <c r="F34" s="36"/>
      <c r="G34" s="36"/>
      <c r="H34" s="36"/>
      <c r="I34" s="36"/>
      <c r="J34" s="36"/>
      <c r="K34" s="36"/>
    </row>
    <row r="35" spans="1:11">
      <c r="A35" s="36"/>
      <c r="B35" s="36"/>
      <c r="C35" s="36"/>
      <c r="D35" s="36"/>
      <c r="E35" s="36"/>
      <c r="F35" s="36"/>
      <c r="G35" s="36"/>
      <c r="H35" s="36"/>
      <c r="I35" s="36"/>
      <c r="J35" s="36"/>
      <c r="K35" s="36"/>
    </row>
    <row r="36" spans="1:11">
      <c r="A36" s="36"/>
      <c r="B36" s="36"/>
      <c r="C36" s="36"/>
      <c r="D36" s="36"/>
      <c r="E36" s="36"/>
      <c r="F36" s="36"/>
      <c r="G36" s="36"/>
      <c r="H36" s="36"/>
      <c r="I36" s="36"/>
      <c r="J36" s="36"/>
      <c r="K36" s="36"/>
    </row>
    <row r="37" spans="1:11">
      <c r="A37" s="36"/>
      <c r="B37" s="36"/>
      <c r="C37" s="36"/>
      <c r="D37" s="36"/>
      <c r="E37" s="36"/>
      <c r="F37" s="36"/>
      <c r="G37" s="36"/>
      <c r="H37" s="36"/>
      <c r="I37" s="36"/>
      <c r="J37" s="36"/>
      <c r="K37" s="36"/>
    </row>
    <row r="38" spans="1:11" s="36" customFormat="1"/>
    <row r="39" spans="1:11" s="36" customFormat="1"/>
    <row r="40" spans="1:11" s="36" customFormat="1"/>
    <row r="41" spans="1:11" s="36" customFormat="1"/>
    <row r="42" spans="1:11" s="36" customFormat="1"/>
    <row r="43" spans="1:11" s="36" customFormat="1"/>
    <row r="44" spans="1:11" s="36" customFormat="1"/>
    <row r="45" spans="1:11" s="36" customFormat="1"/>
    <row r="46" spans="1:11" s="36" customFormat="1"/>
    <row r="47" spans="1:11" s="36" customFormat="1"/>
    <row r="48" spans="1:11" s="36" customFormat="1"/>
    <row r="49" s="36" customFormat="1"/>
    <row r="50" s="36" customFormat="1"/>
    <row r="51" s="36" customFormat="1"/>
    <row r="52" s="36" customFormat="1"/>
    <row r="53" s="36" customFormat="1"/>
    <row r="54" s="36" customFormat="1"/>
    <row r="55" s="36" customFormat="1"/>
    <row r="56" s="36" customFormat="1"/>
    <row r="57" s="36" customFormat="1"/>
    <row r="58" s="36" customFormat="1"/>
    <row r="59" s="36" customFormat="1"/>
    <row r="60" s="36" customFormat="1"/>
    <row r="61" s="36" customFormat="1"/>
    <row r="62" s="36" customFormat="1"/>
    <row r="63" s="36" customFormat="1"/>
    <row r="64" s="36" customFormat="1"/>
    <row r="65" s="36" customFormat="1"/>
    <row r="66" s="36" customFormat="1"/>
    <row r="67" s="36" customFormat="1"/>
    <row r="68" s="36" customFormat="1"/>
    <row r="69" s="36" customFormat="1"/>
    <row r="70" s="36" customFormat="1"/>
    <row r="71" s="36" customFormat="1"/>
    <row r="72" s="36" customFormat="1"/>
    <row r="73" s="36" customFormat="1"/>
    <row r="74" s="36" customFormat="1"/>
    <row r="75" s="36" customFormat="1"/>
    <row r="76" s="36" customFormat="1"/>
    <row r="77" s="36" customFormat="1"/>
    <row r="78" s="36" customFormat="1"/>
    <row r="79" s="36" customFormat="1"/>
    <row r="80" s="36" customFormat="1"/>
    <row r="81" s="36" customFormat="1"/>
  </sheetData>
  <mergeCells count="5">
    <mergeCell ref="B9:C9"/>
    <mergeCell ref="B10:C10"/>
    <mergeCell ref="B11:C11"/>
    <mergeCell ref="B12:C12"/>
    <mergeCell ref="B13:C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sheetPr>
  <dimension ref="A1:AJ172"/>
  <sheetViews>
    <sheetView tabSelected="1" workbookViewId="0">
      <selection activeCell="G8" sqref="G8"/>
    </sheetView>
  </sheetViews>
  <sheetFormatPr baseColWidth="10" defaultColWidth="9" defaultRowHeight="15" outlineLevelRow="1"/>
  <cols>
    <col min="1" max="1" width="7.796875" style="56" customWidth="1"/>
    <col min="2" max="2" width="33.19921875" style="56" customWidth="1"/>
    <col min="3" max="3" width="38.19921875" style="56" customWidth="1"/>
    <col min="4" max="4" width="1.59765625" style="56" customWidth="1"/>
    <col min="5" max="5" width="12.3984375" style="57" customWidth="1"/>
    <col min="6" max="7" width="20.3984375" style="56" customWidth="1"/>
    <col min="8" max="8" width="17.19921875" style="56" customWidth="1"/>
    <col min="9" max="9" width="21.19921875" style="56" customWidth="1"/>
    <col min="10" max="10" width="18.59765625" style="56" customWidth="1"/>
    <col min="11" max="11" width="12.19921875" style="56" customWidth="1"/>
    <col min="12" max="34" width="9" style="56"/>
    <col min="35" max="35" width="9.59765625" style="56" bestFit="1" customWidth="1"/>
    <col min="36" max="16384" width="9" style="56"/>
  </cols>
  <sheetData>
    <row r="1" spans="1:12" ht="15" customHeight="1">
      <c r="A1" s="54"/>
      <c r="B1" s="54"/>
      <c r="C1" s="54"/>
      <c r="D1" s="54"/>
      <c r="E1" s="55"/>
      <c r="F1" s="54"/>
      <c r="G1" s="54"/>
      <c r="H1" s="54"/>
    </row>
    <row r="2" spans="1:12" s="61" customFormat="1" ht="15" customHeight="1">
      <c r="B2" s="59" t="s">
        <v>15</v>
      </c>
    </row>
    <row r="3" spans="1:12" ht="15" customHeight="1">
      <c r="A3" s="54"/>
      <c r="B3" s="54"/>
      <c r="C3" s="54"/>
      <c r="D3" s="54"/>
      <c r="E3" s="55"/>
      <c r="F3" s="54"/>
      <c r="G3" s="54"/>
      <c r="H3" s="54"/>
    </row>
    <row r="4" spans="1:12" ht="15" customHeight="1">
      <c r="C4" s="74" t="s">
        <v>16</v>
      </c>
    </row>
    <row r="5" spans="1:12" ht="15" customHeight="1">
      <c r="B5" s="52" t="s">
        <v>17</v>
      </c>
      <c r="C5" s="80" t="s">
        <v>18</v>
      </c>
    </row>
    <row r="6" spans="1:12" ht="15" customHeight="1">
      <c r="B6" s="52" t="s">
        <v>19</v>
      </c>
      <c r="C6" s="80" t="s">
        <v>128</v>
      </c>
    </row>
    <row r="7" spans="1:12" ht="15" customHeight="1">
      <c r="B7" s="52" t="s">
        <v>21</v>
      </c>
      <c r="C7" s="80" t="s">
        <v>22</v>
      </c>
    </row>
    <row r="8" spans="1:12" ht="15" customHeight="1">
      <c r="B8" s="52" t="s">
        <v>23</v>
      </c>
      <c r="C8" s="80" t="s">
        <v>105</v>
      </c>
    </row>
    <row r="9" spans="1:12" ht="15" customHeight="1">
      <c r="B9" s="52"/>
    </row>
    <row r="10" spans="1:12" ht="15" customHeight="1">
      <c r="B10" s="52" t="s">
        <v>25</v>
      </c>
      <c r="C10" s="80" t="s">
        <v>166</v>
      </c>
    </row>
    <row r="11" spans="1:12" ht="15" customHeight="1">
      <c r="B11" s="52" t="s">
        <v>27</v>
      </c>
      <c r="C11" s="80" t="s">
        <v>28</v>
      </c>
      <c r="D11" s="83" t="s">
        <v>29</v>
      </c>
    </row>
    <row r="12" spans="1:12" ht="15" customHeight="1"/>
    <row r="13" spans="1:12" ht="15" customHeight="1">
      <c r="C13" s="82" t="s">
        <v>30</v>
      </c>
    </row>
    <row r="14" spans="1:12" ht="15" customHeight="1">
      <c r="B14" s="53" t="s">
        <v>31</v>
      </c>
      <c r="C14" s="148">
        <v>2024</v>
      </c>
      <c r="D14" s="83"/>
    </row>
    <row r="15" spans="1:12" ht="15" customHeight="1">
      <c r="B15" s="53" t="s">
        <v>32</v>
      </c>
      <c r="C15" s="149">
        <v>1</v>
      </c>
      <c r="D15" s="83" t="s">
        <v>33</v>
      </c>
      <c r="J15" s="53"/>
      <c r="K15" s="89"/>
      <c r="L15" s="57"/>
    </row>
    <row r="16" spans="1:12" ht="15" customHeight="1">
      <c r="B16" s="53" t="s">
        <v>34</v>
      </c>
      <c r="C16" s="245">
        <f>C14+C15-1</f>
        <v>2024</v>
      </c>
      <c r="E16" s="203" t="str">
        <f>IF(C16&gt;$AJ$47,_xlfn.CONCAT("Selected Levelization Period extends beyond the modelled years (",E58,"-",$AJ$47,"). Please update the Start Year and/or Levelization Period"),"")</f>
        <v/>
      </c>
      <c r="J16" s="53"/>
      <c r="K16" s="89"/>
      <c r="L16" s="57"/>
    </row>
    <row r="17" spans="1:12" ht="15" customHeight="1">
      <c r="B17" s="53" t="s">
        <v>35</v>
      </c>
      <c r="C17" s="246">
        <f>INDEX('Other Inputs'!$C$18:$D$18,MATCH($C$10,'Other Inputs'!$C$16:$D$16,0))</f>
        <v>0</v>
      </c>
      <c r="D17" s="57"/>
      <c r="J17" s="53"/>
      <c r="K17" s="89"/>
      <c r="L17" s="57"/>
    </row>
    <row r="18" spans="1:12" ht="15" customHeight="1">
      <c r="B18" s="53" t="s">
        <v>36</v>
      </c>
      <c r="C18" s="247">
        <f>-PMT(C17,C15,1,0,1)</f>
        <v>1</v>
      </c>
      <c r="J18" s="53"/>
      <c r="K18" s="89"/>
      <c r="L18" s="57"/>
    </row>
    <row r="19" spans="1:12" ht="15" customHeight="1">
      <c r="B19" s="53" t="s">
        <v>37</v>
      </c>
      <c r="C19" s="150">
        <v>2024</v>
      </c>
      <c r="D19" s="57"/>
      <c r="J19" s="53"/>
      <c r="K19" s="89"/>
      <c r="L19" s="57"/>
    </row>
    <row r="20" spans="1:12" ht="15" customHeight="1">
      <c r="B20" s="53" t="s">
        <v>38</v>
      </c>
      <c r="C20" s="248">
        <f>'Other Inputs'!$C$11</f>
        <v>0.02</v>
      </c>
      <c r="D20" s="57"/>
      <c r="J20" s="53"/>
      <c r="K20" s="89"/>
      <c r="L20" s="57"/>
    </row>
    <row r="21" spans="1:12" ht="15" customHeight="1">
      <c r="J21" s="53"/>
      <c r="K21" s="89"/>
      <c r="L21" s="57"/>
    </row>
    <row r="22" spans="1:12" ht="15" customHeight="1">
      <c r="C22" s="82" t="s">
        <v>39</v>
      </c>
      <c r="J22" s="53"/>
      <c r="K22" s="89"/>
      <c r="L22" s="57"/>
    </row>
    <row r="23" spans="1:12" ht="15" customHeight="1">
      <c r="B23" s="53" t="s">
        <v>40</v>
      </c>
      <c r="C23" s="58" t="b">
        <v>1</v>
      </c>
      <c r="J23" s="53"/>
      <c r="K23" s="89"/>
      <c r="L23" s="57"/>
    </row>
    <row r="24" spans="1:12" ht="15" customHeight="1">
      <c r="B24" s="53" t="s">
        <v>41</v>
      </c>
      <c r="C24" s="58" t="b">
        <v>1</v>
      </c>
      <c r="J24" s="53"/>
      <c r="K24" s="89"/>
      <c r="L24" s="57"/>
    </row>
    <row r="25" spans="1:12" ht="15" customHeight="1">
      <c r="B25" s="53" t="s">
        <v>42</v>
      </c>
      <c r="C25" s="58" t="b">
        <v>1</v>
      </c>
      <c r="J25" s="53"/>
      <c r="K25" s="89"/>
      <c r="L25" s="57"/>
    </row>
    <row r="26" spans="1:12" ht="15" customHeight="1">
      <c r="B26" s="53" t="s">
        <v>43</v>
      </c>
      <c r="C26" s="58" t="b">
        <v>1</v>
      </c>
      <c r="G26" s="53"/>
      <c r="H26" s="62"/>
    </row>
    <row r="27" spans="1:12" ht="15" customHeight="1" outlineLevel="1">
      <c r="B27" s="53" t="s">
        <v>44</v>
      </c>
      <c r="C27" s="58" t="b">
        <v>1</v>
      </c>
    </row>
    <row r="28" spans="1:12" ht="15" customHeight="1" outlineLevel="1">
      <c r="B28" s="53" t="s">
        <v>45</v>
      </c>
      <c r="C28" s="58" t="b">
        <v>1</v>
      </c>
    </row>
    <row r="29" spans="1:12" ht="15" customHeight="1" outlineLevel="1">
      <c r="B29" s="53" t="s">
        <v>46</v>
      </c>
      <c r="C29" s="244" t="b">
        <f>IF(AND(C10="SCT",C28),TRUE(),FALSE())</f>
        <v>0</v>
      </c>
      <c r="D29" s="83" t="s">
        <v>47</v>
      </c>
    </row>
    <row r="30" spans="1:12" ht="15" customHeight="1">
      <c r="J30" s="53"/>
      <c r="K30" s="89"/>
      <c r="L30" s="57"/>
    </row>
    <row r="31" spans="1:12" s="61" customFormat="1" ht="15" customHeight="1">
      <c r="B31" s="59" t="s">
        <v>48</v>
      </c>
    </row>
    <row r="32" spans="1:12" ht="15" customHeight="1" outlineLevel="1">
      <c r="A32" s="54"/>
      <c r="B32" s="54"/>
      <c r="C32" s="54"/>
      <c r="D32" s="54"/>
      <c r="E32" s="55"/>
      <c r="F32" s="54"/>
      <c r="G32" s="54"/>
      <c r="H32" s="54"/>
    </row>
    <row r="33" spans="2:36" s="66" customFormat="1" ht="15" customHeight="1" outlineLevel="1">
      <c r="B33" s="68"/>
      <c r="C33" s="82" t="s">
        <v>49</v>
      </c>
      <c r="E33" s="67"/>
      <c r="F33" s="63" t="s">
        <v>50</v>
      </c>
      <c r="G33" s="64" t="s">
        <v>51</v>
      </c>
    </row>
    <row r="34" spans="2:36" ht="15" customHeight="1" outlineLevel="1">
      <c r="B34" s="53" t="s">
        <v>52</v>
      </c>
      <c r="C34" s="242">
        <f>INDEX(Emissions!$F$6:$F$12,MATCH(_xlfn.CONCAT($C$7,"-",$C$8),Emissions!$H$6:$H$12,0))</f>
        <v>9.7999999999999997E-3</v>
      </c>
      <c r="F34" s="240" t="s">
        <v>53</v>
      </c>
      <c r="G34" s="241">
        <f>INDEX('T&amp;D'!$C55:$K55,MATCH(_xlfn.CONCAT($C$5,"-",$C$6),'T&amp;D'!$C$68:$K$68,0))</f>
        <v>1.8214936247723135</v>
      </c>
    </row>
    <row r="35" spans="2:36" ht="15" customHeight="1" outlineLevel="1">
      <c r="B35" s="53" t="s">
        <v>54</v>
      </c>
      <c r="C35" s="242">
        <f>INDEX(Emissions!$G$6:$G$12,MATCH(_xlfn.CONCAT($C$7,"-",$C$8),Emissions!$H$6:$H$12,0))</f>
        <v>5.3070370403969849E-3</v>
      </c>
      <c r="D35" s="69"/>
      <c r="F35" s="240" t="s">
        <v>55</v>
      </c>
      <c r="G35" s="241">
        <f>INDEX('T&amp;D'!$C56:$K56,MATCH(_xlfn.CONCAT($C$5,"-",$C$6),'T&amp;D'!$C$68:$K$68,0))</f>
        <v>1.8214936247723135</v>
      </c>
    </row>
    <row r="36" spans="2:36" ht="15" customHeight="1" outlineLevel="1">
      <c r="B36" s="53" t="s">
        <v>56</v>
      </c>
      <c r="C36" s="243">
        <f>INDEX('Other Inputs'!$C5:$E5,MATCH($C$5,'Other Inputs'!$C$4:$E$4,0))</f>
        <v>4.0000000000000001E-3</v>
      </c>
      <c r="D36" s="69"/>
      <c r="F36" s="240" t="s">
        <v>57</v>
      </c>
      <c r="G36" s="241">
        <f>INDEX('T&amp;D'!$C57:$K57,MATCH(_xlfn.CONCAT($C$5,"-",$C$6),'T&amp;D'!$C$68:$K$68,0))</f>
        <v>1.8214936247723135</v>
      </c>
    </row>
    <row r="37" spans="2:36" ht="15" customHeight="1" outlineLevel="1">
      <c r="B37" s="53" t="s">
        <v>58</v>
      </c>
      <c r="C37" s="243">
        <f>INDEX('Other Inputs'!$C6:$E6,MATCH($C$5,'Other Inputs'!$C$4:$E$4,0))</f>
        <v>0.01</v>
      </c>
      <c r="D37" s="70"/>
      <c r="F37" s="240" t="s">
        <v>59</v>
      </c>
      <c r="G37" s="241">
        <f>INDEX('T&amp;D'!$C58:$K58,MATCH(_xlfn.CONCAT($C$5,"-",$C$6),'T&amp;D'!$C$68:$K$68,0))</f>
        <v>0</v>
      </c>
    </row>
    <row r="38" spans="2:36" ht="15" customHeight="1" outlineLevel="1">
      <c r="D38" s="70"/>
      <c r="F38" s="240" t="s">
        <v>60</v>
      </c>
      <c r="G38" s="241">
        <f>INDEX('T&amp;D'!$C59:$K59,MATCH(_xlfn.CONCAT($C$5,"-",$C$6),'T&amp;D'!$C$68:$K$68,0))</f>
        <v>0</v>
      </c>
    </row>
    <row r="39" spans="2:36" ht="15" customHeight="1" outlineLevel="1">
      <c r="B39" s="53"/>
      <c r="F39" s="240" t="s">
        <v>61</v>
      </c>
      <c r="G39" s="241">
        <f>INDEX('T&amp;D'!$C60:$K60,MATCH(_xlfn.CONCAT($C$5,"-",$C$6),'T&amp;D'!$C$68:$K$68,0))</f>
        <v>0</v>
      </c>
    </row>
    <row r="40" spans="2:36" ht="15" customHeight="1" outlineLevel="1">
      <c r="F40" s="240" t="s">
        <v>62</v>
      </c>
      <c r="G40" s="241">
        <f>INDEX('T&amp;D'!$C61:$K61,MATCH(_xlfn.CONCAT($C$5,"-",$C$6),'T&amp;D'!$C$68:$K$68,0))</f>
        <v>0</v>
      </c>
    </row>
    <row r="41" spans="2:36" ht="15" customHeight="1" outlineLevel="1">
      <c r="F41" s="240" t="s">
        <v>63</v>
      </c>
      <c r="G41" s="241">
        <f>INDEX('T&amp;D'!$C62:$K62,MATCH(_xlfn.CONCAT($C$5,"-",$C$6),'T&amp;D'!$C$68:$K$68,0))</f>
        <v>0</v>
      </c>
    </row>
    <row r="42" spans="2:36" ht="15" customHeight="1" outlineLevel="1">
      <c r="F42" s="240" t="s">
        <v>64</v>
      </c>
      <c r="G42" s="241">
        <f>INDEX('T&amp;D'!$C63:$K63,MATCH(_xlfn.CONCAT($C$5,"-",$C$6),'T&amp;D'!$C$68:$K$68,0))</f>
        <v>0</v>
      </c>
    </row>
    <row r="43" spans="2:36" ht="15" customHeight="1" outlineLevel="1">
      <c r="F43" s="240" t="s">
        <v>65</v>
      </c>
      <c r="G43" s="241">
        <f>INDEX('T&amp;D'!$C64:$K64,MATCH(_xlfn.CONCAT($C$5,"-",$C$6),'T&amp;D'!$C$68:$K$68,0))</f>
        <v>0</v>
      </c>
    </row>
    <row r="44" spans="2:36" ht="15" customHeight="1" outlineLevel="1">
      <c r="E44" s="228"/>
      <c r="F44" s="240" t="s">
        <v>66</v>
      </c>
      <c r="G44" s="241">
        <f>INDEX('T&amp;D'!$C65:$K65,MATCH(_xlfn.CONCAT($C$5,"-",$C$6),'T&amp;D'!$C$68:$K$68,0))</f>
        <v>1.8214936247723135</v>
      </c>
    </row>
    <row r="45" spans="2:36" ht="15" customHeight="1" outlineLevel="1">
      <c r="B45" s="77"/>
      <c r="F45" s="240" t="s">
        <v>67</v>
      </c>
      <c r="G45" s="241">
        <f>INDEX('T&amp;D'!$C66:$K66,MATCH(_xlfn.CONCAT($C$5,"-",$C$6),'T&amp;D'!$C$68:$K$68,0))</f>
        <v>1.8214936247723135</v>
      </c>
    </row>
    <row r="46" spans="2:36" ht="15" customHeight="1" outlineLevel="1">
      <c r="E46" s="56"/>
    </row>
    <row r="47" spans="2:36" ht="15" customHeight="1" outlineLevel="1">
      <c r="C47" s="224" t="s">
        <v>68</v>
      </c>
      <c r="D47" s="71"/>
      <c r="E47" s="29">
        <v>2023</v>
      </c>
      <c r="F47" s="29">
        <f>E47+1</f>
        <v>2024</v>
      </c>
      <c r="G47" s="29">
        <f t="shared" ref="G47:AJ47" si="0">F47+1</f>
        <v>2025</v>
      </c>
      <c r="H47" s="29">
        <f t="shared" si="0"/>
        <v>2026</v>
      </c>
      <c r="I47" s="29">
        <f t="shared" si="0"/>
        <v>2027</v>
      </c>
      <c r="J47" s="29">
        <f>I47+1</f>
        <v>2028</v>
      </c>
      <c r="K47" s="29">
        <f t="shared" si="0"/>
        <v>2029</v>
      </c>
      <c r="L47" s="29">
        <f t="shared" si="0"/>
        <v>2030</v>
      </c>
      <c r="M47" s="29">
        <f>L47+1</f>
        <v>2031</v>
      </c>
      <c r="N47" s="29">
        <f t="shared" si="0"/>
        <v>2032</v>
      </c>
      <c r="O47" s="29">
        <f t="shared" si="0"/>
        <v>2033</v>
      </c>
      <c r="P47" s="29">
        <f t="shared" si="0"/>
        <v>2034</v>
      </c>
      <c r="Q47" s="29">
        <f t="shared" si="0"/>
        <v>2035</v>
      </c>
      <c r="R47" s="29">
        <f t="shared" si="0"/>
        <v>2036</v>
      </c>
      <c r="S47" s="29">
        <f t="shared" si="0"/>
        <v>2037</v>
      </c>
      <c r="T47" s="29">
        <f t="shared" si="0"/>
        <v>2038</v>
      </c>
      <c r="U47" s="29">
        <f t="shared" si="0"/>
        <v>2039</v>
      </c>
      <c r="V47" s="29">
        <f t="shared" si="0"/>
        <v>2040</v>
      </c>
      <c r="W47" s="29">
        <f t="shared" si="0"/>
        <v>2041</v>
      </c>
      <c r="X47" s="29">
        <f t="shared" si="0"/>
        <v>2042</v>
      </c>
      <c r="Y47" s="29">
        <f t="shared" si="0"/>
        <v>2043</v>
      </c>
      <c r="Z47" s="29">
        <f t="shared" si="0"/>
        <v>2044</v>
      </c>
      <c r="AA47" s="29">
        <f t="shared" si="0"/>
        <v>2045</v>
      </c>
      <c r="AB47" s="29">
        <f t="shared" si="0"/>
        <v>2046</v>
      </c>
      <c r="AC47" s="29">
        <f t="shared" si="0"/>
        <v>2047</v>
      </c>
      <c r="AD47" s="29">
        <f t="shared" si="0"/>
        <v>2048</v>
      </c>
      <c r="AE47" s="29">
        <f t="shared" si="0"/>
        <v>2049</v>
      </c>
      <c r="AF47" s="29">
        <f t="shared" si="0"/>
        <v>2050</v>
      </c>
      <c r="AG47" s="29">
        <f t="shared" si="0"/>
        <v>2051</v>
      </c>
      <c r="AH47" s="29">
        <f t="shared" si="0"/>
        <v>2052</v>
      </c>
      <c r="AI47" s="29">
        <f t="shared" si="0"/>
        <v>2053</v>
      </c>
      <c r="AJ47" s="29">
        <f t="shared" si="0"/>
        <v>2054</v>
      </c>
    </row>
    <row r="48" spans="2:36" ht="15" customHeight="1" outlineLevel="1">
      <c r="C48" s="145" t="s">
        <v>69</v>
      </c>
      <c r="D48" s="53"/>
      <c r="E48" s="239">
        <f>INDEX('T&amp;D'!$D$5:$AJ$13,MATCH(_xlfn.CONCAT($C$5,"-",$C$6),'T&amp;D'!$AL$5:$AL$13,0),MATCH(E$47,'T&amp;D'!$D$4:$AJ$4,0))</f>
        <v>0.27</v>
      </c>
      <c r="F48" s="239">
        <f>INDEX('T&amp;D'!$D$5:$AJ$13,MATCH(_xlfn.CONCAT($C$5,"-",$C$6),'T&amp;D'!$AL$5:$AL$13,0),MATCH(F$47,'T&amp;D'!$D$4:$AJ$4,0))</f>
        <v>0.27</v>
      </c>
      <c r="G48" s="239">
        <f>INDEX('T&amp;D'!$D$5:$AJ$13,MATCH(_xlfn.CONCAT($C$5,"-",$C$6),'T&amp;D'!$AL$5:$AL$13,0),MATCH(G$47,'T&amp;D'!$D$4:$AJ$4,0))</f>
        <v>0.28094471999999998</v>
      </c>
      <c r="H48" s="239">
        <f>INDEX('T&amp;D'!$D$5:$AJ$13,MATCH(_xlfn.CONCAT($C$5,"-",$C$6),'T&amp;D'!$AL$5:$AL$13,0),MATCH(H$47,'T&amp;D'!$D$4:$AJ$4,0))</f>
        <v>0.2865636144</v>
      </c>
      <c r="I48" s="239">
        <f>INDEX('T&amp;D'!$D$5:$AJ$13,MATCH(_xlfn.CONCAT($C$5,"-",$C$6),'T&amp;D'!$AL$5:$AL$13,0),MATCH(I$47,'T&amp;D'!$D$4:$AJ$4,0))</f>
        <v>0.29229488668799997</v>
      </c>
      <c r="J48" s="239">
        <f>INDEX('T&amp;D'!$D$5:$AJ$13,MATCH(_xlfn.CONCAT($C$5,"-",$C$6),'T&amp;D'!$AL$5:$AL$13,0),MATCH(J$47,'T&amp;D'!$D$4:$AJ$4,0))</f>
        <v>0.29814078442176001</v>
      </c>
      <c r="K48" s="239">
        <f>INDEX('T&amp;D'!$D$5:$AJ$13,MATCH(_xlfn.CONCAT($C$5,"-",$C$6),'T&amp;D'!$AL$5:$AL$13,0),MATCH(K$47,'T&amp;D'!$D$4:$AJ$4,0))</f>
        <v>0.3041036001101951</v>
      </c>
      <c r="L48" s="239">
        <f>INDEX('T&amp;D'!$D$5:$AJ$13,MATCH(_xlfn.CONCAT($C$5,"-",$C$6),'T&amp;D'!$AL$5:$AL$13,0),MATCH(L$47,'T&amp;D'!$D$4:$AJ$4,0))</f>
        <v>0.31018567211239906</v>
      </c>
      <c r="M48" s="239">
        <f>INDEX('T&amp;D'!$D$5:$AJ$13,MATCH(_xlfn.CONCAT($C$5,"-",$C$6),'T&amp;D'!$AL$5:$AL$13,0),MATCH(M$47,'T&amp;D'!$D$4:$AJ$4,0))</f>
        <v>0.31638938555464702</v>
      </c>
      <c r="N48" s="239">
        <f>INDEX('T&amp;D'!$D$5:$AJ$13,MATCH(_xlfn.CONCAT($C$5,"-",$C$6),'T&amp;D'!$AL$5:$AL$13,0),MATCH(N$47,'T&amp;D'!$D$4:$AJ$4,0))</f>
        <v>0.32271717326574001</v>
      </c>
      <c r="O48" s="239">
        <f>INDEX('T&amp;D'!$D$5:$AJ$13,MATCH(_xlfn.CONCAT($C$5,"-",$C$6),'T&amp;D'!$AL$5:$AL$13,0),MATCH(O$47,'T&amp;D'!$D$4:$AJ$4,0))</f>
        <v>0.32917151673105471</v>
      </c>
      <c r="P48" s="239">
        <f>INDEX('T&amp;D'!$D$5:$AJ$13,MATCH(_xlfn.CONCAT($C$5,"-",$C$6),'T&amp;D'!$AL$5:$AL$13,0),MATCH(P$47,'T&amp;D'!$D$4:$AJ$4,0))</f>
        <v>0.33575494706567588</v>
      </c>
      <c r="Q48" s="239">
        <f>INDEX('T&amp;D'!$D$5:$AJ$13,MATCH(_xlfn.CONCAT($C$5,"-",$C$6),'T&amp;D'!$AL$5:$AL$13,0),MATCH(Q$47,'T&amp;D'!$D$4:$AJ$4,0))</f>
        <v>0.34247004600698938</v>
      </c>
      <c r="R48" s="239">
        <f>INDEX('T&amp;D'!$D$5:$AJ$13,MATCH(_xlfn.CONCAT($C$5,"-",$C$6),'T&amp;D'!$AL$5:$AL$13,0),MATCH(R$47,'T&amp;D'!$D$4:$AJ$4,0))</f>
        <v>0.34931944692712918</v>
      </c>
      <c r="S48" s="239">
        <f>INDEX('T&amp;D'!$D$5:$AJ$13,MATCH(_xlfn.CONCAT($C$5,"-",$C$6),'T&amp;D'!$AL$5:$AL$13,0),MATCH(S$47,'T&amp;D'!$D$4:$AJ$4,0))</f>
        <v>0.35630583586567172</v>
      </c>
      <c r="T48" s="239">
        <f>INDEX('T&amp;D'!$D$5:$AJ$13,MATCH(_xlfn.CONCAT($C$5,"-",$C$6),'T&amp;D'!$AL$5:$AL$13,0),MATCH(T$47,'T&amp;D'!$D$4:$AJ$4,0))</f>
        <v>0.36343195258298516</v>
      </c>
      <c r="U48" s="239">
        <f>INDEX('T&amp;D'!$D$5:$AJ$13,MATCH(_xlfn.CONCAT($C$5,"-",$C$6),'T&amp;D'!$AL$5:$AL$13,0),MATCH(U$47,'T&amp;D'!$D$4:$AJ$4,0))</f>
        <v>0.37070059163464492</v>
      </c>
      <c r="V48" s="239">
        <f>INDEX('T&amp;D'!$D$5:$AJ$13,MATCH(_xlfn.CONCAT($C$5,"-",$C$6),'T&amp;D'!$AL$5:$AL$13,0),MATCH(V$47,'T&amp;D'!$D$4:$AJ$4,0))</f>
        <v>0.37811460346733777</v>
      </c>
      <c r="W48" s="239">
        <f>INDEX('T&amp;D'!$D$5:$AJ$13,MATCH(_xlfn.CONCAT($C$5,"-",$C$6),'T&amp;D'!$AL$5:$AL$13,0),MATCH(W$47,'T&amp;D'!$D$4:$AJ$4,0))</f>
        <v>0.38567689553668455</v>
      </c>
      <c r="X48" s="239">
        <f>INDEX('T&amp;D'!$D$5:$AJ$13,MATCH(_xlfn.CONCAT($C$5,"-",$C$6),'T&amp;D'!$AL$5:$AL$13,0),MATCH(X$47,'T&amp;D'!$D$4:$AJ$4,0))</f>
        <v>0.39339043344741825</v>
      </c>
      <c r="Y48" s="239">
        <f>INDEX('T&amp;D'!$D$5:$AJ$13,MATCH(_xlfn.CONCAT($C$5,"-",$C$6),'T&amp;D'!$AL$5:$AL$13,0),MATCH(Y$47,'T&amp;D'!$D$4:$AJ$4,0))</f>
        <v>0.40125824211636657</v>
      </c>
      <c r="Z48" s="239">
        <f>INDEX('T&amp;D'!$D$5:$AJ$13,MATCH(_xlfn.CONCAT($C$5,"-",$C$6),'T&amp;D'!$AL$5:$AL$13,0),MATCH(Z$47,'T&amp;D'!$D$4:$AJ$4,0))</f>
        <v>0.40928340695869392</v>
      </c>
      <c r="AA48" s="239">
        <f>INDEX('T&amp;D'!$D$5:$AJ$13,MATCH(_xlfn.CONCAT($C$5,"-",$C$6),'T&amp;D'!$AL$5:$AL$13,0),MATCH(AA$47,'T&amp;D'!$D$4:$AJ$4,0))</f>
        <v>0.41746907509786774</v>
      </c>
      <c r="AB48" s="239">
        <f>INDEX('T&amp;D'!$D$5:$AJ$13,MATCH(_xlfn.CONCAT($C$5,"-",$C$6),'T&amp;D'!$AL$5:$AL$13,0),MATCH(AB$47,'T&amp;D'!$D$4:$AJ$4,0))</f>
        <v>0.42581845659982515</v>
      </c>
      <c r="AC48" s="239">
        <f>INDEX('T&amp;D'!$D$5:$AJ$13,MATCH(_xlfn.CONCAT($C$5,"-",$C$6),'T&amp;D'!$AL$5:$AL$13,0),MATCH(AC$47,'T&amp;D'!$D$4:$AJ$4,0))</f>
        <v>0.43433482573182164</v>
      </c>
      <c r="AD48" s="239">
        <f>INDEX('T&amp;D'!$D$5:$AJ$13,MATCH(_xlfn.CONCAT($C$5,"-",$C$6),'T&amp;D'!$AL$5:$AL$13,0),MATCH(AD$47,'T&amp;D'!$D$4:$AJ$4,0))</f>
        <v>0.44302152224645808</v>
      </c>
      <c r="AE48" s="239">
        <f>INDEX('T&amp;D'!$D$5:$AJ$13,MATCH(_xlfn.CONCAT($C$5,"-",$C$6),'T&amp;D'!$AL$5:$AL$13,0),MATCH(AE$47,'T&amp;D'!$D$4:$AJ$4,0))</f>
        <v>0.4518819526913872</v>
      </c>
      <c r="AF48" s="239">
        <f>INDEX('T&amp;D'!$D$5:$AJ$13,MATCH(_xlfn.CONCAT($C$5,"-",$C$6),'T&amp;D'!$AL$5:$AL$13,0),MATCH(AF$47,'T&amp;D'!$D$4:$AJ$4,0))</f>
        <v>0.46091959174521502</v>
      </c>
      <c r="AG48" s="239">
        <f>INDEX('T&amp;D'!$D$5:$AJ$13,MATCH(_xlfn.CONCAT($C$5,"-",$C$6),'T&amp;D'!$AL$5:$AL$13,0),MATCH(AG$47,'T&amp;D'!$D$4:$AJ$4,0))</f>
        <v>0.47013798358011927</v>
      </c>
      <c r="AH48" s="239">
        <f>INDEX('T&amp;D'!$D$5:$AJ$13,MATCH(_xlfn.CONCAT($C$5,"-",$C$6),'T&amp;D'!$AL$5:$AL$13,0),MATCH(AH$47,'T&amp;D'!$D$4:$AJ$4,0))</f>
        <v>0.47954074325172169</v>
      </c>
      <c r="AI48" s="239">
        <f>INDEX('T&amp;D'!$D$5:$AJ$13,MATCH(_xlfn.CONCAT($C$5,"-",$C$6),'T&amp;D'!$AL$5:$AL$13,0),MATCH(AI$47,'T&amp;D'!$D$4:$AJ$4,0))</f>
        <v>0.48913155811675602</v>
      </c>
      <c r="AJ48" s="239">
        <f>INDEX('T&amp;D'!$D$5:$AJ$13,MATCH(_xlfn.CONCAT($C$5,"-",$C$6),'T&amp;D'!$AL$5:$AL$13,0),MATCH(AJ$47,'T&amp;D'!$D$4:$AJ$4,0))</f>
        <v>0.4989141892790912</v>
      </c>
    </row>
    <row r="49" spans="2:36" ht="15" customHeight="1" outlineLevel="1">
      <c r="C49" s="145" t="s">
        <v>70</v>
      </c>
      <c r="D49" s="53"/>
      <c r="E49" s="239">
        <f>INDEX(Emissions!$C32:$AL32,MATCH(E$47,Emissions!$C$16:$AL$16,0))</f>
        <v>0.16270240390597024</v>
      </c>
      <c r="F49" s="239">
        <f>INDEX(Emissions!$C32:$AL32,MATCH(F$47,Emissions!$C$16:$AL$16,0))</f>
        <v>0.17433527573226709</v>
      </c>
      <c r="G49" s="239">
        <f>INDEX(Emissions!$C32:$AL32,MATCH(G$47,Emissions!$C$16:$AL$16,0))</f>
        <v>0.18721722550399109</v>
      </c>
      <c r="H49" s="239">
        <f>INDEX(Emissions!$C32:$AL32,MATCH(H$47,Emissions!$C$16:$AL$16,0))</f>
        <v>0.20009917527571061</v>
      </c>
      <c r="I49" s="239">
        <f>INDEX(Emissions!$C32:$AL32,MATCH(I$47,Emissions!$C$16:$AL$16,0))</f>
        <v>0.21298112504743458</v>
      </c>
      <c r="J49" s="239">
        <f>INDEX(Emissions!$C32:$AL32,MATCH(J$47,Emissions!$C$16:$AL$16,0))</f>
        <v>0.22586307481915854</v>
      </c>
      <c r="K49" s="239">
        <f>INDEX(Emissions!$C32:$AL32,MATCH(K$47,Emissions!$C$16:$AL$16,0))</f>
        <v>0.23874502459088251</v>
      </c>
      <c r="L49" s="239">
        <f>INDEX(Emissions!$C32:$AL32,MATCH(L$47,Emissions!$C$16:$AL$16,0))</f>
        <v>0.2516269743626065</v>
      </c>
      <c r="M49" s="239">
        <f>INDEX(Emissions!$C32:$AL32,MATCH(M$47,Emissions!$C$16:$AL$16,0))</f>
        <v>0.26450892413433047</v>
      </c>
      <c r="N49" s="239">
        <f>INDEX(Emissions!$C32:$AL32,MATCH(N$47,Emissions!$C$16:$AL$16,0))</f>
        <v>0.27739087390605</v>
      </c>
      <c r="O49" s="239">
        <f>INDEX(Emissions!$C32:$AL32,MATCH(O$47,Emissions!$C$16:$AL$16,0))</f>
        <v>0.29027282367777396</v>
      </c>
      <c r="P49" s="239">
        <f>INDEX(Emissions!$C32:$AL32,MATCH(P$47,Emissions!$C$16:$AL$16,0))</f>
        <v>0.30315477344949793</v>
      </c>
      <c r="Q49" s="239">
        <f>INDEX(Emissions!$C32:$AL32,MATCH(Q$47,Emissions!$C$16:$AL$16,0))</f>
        <v>0.31603672322122189</v>
      </c>
      <c r="R49" s="239">
        <f>INDEX(Emissions!$C32:$AL32,MATCH(R$47,Emissions!$C$16:$AL$16,0))</f>
        <v>0.32891867299294592</v>
      </c>
      <c r="S49" s="239">
        <f>INDEX(Emissions!$C32:$AL32,MATCH(S$47,Emissions!$C$16:$AL$16,0))</f>
        <v>0.34180062276466988</v>
      </c>
      <c r="T49" s="239">
        <f>INDEX(Emissions!$C32:$AL32,MATCH(T$47,Emissions!$C$16:$AL$16,0))</f>
        <v>0.35468257253639385</v>
      </c>
      <c r="U49" s="239">
        <f>INDEX(Emissions!$C32:$AL32,MATCH(U$47,Emissions!$C$16:$AL$16,0))</f>
        <v>0.36756452230811337</v>
      </c>
      <c r="V49" s="239">
        <f>INDEX(Emissions!$C32:$AL32,MATCH(V$47,Emissions!$C$16:$AL$16,0))</f>
        <v>0.38044647207983734</v>
      </c>
      <c r="W49" s="239">
        <f>INDEX(Emissions!$C32:$AL32,MATCH(W$47,Emissions!$C$16:$AL$16,0))</f>
        <v>0.39332842185156131</v>
      </c>
      <c r="X49" s="239">
        <f>INDEX(Emissions!$C32:$AL32,MATCH(X$47,Emissions!$C$16:$AL$16,0))</f>
        <v>0.40621037162328527</v>
      </c>
      <c r="Y49" s="239">
        <f>INDEX(Emissions!$C32:$AL32,MATCH(Y$47,Emissions!$C$16:$AL$16,0))</f>
        <v>0.41909232139500924</v>
      </c>
      <c r="Z49" s="239">
        <f>INDEX(Emissions!$C32:$AL32,MATCH(Z$47,Emissions!$C$16:$AL$16,0))</f>
        <v>0.43197427116673326</v>
      </c>
      <c r="AA49" s="239">
        <f>INDEX(Emissions!$C32:$AL32,MATCH(AA$47,Emissions!$C$16:$AL$16,0))</f>
        <v>0.44485622093845273</v>
      </c>
      <c r="AB49" s="239">
        <f>INDEX(Emissions!$C32:$AL32,MATCH(AB$47,Emissions!$C$16:$AL$16,0))</f>
        <v>0.45773817071017675</v>
      </c>
      <c r="AC49" s="239">
        <f>INDEX(Emissions!$C32:$AL32,MATCH(AC$47,Emissions!$C$16:$AL$16,0))</f>
        <v>0.47062012048190072</v>
      </c>
      <c r="AD49" s="239">
        <f>INDEX(Emissions!$C32:$AL32,MATCH(AD$47,Emissions!$C$16:$AL$16,0))</f>
        <v>0.48350207025362468</v>
      </c>
      <c r="AE49" s="239">
        <f>INDEX(Emissions!$C32:$AL32,MATCH(AE$47,Emissions!$C$16:$AL$16,0))</f>
        <v>0.49638402002534865</v>
      </c>
      <c r="AF49" s="239">
        <f>INDEX(Emissions!$C32:$AL32,MATCH(AF$47,Emissions!$C$16:$AL$16,0))</f>
        <v>0.50926596979707262</v>
      </c>
      <c r="AG49" s="239">
        <f>INDEX(Emissions!$C32:$AL32,MATCH(AG$47,Emissions!$C$16:$AL$16,0))</f>
        <v>0.52214791956879658</v>
      </c>
      <c r="AH49" s="239">
        <f>INDEX(Emissions!$C32:$AL32,MATCH(AH$47,Emissions!$C$16:$AL$16,0))</f>
        <v>0.53502986934051611</v>
      </c>
      <c r="AI49" s="239">
        <f>INDEX(Emissions!$C32:$AL32,MATCH(AI$47,Emissions!$C$16:$AL$16,0))</f>
        <v>0.54791181911224007</v>
      </c>
      <c r="AJ49" s="239">
        <f>INDEX(Emissions!$C32:$AL32,MATCH(AJ$47,Emissions!$C$16:$AL$16,0))</f>
        <v>0.56079376888396404</v>
      </c>
    </row>
    <row r="50" spans="2:36" ht="15" customHeight="1" outlineLevel="1">
      <c r="C50" s="145" t="s">
        <v>71</v>
      </c>
      <c r="D50" s="53"/>
      <c r="E50" s="239">
        <f>INDEX(Emissions!$C33:$AL33,MATCH(E$47,Emissions!$C$16:$AL$16,0))*$C$35</f>
        <v>0.60500222260525627</v>
      </c>
      <c r="F50" s="239">
        <f>INDEX(Emissions!$C33:$AL33,MATCH(F$47,Emissions!$C$16:$AL$16,0))*$C$35</f>
        <v>0.60500222260525627</v>
      </c>
      <c r="G50" s="239">
        <f>INDEX(Emissions!$C33:$AL33,MATCH(G$47,Emissions!$C$16:$AL$16,0))*$C$35</f>
        <v>0.60500222260525627</v>
      </c>
      <c r="H50" s="239">
        <f>INDEX(Emissions!$C33:$AL33,MATCH(H$47,Emissions!$C$16:$AL$16,0))*$C$35</f>
        <v>0.60500222260525627</v>
      </c>
      <c r="I50" s="239">
        <f>INDEX(Emissions!$C33:$AL33,MATCH(I$47,Emissions!$C$16:$AL$16,0))*$C$35</f>
        <v>0.60500222260525627</v>
      </c>
      <c r="J50" s="239">
        <f>INDEX(Emissions!$C33:$AL33,MATCH(J$47,Emissions!$C$16:$AL$16,0))*$C$35</f>
        <v>0.60500222260525627</v>
      </c>
      <c r="K50" s="239">
        <f>INDEX(Emissions!$C33:$AL33,MATCH(K$47,Emissions!$C$16:$AL$16,0))*$C$35</f>
        <v>0.60500222260525627</v>
      </c>
      <c r="L50" s="239">
        <f>INDEX(Emissions!$C33:$AL33,MATCH(L$47,Emissions!$C$16:$AL$16,0))*$C$35</f>
        <v>0.60500222260525627</v>
      </c>
      <c r="M50" s="239">
        <f>INDEX(Emissions!$C33:$AL33,MATCH(M$47,Emissions!$C$16:$AL$16,0))*$C$35</f>
        <v>0.60500222260525627</v>
      </c>
      <c r="N50" s="239">
        <f>INDEX(Emissions!$C33:$AL33,MATCH(N$47,Emissions!$C$16:$AL$16,0))*$C$35</f>
        <v>0.60500222260525627</v>
      </c>
      <c r="O50" s="239">
        <f>INDEX(Emissions!$C33:$AL33,MATCH(O$47,Emissions!$C$16:$AL$16,0))*$C$35</f>
        <v>0.60500222260525627</v>
      </c>
      <c r="P50" s="239">
        <f>INDEX(Emissions!$C33:$AL33,MATCH(P$47,Emissions!$C$16:$AL$16,0))*$C$35</f>
        <v>0.60500222260525627</v>
      </c>
      <c r="Q50" s="239">
        <f>INDEX(Emissions!$C33:$AL33,MATCH(Q$47,Emissions!$C$16:$AL$16,0))*$C$35</f>
        <v>0.60500222260525627</v>
      </c>
      <c r="R50" s="239">
        <f>INDEX(Emissions!$C33:$AL33,MATCH(R$47,Emissions!$C$16:$AL$16,0))*$C$35</f>
        <v>0.60500222260525627</v>
      </c>
      <c r="S50" s="239">
        <f>INDEX(Emissions!$C33:$AL33,MATCH(S$47,Emissions!$C$16:$AL$16,0))*$C$35</f>
        <v>0.60500222260525627</v>
      </c>
      <c r="T50" s="239">
        <f>INDEX(Emissions!$C33:$AL33,MATCH(T$47,Emissions!$C$16:$AL$16,0))*$C$35</f>
        <v>0.60500222260525627</v>
      </c>
      <c r="U50" s="239">
        <f>INDEX(Emissions!$C33:$AL33,MATCH(U$47,Emissions!$C$16:$AL$16,0))*$C$35</f>
        <v>0.60500222260525627</v>
      </c>
      <c r="V50" s="239">
        <f>INDEX(Emissions!$C33:$AL33,MATCH(V$47,Emissions!$C$16:$AL$16,0))*$C$35</f>
        <v>0.60500222260525627</v>
      </c>
      <c r="W50" s="239">
        <f>INDEX(Emissions!$C33:$AL33,MATCH(W$47,Emissions!$C$16:$AL$16,0))*$C$35</f>
        <v>0.60500222260525627</v>
      </c>
      <c r="X50" s="239">
        <f>INDEX(Emissions!$C33:$AL33,MATCH(X$47,Emissions!$C$16:$AL$16,0))*$C$35</f>
        <v>0.60500222260525627</v>
      </c>
      <c r="Y50" s="239">
        <f>INDEX(Emissions!$C33:$AL33,MATCH(Y$47,Emissions!$C$16:$AL$16,0))*$C$35</f>
        <v>0.60500222260525627</v>
      </c>
      <c r="Z50" s="239">
        <f>INDEX(Emissions!$C33:$AL33,MATCH(Z$47,Emissions!$C$16:$AL$16,0))*$C$35</f>
        <v>0.60500222260525627</v>
      </c>
      <c r="AA50" s="239">
        <f>INDEX(Emissions!$C33:$AL33,MATCH(AA$47,Emissions!$C$16:$AL$16,0))*$C$35</f>
        <v>0.60500222260525627</v>
      </c>
      <c r="AB50" s="239">
        <f>INDEX(Emissions!$C33:$AL33,MATCH(AB$47,Emissions!$C$16:$AL$16,0))*$C$35</f>
        <v>0.60500222260525627</v>
      </c>
      <c r="AC50" s="239">
        <f>INDEX(Emissions!$C33:$AL33,MATCH(AC$47,Emissions!$C$16:$AL$16,0))*$C$35</f>
        <v>0.60500222260525627</v>
      </c>
      <c r="AD50" s="239">
        <f>INDEX(Emissions!$C33:$AL33,MATCH(AD$47,Emissions!$C$16:$AL$16,0))*$C$35</f>
        <v>0.60500222260525627</v>
      </c>
      <c r="AE50" s="239">
        <f>INDEX(Emissions!$C33:$AL33,MATCH(AE$47,Emissions!$C$16:$AL$16,0))*$C$35</f>
        <v>0.60500222260525627</v>
      </c>
      <c r="AF50" s="239">
        <f>INDEX(Emissions!$C33:$AL33,MATCH(AF$47,Emissions!$C$16:$AL$16,0))*$C$35</f>
        <v>0.60500222260525627</v>
      </c>
      <c r="AG50" s="239">
        <f>INDEX(Emissions!$C33:$AL33,MATCH(AG$47,Emissions!$C$16:$AL$16,0))*$C$35</f>
        <v>0.60500222260525627</v>
      </c>
      <c r="AH50" s="239">
        <f>INDEX(Emissions!$C33:$AL33,MATCH(AH$47,Emissions!$C$16:$AL$16,0))*$C$35</f>
        <v>0.60500222260525627</v>
      </c>
      <c r="AI50" s="239">
        <f>INDEX(Emissions!$C33:$AL33,MATCH(AI$47,Emissions!$C$16:$AL$16,0))*$C$35</f>
        <v>0.60500222260525627</v>
      </c>
      <c r="AJ50" s="239">
        <f>INDEX(Emissions!$C33:$AL33,MATCH(AJ$47,Emissions!$C$16:$AL$16,0))*$C$35</f>
        <v>0.60500222260525627</v>
      </c>
    </row>
    <row r="51" spans="2:36" ht="15" customHeight="1" outlineLevel="1">
      <c r="C51" s="145" t="s">
        <v>72</v>
      </c>
      <c r="D51" s="53"/>
      <c r="E51" s="239">
        <f>E$50*'Methane Leakage'!$C4</f>
        <v>3.3698623799112773E-2</v>
      </c>
      <c r="F51" s="239">
        <f>F$50*'Methane Leakage'!$C4</f>
        <v>3.3698623799112773E-2</v>
      </c>
      <c r="G51" s="239">
        <f>G$50*'Methane Leakage'!$C4</f>
        <v>3.3698623799112773E-2</v>
      </c>
      <c r="H51" s="239">
        <f>H$50*'Methane Leakage'!$C4</f>
        <v>3.3698623799112773E-2</v>
      </c>
      <c r="I51" s="239">
        <f>I$50*'Methane Leakage'!$C4</f>
        <v>3.3698623799112773E-2</v>
      </c>
      <c r="J51" s="239">
        <f>J$50*'Methane Leakage'!$C4</f>
        <v>3.3698623799112773E-2</v>
      </c>
      <c r="K51" s="239">
        <f>K$50*'Methane Leakage'!$C4</f>
        <v>3.3698623799112773E-2</v>
      </c>
      <c r="L51" s="239">
        <f>L$50*'Methane Leakage'!$C4</f>
        <v>3.3698623799112773E-2</v>
      </c>
      <c r="M51" s="239">
        <f>M$50*'Methane Leakage'!$C4</f>
        <v>3.3698623799112773E-2</v>
      </c>
      <c r="N51" s="239">
        <f>N$50*'Methane Leakage'!$C4</f>
        <v>3.3698623799112773E-2</v>
      </c>
      <c r="O51" s="239">
        <f>O$50*'Methane Leakage'!$C4</f>
        <v>3.3698623799112773E-2</v>
      </c>
      <c r="P51" s="239">
        <f>P$50*'Methane Leakage'!$C4</f>
        <v>3.3698623799112773E-2</v>
      </c>
      <c r="Q51" s="239">
        <f>Q$50*'Methane Leakage'!$C4</f>
        <v>3.3698623799112773E-2</v>
      </c>
      <c r="R51" s="239">
        <f>R$50*'Methane Leakage'!$C4</f>
        <v>3.3698623799112773E-2</v>
      </c>
      <c r="S51" s="239">
        <f>S$50*'Methane Leakage'!$C4</f>
        <v>3.3698623799112773E-2</v>
      </c>
      <c r="T51" s="239">
        <f>T$50*'Methane Leakage'!$C4</f>
        <v>3.3698623799112773E-2</v>
      </c>
      <c r="U51" s="239">
        <f>U$50*'Methane Leakage'!$C4</f>
        <v>3.3698623799112773E-2</v>
      </c>
      <c r="V51" s="239">
        <f>V$50*'Methane Leakage'!$C4</f>
        <v>3.3698623799112773E-2</v>
      </c>
      <c r="W51" s="239">
        <f>W$50*'Methane Leakage'!$C4</f>
        <v>3.3698623799112773E-2</v>
      </c>
      <c r="X51" s="239">
        <f>X$50*'Methane Leakage'!$C4</f>
        <v>3.3698623799112773E-2</v>
      </c>
      <c r="Y51" s="239">
        <f>Y$50*'Methane Leakage'!$C4</f>
        <v>3.3698623799112773E-2</v>
      </c>
      <c r="Z51" s="239">
        <f>Z$50*'Methane Leakage'!$C4</f>
        <v>3.3698623799112773E-2</v>
      </c>
      <c r="AA51" s="239">
        <f>AA$50*'Methane Leakage'!$C4</f>
        <v>3.3698623799112773E-2</v>
      </c>
      <c r="AB51" s="239">
        <f>AB$50*'Methane Leakage'!$C4</f>
        <v>3.3698623799112773E-2</v>
      </c>
      <c r="AC51" s="239">
        <f>AC$50*'Methane Leakage'!$C4</f>
        <v>3.3698623799112773E-2</v>
      </c>
      <c r="AD51" s="239">
        <f>AD$50*'Methane Leakage'!$C4</f>
        <v>3.3698623799112773E-2</v>
      </c>
      <c r="AE51" s="239">
        <f>AE$50*'Methane Leakage'!$C4</f>
        <v>3.3698623799112773E-2</v>
      </c>
      <c r="AF51" s="239">
        <f>AF$50*'Methane Leakage'!$C4</f>
        <v>3.3698623799112773E-2</v>
      </c>
      <c r="AG51" s="239">
        <f>AG$50*'Methane Leakage'!$C4</f>
        <v>3.3698623799112773E-2</v>
      </c>
      <c r="AH51" s="239">
        <f>AH$50*'Methane Leakage'!$C4</f>
        <v>3.3698623799112773E-2</v>
      </c>
      <c r="AI51" s="239">
        <f>AI$50*'Methane Leakage'!$C4</f>
        <v>3.3698623799112773E-2</v>
      </c>
      <c r="AJ51" s="239">
        <f>AJ$50*'Methane Leakage'!$C4</f>
        <v>3.3698623799112773E-2</v>
      </c>
    </row>
    <row r="52" spans="2:36" ht="15" customHeight="1" outlineLevel="1">
      <c r="C52" s="145" t="s">
        <v>73</v>
      </c>
      <c r="D52" s="53"/>
      <c r="E52" s="239">
        <f>E$50*'Methane Leakage'!$C7</f>
        <v>2.2908387078574937E-2</v>
      </c>
      <c r="F52" s="239">
        <f>F$50*'Methane Leakage'!$C7</f>
        <v>2.2908387078574937E-2</v>
      </c>
      <c r="G52" s="239">
        <f>G$50*'Methane Leakage'!$C7</f>
        <v>2.2908387078574937E-2</v>
      </c>
      <c r="H52" s="239">
        <f>H$50*'Methane Leakage'!$C7</f>
        <v>2.2908387078574937E-2</v>
      </c>
      <c r="I52" s="239">
        <f>I$50*'Methane Leakage'!$C7</f>
        <v>2.2908387078574937E-2</v>
      </c>
      <c r="J52" s="239">
        <f>J$50*'Methane Leakage'!$C7</f>
        <v>2.2908387078574937E-2</v>
      </c>
      <c r="K52" s="239">
        <f>K$50*'Methane Leakage'!$C7</f>
        <v>2.2908387078574937E-2</v>
      </c>
      <c r="L52" s="239">
        <f>L$50*'Methane Leakage'!$C7</f>
        <v>2.2908387078574937E-2</v>
      </c>
      <c r="M52" s="239">
        <f>M$50*'Methane Leakage'!$C7</f>
        <v>2.2908387078574937E-2</v>
      </c>
      <c r="N52" s="239">
        <f>N$50*'Methane Leakage'!$C7</f>
        <v>2.2908387078574937E-2</v>
      </c>
      <c r="O52" s="239">
        <f>O$50*'Methane Leakage'!$C7</f>
        <v>2.2908387078574937E-2</v>
      </c>
      <c r="P52" s="239">
        <f>P$50*'Methane Leakage'!$C7</f>
        <v>2.2908387078574937E-2</v>
      </c>
      <c r="Q52" s="239">
        <f>Q$50*'Methane Leakage'!$C7</f>
        <v>2.2908387078574937E-2</v>
      </c>
      <c r="R52" s="239">
        <f>R$50*'Methane Leakage'!$C7</f>
        <v>2.2908387078574937E-2</v>
      </c>
      <c r="S52" s="239">
        <f>S$50*'Methane Leakage'!$C7</f>
        <v>2.2908387078574937E-2</v>
      </c>
      <c r="T52" s="239">
        <f>T$50*'Methane Leakage'!$C7</f>
        <v>2.2908387078574937E-2</v>
      </c>
      <c r="U52" s="239">
        <f>U$50*'Methane Leakage'!$C7</f>
        <v>2.2908387078574937E-2</v>
      </c>
      <c r="V52" s="239">
        <f>V$50*'Methane Leakage'!$C7</f>
        <v>2.2908387078574937E-2</v>
      </c>
      <c r="W52" s="239">
        <f>W$50*'Methane Leakage'!$C7</f>
        <v>2.2908387078574937E-2</v>
      </c>
      <c r="X52" s="239">
        <f>X$50*'Methane Leakage'!$C7</f>
        <v>2.2908387078574937E-2</v>
      </c>
      <c r="Y52" s="239">
        <f>Y$50*'Methane Leakage'!$C7</f>
        <v>2.2908387078574937E-2</v>
      </c>
      <c r="Z52" s="239">
        <f>Z$50*'Methane Leakage'!$C7</f>
        <v>2.2908387078574937E-2</v>
      </c>
      <c r="AA52" s="239">
        <f>AA$50*'Methane Leakage'!$C7</f>
        <v>2.2908387078574937E-2</v>
      </c>
      <c r="AB52" s="239">
        <f>AB$50*'Methane Leakage'!$C7</f>
        <v>2.2908387078574937E-2</v>
      </c>
      <c r="AC52" s="239">
        <f>AC$50*'Methane Leakage'!$C7</f>
        <v>2.2908387078574937E-2</v>
      </c>
      <c r="AD52" s="239">
        <f>AD$50*'Methane Leakage'!$C7</f>
        <v>2.2908387078574937E-2</v>
      </c>
      <c r="AE52" s="239">
        <f>AE$50*'Methane Leakage'!$C7</f>
        <v>2.2908387078574937E-2</v>
      </c>
      <c r="AF52" s="239">
        <f>AF$50*'Methane Leakage'!$C7</f>
        <v>2.2908387078574937E-2</v>
      </c>
      <c r="AG52" s="239">
        <f>AG$50*'Methane Leakage'!$C7</f>
        <v>2.2908387078574937E-2</v>
      </c>
      <c r="AH52" s="239">
        <f>AH$50*'Methane Leakage'!$C7</f>
        <v>2.2908387078574937E-2</v>
      </c>
      <c r="AI52" s="239">
        <f>AI$50*'Methane Leakage'!$C7</f>
        <v>2.2908387078574937E-2</v>
      </c>
      <c r="AJ52" s="239">
        <f>AJ$50*'Methane Leakage'!$C7</f>
        <v>2.2908387078574937E-2</v>
      </c>
    </row>
    <row r="53" spans="2:36" ht="15" customHeight="1" outlineLevel="1">
      <c r="C53" s="146" t="s">
        <v>45</v>
      </c>
      <c r="D53" s="53"/>
      <c r="E53" s="239">
        <f>INDEX(Emissions!$D$31:$AL$31,MATCH(E47,Emissions!$D$30:$AL$30,0))</f>
        <v>0</v>
      </c>
      <c r="F53" s="239">
        <f>INDEX(Emissions!$D$31:$AL$31,MATCH(F47,Emissions!$D$30:$AL$30,0))</f>
        <v>0</v>
      </c>
      <c r="G53" s="239">
        <f>INDEX(Emissions!$D$31:$AL$31,MATCH(G47,Emissions!$D$30:$AL$30,0))</f>
        <v>0</v>
      </c>
      <c r="H53" s="239">
        <f>INDEX(Emissions!$D$31:$AL$31,MATCH(H47,Emissions!$D$30:$AL$30,0))</f>
        <v>0</v>
      </c>
      <c r="I53" s="239">
        <f>INDEX(Emissions!$D$31:$AL$31,MATCH(I47,Emissions!$D$30:$AL$30,0))</f>
        <v>0</v>
      </c>
      <c r="J53" s="239">
        <f>INDEX(Emissions!$D$31:$AL$31,MATCH(J47,Emissions!$D$30:$AL$30,0))</f>
        <v>0</v>
      </c>
      <c r="K53" s="239">
        <f>INDEX(Emissions!$D$31:$AL$31,MATCH(K47,Emissions!$D$30:$AL$30,0))</f>
        <v>0</v>
      </c>
      <c r="L53" s="239">
        <f>INDEX(Emissions!$D$31:$AL$31,MATCH(L47,Emissions!$D$30:$AL$30,0))</f>
        <v>0</v>
      </c>
      <c r="M53" s="239">
        <f>INDEX(Emissions!$D$31:$AL$31,MATCH(M47,Emissions!$D$30:$AL$30,0))</f>
        <v>0</v>
      </c>
      <c r="N53" s="239">
        <f>INDEX(Emissions!$D$31:$AL$31,MATCH(N47,Emissions!$D$30:$AL$30,0))</f>
        <v>0</v>
      </c>
      <c r="O53" s="239">
        <f>INDEX(Emissions!$D$31:$AL$31,MATCH(O47,Emissions!$D$30:$AL$30,0))</f>
        <v>0</v>
      </c>
      <c r="P53" s="239">
        <f>INDEX(Emissions!$D$31:$AL$31,MATCH(P47,Emissions!$D$30:$AL$30,0))</f>
        <v>0</v>
      </c>
      <c r="Q53" s="239">
        <f>INDEX(Emissions!$D$31:$AL$31,MATCH(Q47,Emissions!$D$30:$AL$30,0))</f>
        <v>0</v>
      </c>
      <c r="R53" s="239">
        <f>INDEX(Emissions!$D$31:$AL$31,MATCH(R47,Emissions!$D$30:$AL$30,0))</f>
        <v>0</v>
      </c>
      <c r="S53" s="239">
        <f>INDEX(Emissions!$D$31:$AL$31,MATCH(S47,Emissions!$D$30:$AL$30,0))</f>
        <v>0</v>
      </c>
      <c r="T53" s="239">
        <f>INDEX(Emissions!$D$31:$AL$31,MATCH(T47,Emissions!$D$30:$AL$30,0))</f>
        <v>0</v>
      </c>
      <c r="U53" s="239">
        <f>INDEX(Emissions!$D$31:$AL$31,MATCH(U47,Emissions!$D$30:$AL$30,0))</f>
        <v>0</v>
      </c>
      <c r="V53" s="239">
        <f>INDEX(Emissions!$D$31:$AL$31,MATCH(V47,Emissions!$D$30:$AL$30,0))</f>
        <v>0</v>
      </c>
      <c r="W53" s="239">
        <f>INDEX(Emissions!$D$31:$AL$31,MATCH(W47,Emissions!$D$30:$AL$30,0))</f>
        <v>0</v>
      </c>
      <c r="X53" s="239">
        <f>INDEX(Emissions!$D$31:$AL$31,MATCH(X47,Emissions!$D$30:$AL$30,0))</f>
        <v>0</v>
      </c>
      <c r="Y53" s="239">
        <f>INDEX(Emissions!$D$31:$AL$31,MATCH(Y47,Emissions!$D$30:$AL$30,0))</f>
        <v>0</v>
      </c>
      <c r="Z53" s="239">
        <f>INDEX(Emissions!$D$31:$AL$31,MATCH(Z47,Emissions!$D$30:$AL$30,0))</f>
        <v>0</v>
      </c>
      <c r="AA53" s="239">
        <f>INDEX(Emissions!$D$31:$AL$31,MATCH(AA47,Emissions!$D$30:$AL$30,0))</f>
        <v>0</v>
      </c>
      <c r="AB53" s="239">
        <f>INDEX(Emissions!$D$31:$AL$31,MATCH(AB47,Emissions!$D$30:$AL$30,0))</f>
        <v>0</v>
      </c>
      <c r="AC53" s="239">
        <f>INDEX(Emissions!$D$31:$AL$31,MATCH(AC47,Emissions!$D$30:$AL$30,0))</f>
        <v>0</v>
      </c>
      <c r="AD53" s="239">
        <f>INDEX(Emissions!$D$31:$AL$31,MATCH(AD47,Emissions!$D$30:$AL$30,0))</f>
        <v>0</v>
      </c>
      <c r="AE53" s="239">
        <f>INDEX(Emissions!$D$31:$AL$31,MATCH(AE47,Emissions!$D$30:$AL$30,0))</f>
        <v>0</v>
      </c>
      <c r="AF53" s="239">
        <f>INDEX(Emissions!$D$31:$AL$31,MATCH(AF47,Emissions!$D$30:$AL$30,0))</f>
        <v>0</v>
      </c>
      <c r="AG53" s="239">
        <f>INDEX(Emissions!$D$31:$AL$31,MATCH(AG47,Emissions!$D$30:$AL$30,0))</f>
        <v>0</v>
      </c>
      <c r="AH53" s="239">
        <f>INDEX(Emissions!$D$31:$AL$31,MATCH(AH47,Emissions!$D$30:$AL$30,0))</f>
        <v>0</v>
      </c>
      <c r="AI53" s="239">
        <f>INDEX(Emissions!$D$31:$AL$31,MATCH(AI47,Emissions!$D$30:$AL$30,0))</f>
        <v>0</v>
      </c>
      <c r="AJ53" s="239">
        <f>INDEX(Emissions!$D$31:$AL$31,MATCH(AJ47,Emissions!$D$30:$AL$30,0))</f>
        <v>0</v>
      </c>
    </row>
    <row r="54" spans="2:36" ht="15" customHeight="1">
      <c r="C54" s="53"/>
      <c r="D54" s="53"/>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row>
    <row r="55" spans="2:36" s="61" customFormat="1" ht="15" customHeight="1">
      <c r="B55" s="59" t="s">
        <v>74</v>
      </c>
    </row>
    <row r="56" spans="2:36" ht="15" customHeight="1">
      <c r="E56" s="56"/>
    </row>
    <row r="57" spans="2:36" ht="15" customHeight="1">
      <c r="C57" s="65" t="str">
        <f>"Gas Avoided Cost: " &amp; IF(C23,B23,"") &amp;"  " &amp;IF(C24,B24,"") &amp; " " &amp; IF(C25,B25,"") &amp; " " &amp; IF(C26,B26,"") &amp; " " &amp; IF(C27,B27,"") &amp; " "  &amp; IF(C29,B29,"") &amp; " (Nominal $/Therm)"</f>
        <v>Gas Avoided Cost: Market (Commodity)  T&amp;D Environment (CO2 &amp; NOx) Upstream methane leakage Behind-the-meter methane leakage  (Nominal $/Therm)</v>
      </c>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row>
    <row r="58" spans="2:36" ht="15" customHeight="1">
      <c r="B58" s="90"/>
      <c r="C58" s="29" t="s">
        <v>75</v>
      </c>
      <c r="E58" s="29">
        <f>E$47</f>
        <v>2023</v>
      </c>
      <c r="F58" s="29">
        <f t="shared" ref="F58:AJ58" si="1">F$47</f>
        <v>2024</v>
      </c>
      <c r="G58" s="29">
        <f t="shared" si="1"/>
        <v>2025</v>
      </c>
      <c r="H58" s="29">
        <f t="shared" si="1"/>
        <v>2026</v>
      </c>
      <c r="I58" s="29">
        <f t="shared" si="1"/>
        <v>2027</v>
      </c>
      <c r="J58" s="29">
        <f t="shared" si="1"/>
        <v>2028</v>
      </c>
      <c r="K58" s="29">
        <f t="shared" si="1"/>
        <v>2029</v>
      </c>
      <c r="L58" s="29">
        <f t="shared" si="1"/>
        <v>2030</v>
      </c>
      <c r="M58" s="29">
        <f t="shared" si="1"/>
        <v>2031</v>
      </c>
      <c r="N58" s="29">
        <f t="shared" si="1"/>
        <v>2032</v>
      </c>
      <c r="O58" s="29">
        <f t="shared" si="1"/>
        <v>2033</v>
      </c>
      <c r="P58" s="29">
        <f t="shared" si="1"/>
        <v>2034</v>
      </c>
      <c r="Q58" s="29">
        <f t="shared" si="1"/>
        <v>2035</v>
      </c>
      <c r="R58" s="29">
        <f t="shared" si="1"/>
        <v>2036</v>
      </c>
      <c r="S58" s="29">
        <f t="shared" si="1"/>
        <v>2037</v>
      </c>
      <c r="T58" s="29">
        <f t="shared" si="1"/>
        <v>2038</v>
      </c>
      <c r="U58" s="29">
        <f t="shared" si="1"/>
        <v>2039</v>
      </c>
      <c r="V58" s="29">
        <f t="shared" si="1"/>
        <v>2040</v>
      </c>
      <c r="W58" s="29">
        <f t="shared" si="1"/>
        <v>2041</v>
      </c>
      <c r="X58" s="29">
        <f t="shared" si="1"/>
        <v>2042</v>
      </c>
      <c r="Y58" s="29">
        <f t="shared" si="1"/>
        <v>2043</v>
      </c>
      <c r="Z58" s="29">
        <f t="shared" si="1"/>
        <v>2044</v>
      </c>
      <c r="AA58" s="29">
        <f t="shared" si="1"/>
        <v>2045</v>
      </c>
      <c r="AB58" s="29">
        <f t="shared" si="1"/>
        <v>2046</v>
      </c>
      <c r="AC58" s="29">
        <f t="shared" si="1"/>
        <v>2047</v>
      </c>
      <c r="AD58" s="29">
        <f t="shared" si="1"/>
        <v>2048</v>
      </c>
      <c r="AE58" s="29">
        <f t="shared" si="1"/>
        <v>2049</v>
      </c>
      <c r="AF58" s="29">
        <f t="shared" si="1"/>
        <v>2050</v>
      </c>
      <c r="AG58" s="29">
        <f t="shared" si="1"/>
        <v>2051</v>
      </c>
      <c r="AH58" s="29">
        <f t="shared" si="1"/>
        <v>2052</v>
      </c>
      <c r="AI58" s="29">
        <f t="shared" si="1"/>
        <v>2053</v>
      </c>
      <c r="AJ58" s="29">
        <f t="shared" si="1"/>
        <v>2054</v>
      </c>
    </row>
    <row r="59" spans="2:36" ht="15" customHeight="1">
      <c r="B59" s="329" t="s">
        <v>53</v>
      </c>
      <c r="C59" s="73">
        <f ca="1">-PMT($C$17,$C$15,NPV($C$17,OFFSET(E59,0,$C$72,1,$C$15))) * (1+$C$20)^($C$19-$C$14)</f>
        <v>1.9215379341948193</v>
      </c>
      <c r="E59" s="73">
        <f>Commodity!C36*(1+$C$36+$C$37)*$C$23+
$G34*E$48*$C$24*(1+$C$36+$C$37)+
(E$49+E$50)*$C$25+
E$51*$C$26+
E$52*$C$27+
E$53*$C$29</f>
        <v>1.9117604805224206</v>
      </c>
      <c r="F59" s="73">
        <f>Commodity!D36*(1+$C$36+$C$37)*$C$23+
$G34*F$48*$C$24*(1+$C$36+$C$37)+
(F$49+F$50)*$C$25+
F$51*$C$26+
F$52*$C$27+
F$53*$C$29</f>
        <v>1.9215379341948193</v>
      </c>
      <c r="G59" s="73">
        <f>Commodity!E36*(1+$C$36+$C$37)*$C$23+
$G34*G$48*$C$24*(1+$C$36+$C$37)+
(G$49+G$50)*$C$25+
G$51*$C$26+
G$52*$C$27+
G$53*$C$29</f>
        <v>1.9698947621130292</v>
      </c>
      <c r="H59" s="73">
        <f>Commodity!F36*(1+$C$36+$C$37)*$C$23+
$G34*H$48*$C$24*(1+$C$36+$C$37)+
(H$49+H$50)*$C$25+
H$51*$C$26+
H$52*$C$27+
H$53*$C$29</f>
        <v>2.0069575794744137</v>
      </c>
      <c r="I59" s="73">
        <f>Commodity!G36*(1+$C$36+$C$37)*$C$23+
$G34*I$48*$C$24*(1+$C$36+$C$37)+
(I$49+I$50)*$C$25+
I$51*$C$26+
I$52*$C$27+
I$53*$C$29</f>
        <v>2.043092256717761</v>
      </c>
      <c r="J59" s="73">
        <f>Commodity!H36*(1+$C$36+$C$37)*$C$23+
$G34*J$48*$C$24*(1+$C$36+$C$37)+
(J$49+J$50)*$C$25+
J$51*$C$26+
J$52*$C$27+
J$53*$C$29</f>
        <v>2.079450889737168</v>
      </c>
      <c r="K59" s="73">
        <f>Commodity!I36*(1+$C$36+$C$37)*$C$23+
$G34*K$48*$C$24*(1+$C$36+$C$37)+
(K$49+K$50)*$C$25+
K$51*$C$26+
K$52*$C$27+
K$53*$C$29</f>
        <v>2.1163490659564204</v>
      </c>
      <c r="L59" s="73">
        <f>Commodity!J36*(1+$C$36+$C$37)*$C$23+
$G34*L$48*$C$24*(1+$C$36+$C$37)+
(L$49+L$50)*$C$25+
L$51*$C$26+
L$52*$C$27+
L$53*$C$29</f>
        <v>2.1537819645319245</v>
      </c>
      <c r="M59" s="73">
        <f>Commodity!K36*(1+$C$36+$C$37)*$C$23+
$G34*M$48*$C$24*(1+$C$36+$C$37)+
(M$49+M$50)*$C$25+
M$51*$C$26+
M$52*$C$27+
M$53*$C$29</f>
        <v>2.1916404244054974</v>
      </c>
      <c r="N59" s="73">
        <f>Commodity!L36*(1+$C$36+$C$37)*$C$23+
$G34*N$48*$C$24*(1+$C$36+$C$37)+
(N$49+N$50)*$C$25+
N$51*$C$26+
N$52*$C$27+
N$53*$C$29</f>
        <v>2.2301447303877349</v>
      </c>
      <c r="O59" s="73">
        <f>Commodity!M36*(1+$C$36+$C$37)*$C$23+
$G34*O$48*$C$24*(1+$C$36+$C$37)+
(O$49+O$50)*$C$25+
O$51*$C$26+
O$52*$C$27+
O$53*$C$29</f>
        <v>2.2694793053811306</v>
      </c>
      <c r="P59" s="73">
        <f>Commodity!N36*(1+$C$36+$C$37)*$C$23+
$G34*P$48*$C$24*(1+$C$36+$C$37)+
(P$49+P$50)*$C$25+
P$51*$C$26+
P$52*$C$27+
P$53*$C$29</f>
        <v>2.3092874764026385</v>
      </c>
      <c r="Q59" s="73">
        <f>Commodity!O36*(1+$C$36+$C$37)*$C$23+
$G34*Q$48*$C$24*(1+$C$36+$C$37)+
(Q$49+Q$50)*$C$25+
Q$51*$C$26+
Q$52*$C$27+
Q$53*$C$29</f>
        <v>2.3500337003264473</v>
      </c>
      <c r="R59" s="73">
        <f>Commodity!P36*(1+$C$36+$C$37)*$C$23+
$G34*R$48*$C$24*(1+$C$36+$C$37)+
(R$49+R$50)*$C$25+
R$51*$C$26+
R$52*$C$27+
R$53*$C$29</f>
        <v>2.3909320778279231</v>
      </c>
      <c r="S59" s="73">
        <f>Commodity!Q36*(1+$C$36+$C$37)*$C$23+
$G34*S$48*$C$24*(1+$C$36+$C$37)+
(S$49+S$50)*$C$25+
S$51*$C$26+
S$52*$C$27+
S$53*$C$29</f>
        <v>2.4326234567979013</v>
      </c>
      <c r="T59" s="73">
        <f>Commodity!R36*(1+$C$36+$C$37)*$C$23+
$G34*T$48*$C$24*(1+$C$36+$C$37)+
(T$49+T$50)*$C$25+
T$51*$C$26+
T$52*$C$27+
T$53*$C$29</f>
        <v>2.4753836757302472</v>
      </c>
      <c r="U59" s="73">
        <f>Commodity!S36*(1+$C$36+$C$37)*$C$23+
$G34*U$48*$C$24*(1+$C$36+$C$37)+
(U$49+U$50)*$C$25+
U$51*$C$26+
U$52*$C$27+
U$53*$C$29</f>
        <v>2.5189576281237995</v>
      </c>
      <c r="V59" s="73">
        <f>Commodity!T36*(1+$C$36+$C$37)*$C$23+
$G34*V$48*$C$24*(1+$C$36+$C$37)+
(V$49+V$50)*$C$25+
V$51*$C$26+
V$52*$C$27+
V$53*$C$29</f>
        <v>2.5633239943711805</v>
      </c>
      <c r="W59" s="73">
        <f>Commodity!U36*(1+$C$36+$C$37)*$C$23+
$G34*W$48*$C$24*(1+$C$36+$C$37)+
(W$49+W$50)*$C$25+
W$51*$C$26+
W$52*$C$27+
W$53*$C$29</f>
        <v>2.6081877994275664</v>
      </c>
      <c r="X59" s="73">
        <f>Commodity!V36*(1+$C$36+$C$37)*$C$23+
$G34*X$48*$C$24*(1+$C$36+$C$37)+
(X$49+X$50)*$C$25+
X$51*$C$26+
X$52*$C$27+
X$53*$C$29</f>
        <v>2.653704465487027</v>
      </c>
      <c r="Y59" s="73">
        <f>Commodity!W36*(1+$C$36+$C$37)*$C$23+
$G34*Y$48*$C$24*(1+$C$36+$C$37)+
(Y$49+Y$50)*$C$25+
Y$51*$C$26+
Y$52*$C$27+
Y$53*$C$29</f>
        <v>2.69995830124159</v>
      </c>
      <c r="Z59" s="73">
        <f>Commodity!X36*(1+$C$36+$C$37)*$C$23+
$G34*Z$48*$C$24*(1+$C$36+$C$37)+
(Z$49+Z$50)*$C$25+
Z$51*$C$26+
Z$52*$C$27+
Z$53*$C$29</f>
        <v>2.7469725684238506</v>
      </c>
      <c r="AA59" s="73">
        <f>Commodity!Y36*(1+$C$36+$C$37)*$C$23+
$G34*AA$48*$C$24*(1+$C$36+$C$37)+
(AA$49+AA$50)*$C$25+
AA$51*$C$26+
AA$52*$C$27+
AA$53*$C$29</f>
        <v>2.7946775891188329</v>
      </c>
      <c r="AB59" s="73">
        <f>Commodity!Z36*(1+$C$36+$C$37)*$C$23+
$G34*AB$48*$C$24*(1+$C$36+$C$37)+
(AB$49+AB$50)*$C$25+
AB$51*$C$26+
AB$52*$C$27+
AB$53*$C$29</f>
        <v>2.8431814845251782</v>
      </c>
      <c r="AC59" s="73">
        <f>Commodity!AA36*(1+$C$36+$C$37)*$C$23+
$G34*AC$48*$C$24*(1+$C$36+$C$37)+
(AC$49+AC$50)*$C$25+
AC$51*$C$26+
AC$52*$C$27+
AC$53*$C$29</f>
        <v>2.8924883200382205</v>
      </c>
      <c r="AD59" s="73">
        <f>Commodity!AB36*(1+$C$36+$C$37)*$C$23+
$G34*AD$48*$C$24*(1+$C$36+$C$37)+
(AD$49+AD$50)*$C$25+
AD$51*$C$26+
AD$52*$C$27+
AD$53*$C$29</f>
        <v>2.9426558904576758</v>
      </c>
      <c r="AE59" s="73">
        <f>Commodity!AC36*(1+$C$36+$C$37)*$C$23+
$G34*AE$48*$C$24*(1+$C$36+$C$37)+
(AE$49+AE$50)*$C$25+
AE$51*$C$26+
AE$52*$C$27+
AE$53*$C$29</f>
        <v>2.9936013874305329</v>
      </c>
      <c r="AF59" s="73">
        <f>Commodity!AD36*(1+$C$36+$C$37)*$C$23+
$G34*AF$48*$C$24*(1+$C$36+$C$37)+
(AF$49+AF$50)*$C$25+
AF$51*$C$26+
AF$52*$C$27+
AF$53*$C$29</f>
        <v>3.045313574234636</v>
      </c>
      <c r="AG59" s="73">
        <f>Commodity!AE36*(1+$C$36+$C$37)*$C$23+
$G34*AG$48*$C$24*(1+$C$36+$C$37)+
(AG$49+AG$50)*$C$25+
AG$51*$C$26+
AG$52*$C$27+
AG$53*$C$29</f>
        <v>3.0956416528820361</v>
      </c>
      <c r="AH59" s="73">
        <f>Commodity!AF36*(1+$C$36+$C$37)*$C$23+
$G34*AH$48*$C$24*(1+$C$36+$C$37)+
(AH$49+AH$50)*$C$25+
AH$51*$C$26+
AH$52*$C$27+
AH$53*$C$29</f>
        <v>3.1475563383647613</v>
      </c>
      <c r="AI59" s="73">
        <f>Commodity!AG36*(1+$C$36+$C$37)*$C$23+
$G34*AI$48*$C$24*(1+$C$36+$C$37)+
(AI$49+AI$50)*$C$25+
AI$51*$C$26+
AI$52*$C$27+
AI$53*$C$29</f>
        <v>3.1997250390860419</v>
      </c>
      <c r="AJ59" s="73">
        <f>Commodity!AH36*(1+$C$36+$C$37)*$C$23+
$G34*AJ$48*$C$24*(1+$C$36+$C$37)+
(AJ$49+AJ$50)*$C$25+
AJ$51*$C$26+
AJ$52*$C$27+
AJ$53*$C$29</f>
        <v>3.252229990025389</v>
      </c>
    </row>
    <row r="60" spans="2:36" ht="15" customHeight="1">
      <c r="B60" s="230" t="s">
        <v>55</v>
      </c>
      <c r="C60" s="73">
        <f t="shared" ref="C60:C70" ca="1" si="2">-PMT($C$17,$C$15,NPV($C$17,OFFSET(E60,0,$C$72,1,$C$15))) * (1+$C$20)^($C$19-$C$14)</f>
        <v>1.908827771108859</v>
      </c>
      <c r="E60" s="73">
        <f>Commodity!C37*(1+$C$36+$C$37)*$C$23+
$G35*E$48*$C$24*(1+$C$36+$C$37)+
(E$49+E$50)*$C$25+
E$51*$C$26+
E$52*$C$27+
E$53*$C$29</f>
        <v>1.8975095948080338</v>
      </c>
      <c r="F60" s="73">
        <f>Commodity!D37*(1+$C$36+$C$37)*$C$23+
$G35*F$48*$C$24*(1+$C$36+$C$37)+
(F$49+F$50)*$C$25+
F$51*$C$26+
F$52*$C$27+
F$53*$C$29</f>
        <v>1.908827771108859</v>
      </c>
      <c r="G60" s="73">
        <f>Commodity!E37*(1+$C$36+$C$37)*$C$23+
$G35*G$48*$C$24*(1+$C$36+$C$37)+
(G$49+G$50)*$C$25+
G$51*$C$26+
G$52*$C$27+
G$53*$C$29</f>
        <v>1.9567108672079785</v>
      </c>
      <c r="H60" s="73">
        <f>Commodity!F37*(1+$C$36+$C$37)*$C$23+
$G35*H$48*$C$24*(1+$C$36+$C$37)+
(H$49+H$50)*$C$25+
H$51*$C$26+
H$52*$C$27+
H$53*$C$29</f>
        <v>1.9934320609337823</v>
      </c>
      <c r="I60" s="73">
        <f>Commodity!G37*(1+$C$36+$C$37)*$C$23+
$G35*I$48*$C$24*(1+$C$36+$C$37)+
(I$49+I$50)*$C$25+
I$51*$C$26+
I$52*$C$27+
I$53*$C$29</f>
        <v>2.0292813719226093</v>
      </c>
      <c r="J60" s="73">
        <f>Commodity!H37*(1+$C$36+$C$37)*$C$23+
$G35*J$48*$C$24*(1+$C$36+$C$37)+
(J$49+J$50)*$C$25+
J$51*$C$26+
J$52*$C$27+
J$53*$C$29</f>
        <v>2.0653757861311863</v>
      </c>
      <c r="K60" s="73">
        <f>Commodity!I37*(1+$C$36+$C$37)*$C$23+
$G35*K$48*$C$24*(1+$C$36+$C$37)+
(K$49+K$50)*$C$25+
K$51*$C$26+
K$52*$C$27+
K$53*$C$29</f>
        <v>2.1019960307595342</v>
      </c>
      <c r="L60" s="73">
        <f>Commodity!J37*(1+$C$36+$C$37)*$C$23+
$G35*L$48*$C$24*(1+$C$36+$C$37)+
(L$49+L$50)*$C$25+
L$51*$C$26+
L$52*$C$27+
L$53*$C$29</f>
        <v>2.1391295131820618</v>
      </c>
      <c r="M60" s="73">
        <f>Commodity!K37*(1+$C$36+$C$37)*$C$23+
$G35*M$48*$C$24*(1+$C$36+$C$37)+
(M$49+M$50)*$C$25+
M$51*$C$26+
M$52*$C$27+
M$53*$C$29</f>
        <v>2.1766900047554181</v>
      </c>
      <c r="N60" s="73">
        <f>Commodity!L37*(1+$C$36+$C$37)*$C$23+
$G35*N$48*$C$24*(1+$C$36+$C$37)+
(N$49+N$50)*$C$25+
N$51*$C$26+
N$52*$C$27+
N$53*$C$29</f>
        <v>2.2149023521660434</v>
      </c>
      <c r="O60" s="73">
        <f>Commodity!M37*(1+$C$36+$C$37)*$C$23+
$G35*O$48*$C$24*(1+$C$36+$C$37)+
(O$49+O$50)*$C$25+
O$51*$C$26+
O$52*$C$27+
O$53*$C$29</f>
        <v>2.2538950718495148</v>
      </c>
      <c r="P60" s="73">
        <f>Commodity!N37*(1+$C$36+$C$37)*$C$23+
$G35*P$48*$C$24*(1+$C$36+$C$37)+
(P$49+P$50)*$C$25+
P$51*$C$26+
P$52*$C$27+
P$53*$C$29</f>
        <v>2.2934079184770924</v>
      </c>
      <c r="Q60" s="73">
        <f>Commodity!O37*(1+$C$36+$C$37)*$C$23+
$G35*Q$48*$C$24*(1+$C$36+$C$37)+
(Q$49+Q$50)*$C$25+
Q$51*$C$26+
Q$52*$C$27+
Q$53*$C$29</f>
        <v>2.3337648180000561</v>
      </c>
      <c r="R60" s="73">
        <f>Commodity!P37*(1+$C$36+$C$37)*$C$23+
$G35*R$48*$C$24*(1+$C$36+$C$37)+
(R$49+R$50)*$C$25+
R$51*$C$26+
R$52*$C$27+
R$53*$C$29</f>
        <v>2.3743314249806513</v>
      </c>
      <c r="S60" s="73">
        <f>Commodity!Q37*(1+$C$36+$C$37)*$C$23+
$G35*S$48*$C$24*(1+$C$36+$C$37)+
(S$49+S$50)*$C$25+
S$51*$C$26+
S$52*$C$27+
S$53*$C$29</f>
        <v>2.4157010382625428</v>
      </c>
      <c r="T60" s="73">
        <f>Commodity!R37*(1+$C$36+$C$37)*$C$23+
$G35*T$48*$C$24*(1+$C$36+$C$37)+
(T$49+T$50)*$C$25+
T$51*$C$26+
T$52*$C$27+
T$53*$C$29</f>
        <v>2.4580984581321972</v>
      </c>
      <c r="U60" s="73">
        <f>Commodity!S37*(1+$C$36+$C$37)*$C$23+
$G35*U$48*$C$24*(1+$C$36+$C$37)+
(U$49+U$50)*$C$25+
U$51*$C$26+
U$52*$C$27+
U$53*$C$29</f>
        <v>2.5012978081901593</v>
      </c>
      <c r="V60" s="73">
        <f>Commodity!T37*(1+$C$36+$C$37)*$C$23+
$G35*V$48*$C$24*(1+$C$36+$C$37)+
(V$49+V$50)*$C$25+
V$51*$C$26+
V$52*$C$27+
V$53*$C$29</f>
        <v>2.5452574492571616</v>
      </c>
      <c r="W60" s="73">
        <f>Commodity!U37*(1+$C$36+$C$37)*$C$23+
$G35*W$48*$C$24*(1+$C$36+$C$37)+
(W$49+W$50)*$C$25+
W$51*$C$26+
W$52*$C$27+
W$53*$C$29</f>
        <v>2.5897305726659474</v>
      </c>
      <c r="X60" s="73">
        <f>Commodity!V37*(1+$C$36+$C$37)*$C$23+
$G35*X$48*$C$24*(1+$C$36+$C$37)+
(X$49+X$50)*$C$25+
X$51*$C$26+
X$52*$C$27+
X$53*$C$29</f>
        <v>2.6348453455471619</v>
      </c>
      <c r="Y60" s="73">
        <f>Commodity!W37*(1+$C$36+$C$37)*$C$23+
$G35*Y$48*$C$24*(1+$C$36+$C$37)+
(Y$49+Y$50)*$C$25+
Y$51*$C$26+
Y$52*$C$27+
Y$53*$C$29</f>
        <v>2.6806886352984578</v>
      </c>
      <c r="Z60" s="73">
        <f>Commodity!X37*(1+$C$36+$C$37)*$C$23+
$G35*Z$48*$C$24*(1+$C$36+$C$37)+
(Z$49+Z$50)*$C$25+
Z$51*$C$26+
Z$52*$C$27+
Z$53*$C$29</f>
        <v>2.7272800658482916</v>
      </c>
      <c r="AA60" s="73">
        <f>Commodity!Y37*(1+$C$36+$C$37)*$C$23+
$G35*AA$48*$C$24*(1+$C$36+$C$37)+
(AA$49+AA$50)*$C$25+
AA$51*$C$26+
AA$52*$C$27+
AA$53*$C$29</f>
        <v>2.7745563251575902</v>
      </c>
      <c r="AB60" s="73">
        <f>Commodity!Z37*(1+$C$36+$C$37)*$C$23+
$G35*AB$48*$C$24*(1+$C$36+$C$37)+
(AB$49+AB$50)*$C$25+
AB$51*$C$26+
AB$52*$C$27+
AB$53*$C$29</f>
        <v>2.8226176503865066</v>
      </c>
      <c r="AC60" s="73">
        <f>Commodity!AA37*(1+$C$36+$C$37)*$C$23+
$G35*AC$48*$C$24*(1+$C$36+$C$37)+
(AC$49+AC$50)*$C$25+
AC$51*$C$26+
AC$52*$C$27+
AC$53*$C$29</f>
        <v>2.8714744644758121</v>
      </c>
      <c r="AD60" s="73">
        <f>Commodity!AB37*(1+$C$36+$C$37)*$C$23+
$G35*AD$48*$C$24*(1+$C$36+$C$37)+
(AD$49+AD$50)*$C$25+
AD$51*$C$26+
AD$52*$C$27+
AD$53*$C$29</f>
        <v>2.9211780624148656</v>
      </c>
      <c r="AE60" s="73">
        <f>Commodity!AC37*(1+$C$36+$C$37)*$C$23+
$G35*AE$48*$C$24*(1+$C$36+$C$37)+
(AE$49+AE$50)*$C$25+
AE$51*$C$26+
AE$52*$C$27+
AE$53*$C$29</f>
        <v>2.971650694947078</v>
      </c>
      <c r="AF60" s="73">
        <f>Commodity!AD37*(1+$C$36+$C$37)*$C$23+
$G35*AF$48*$C$24*(1+$C$36+$C$37)+
(AF$49+AF$50)*$C$25+
AF$51*$C$26+
AF$52*$C$27+
AF$53*$C$29</f>
        <v>3.0228785743463851</v>
      </c>
      <c r="AG60" s="73">
        <f>Commodity!AE37*(1+$C$36+$C$37)*$C$23+
$G35*AG$48*$C$24*(1+$C$36+$C$37)+
(AG$49+AG$50)*$C$25+
AG$51*$C$26+
AG$52*$C$27+
AG$53*$C$29</f>
        <v>3.0727627389983807</v>
      </c>
      <c r="AH60" s="73">
        <f>Commodity!AF37*(1+$C$36+$C$37)*$C$23+
$G35*AH$48*$C$24*(1+$C$36+$C$37)+
(AH$49+AH$50)*$C$25+
AH$51*$C$26+
AH$52*$C$27+
AH$53*$C$29</f>
        <v>3.1242017183673134</v>
      </c>
      <c r="AI60" s="73">
        <f>Commodity!AG37*(1+$C$36+$C$37)*$C$23+
$G35*AI$48*$C$24*(1+$C$36+$C$37)+
(AI$49+AI$50)*$C$25+
AI$51*$C$26+
AI$52*$C$27+
AI$53*$C$29</f>
        <v>3.1759098037840321</v>
      </c>
      <c r="AJ60" s="73">
        <f>Commodity!AH37*(1+$C$36+$C$37)*$C$23+
$G35*AJ$48*$C$24*(1+$C$36+$C$37)+
(AJ$49+AJ$50)*$C$25+
AJ$51*$C$26+
AJ$52*$C$27+
AJ$53*$C$29</f>
        <v>3.2279462963479228</v>
      </c>
    </row>
    <row r="61" spans="2:36" ht="15" customHeight="1">
      <c r="B61" s="230" t="s">
        <v>57</v>
      </c>
      <c r="C61" s="73">
        <f t="shared" ca="1" si="2"/>
        <v>1.8618901273947044</v>
      </c>
      <c r="E61" s="73">
        <f>Commodity!C38*(1+$C$36+$C$37)*$C$23+
$G36*E$48*$C$24*(1+$C$36+$C$37)+
(E$49+E$50)*$C$25+
E$51*$C$26+
E$52*$C$27+
E$53*$C$29</f>
        <v>1.8491689892110146</v>
      </c>
      <c r="F61" s="73">
        <f>Commodity!D38*(1+$C$36+$C$37)*$C$23+
$G36*F$48*$C$24*(1+$C$36+$C$37)+
(F$49+F$50)*$C$25+
F$51*$C$26+
F$52*$C$27+
F$53*$C$29</f>
        <v>1.8618901273947044</v>
      </c>
      <c r="G61" s="73">
        <f>Commodity!E38*(1+$C$36+$C$37)*$C$23+
$G36*G$48*$C$24*(1+$C$36+$C$37)+
(G$49+G$50)*$C$25+
G$51*$C$26+
G$52*$C$27+
G$53*$C$29</f>
        <v>1.9084330296358267</v>
      </c>
      <c r="H61" s="73">
        <f>Commodity!F38*(1+$C$36+$C$37)*$C$23+
$G36*H$48*$C$24*(1+$C$36+$C$37)+
(H$49+H$50)*$C$25+
H$51*$C$26+
H$52*$C$27+
H$53*$C$29</f>
        <v>1.9440146399357485</v>
      </c>
      <c r="I61" s="73">
        <f>Commodity!G38*(1+$C$36+$C$37)*$C$23+
$G36*I$48*$C$24*(1+$C$36+$C$37)+
(I$49+I$50)*$C$25+
I$51*$C$26+
I$52*$C$27+
I$53*$C$29</f>
        <v>1.9788416673788802</v>
      </c>
      <c r="J61" s="73">
        <f>Commodity!H38*(1+$C$36+$C$37)*$C$23+
$G36*J$48*$C$24*(1+$C$36+$C$37)+
(J$49+J$50)*$C$25+
J$51*$C$26+
J$52*$C$27+
J$53*$C$29</f>
        <v>2.013930721564166</v>
      </c>
      <c r="K61" s="73">
        <f>Commodity!I38*(1+$C$36+$C$37)*$C$23+
$G36*K$48*$C$24*(1+$C$36+$C$37)+
(K$49+K$50)*$C$25+
K$51*$C$26+
K$52*$C$27+
K$53*$C$29</f>
        <v>2.0495141207516165</v>
      </c>
      <c r="L61" s="73">
        <f>Commodity!J38*(1+$C$36+$C$37)*$C$23+
$G36*L$48*$C$24*(1+$C$36+$C$37)+
(L$49+L$50)*$C$25+
L$51*$C$26+
L$52*$C$27+
L$53*$C$29</f>
        <v>2.0855733399351379</v>
      </c>
      <c r="M61" s="73">
        <f>Commodity!K38*(1+$C$36+$C$37)*$C$23+
$G36*M$48*$C$24*(1+$C$36+$C$37)+
(M$49+M$50)*$C$25+
M$51*$C$26+
M$52*$C$27+
M$53*$C$29</f>
        <v>2.1220483500217124</v>
      </c>
      <c r="N61" s="73">
        <f>Commodity!L38*(1+$C$36+$C$37)*$C$23+
$G36*N$48*$C$24*(1+$C$36+$C$37)+
(N$49+N$50)*$C$25+
N$51*$C$26+
N$52*$C$27+
N$53*$C$29</f>
        <v>2.1591544611153637</v>
      </c>
      <c r="O61" s="73">
        <f>Commodity!M38*(1+$C$36+$C$37)*$C$23+
$G36*O$48*$C$24*(1+$C$36+$C$37)+
(O$49+O$50)*$C$25+
O$51*$C$26+
O$52*$C$27+
O$53*$C$29</f>
        <v>2.1969623208757407</v>
      </c>
      <c r="P61" s="73">
        <f>Commodity!N38*(1+$C$36+$C$37)*$C$23+
$G36*P$48*$C$24*(1+$C$36+$C$37)+
(P$49+P$50)*$C$25+
P$51*$C$26+
P$52*$C$27+
P$53*$C$29</f>
        <v>2.235314661416024</v>
      </c>
      <c r="Q61" s="73">
        <f>Commodity!O38*(1+$C$36+$C$37)*$C$23+
$G36*Q$48*$C$24*(1+$C$36+$C$37)+
(Q$49+Q$50)*$C$25+
Q$51*$C$26+
Q$52*$C$27+
Q$53*$C$29</f>
        <v>2.274389473134482</v>
      </c>
      <c r="R61" s="73">
        <f>Commodity!P38*(1+$C$36+$C$37)*$C$23+
$G36*R$48*$C$24*(1+$C$36+$C$37)+
(R$49+R$50)*$C$25+
R$51*$C$26+
R$52*$C$27+
R$53*$C$29</f>
        <v>2.313728045332204</v>
      </c>
      <c r="S61" s="73">
        <f>Commodity!Q38*(1+$C$36+$C$37)*$C$23+
$G36*S$48*$C$24*(1+$C$36+$C$37)+
(S$49+S$50)*$C$25+
S$51*$C$26+
S$52*$C$27+
S$53*$C$29</f>
        <v>2.353844580620966</v>
      </c>
      <c r="T61" s="73">
        <f>Commodity!R38*(1+$C$36+$C$37)*$C$23+
$G36*T$48*$C$24*(1+$C$36+$C$37)+
(T$49+T$50)*$C$25+
T$51*$C$26+
T$52*$C$27+
T$53*$C$29</f>
        <v>2.3949044545444043</v>
      </c>
      <c r="U61" s="73">
        <f>Commodity!S38*(1+$C$36+$C$37)*$C$23+
$G36*U$48*$C$24*(1+$C$36+$C$37)+
(U$49+U$50)*$C$25+
U$51*$C$26+
U$52*$C$27+
U$53*$C$29</f>
        <v>2.4367223318413789</v>
      </c>
      <c r="V61" s="73">
        <f>Commodity!T38*(1+$C$36+$C$37)*$C$23+
$G36*V$48*$C$24*(1+$C$36+$C$37)+
(V$49+V$50)*$C$25+
V$51*$C$26+
V$52*$C$27+
V$53*$C$29</f>
        <v>2.4792412292444976</v>
      </c>
      <c r="W61" s="73">
        <f>Commodity!U38*(1+$C$36+$C$37)*$C$23+
$G36*W$48*$C$24*(1+$C$36+$C$37)+
(W$49+W$50)*$C$25+
W$51*$C$26+
W$52*$C$27+
W$53*$C$29</f>
        <v>2.5222731910055973</v>
      </c>
      <c r="X61" s="73">
        <f>Commodity!V38*(1+$C$36+$C$37)*$C$23+
$G36*X$48*$C$24*(1+$C$36+$C$37)+
(X$49+X$50)*$C$25+
X$51*$C$26+
X$52*$C$27+
X$53*$C$29</f>
        <v>2.5659143199437677</v>
      </c>
      <c r="Y61" s="73">
        <f>Commodity!W38*(1+$C$36+$C$37)*$C$23+
$G36*Y$48*$C$24*(1+$C$36+$C$37)+
(Y$49+Y$50)*$C$25+
Y$51*$C$26+
Y$52*$C$27+
Y$53*$C$29</f>
        <v>2.6102487523531828</v>
      </c>
      <c r="Z61" s="73">
        <f>Commodity!X38*(1+$C$36+$C$37)*$C$23+
$G36*Z$48*$C$24*(1+$C$36+$C$37)+
(Z$49+Z$50)*$C$25+
Z$51*$C$26+
Z$52*$C$27+
Z$53*$C$29</f>
        <v>2.6552919840656264</v>
      </c>
      <c r="AA61" s="73">
        <f>Commodity!Y38*(1+$C$36+$C$37)*$C$23+
$G36*AA$48*$C$24*(1+$C$36+$C$37)+
(AA$49+AA$50)*$C$25+
AA$51*$C$26+
AA$52*$C$27+
AA$53*$C$29</f>
        <v>2.7009906959245527</v>
      </c>
      <c r="AB61" s="73">
        <f>Commodity!Z38*(1+$C$36+$C$37)*$C$23+
$G36*AB$48*$C$24*(1+$C$36+$C$37)+
(AB$49+AB$50)*$C$25+
AB$51*$C$26+
AB$52*$C$27+
AB$53*$C$29</f>
        <v>2.7474322109131029</v>
      </c>
      <c r="AC61" s="73">
        <f>Commodity!AA38*(1+$C$36+$C$37)*$C$23+
$G36*AC$48*$C$24*(1+$C$36+$C$37)+
(AC$49+AC$50)*$C$25+
AC$51*$C$26+
AC$52*$C$27+
AC$53*$C$29</f>
        <v>2.7946323900325716</v>
      </c>
      <c r="AD61" s="73">
        <f>Commodity!AB38*(1+$C$36+$C$37)*$C$23+
$G36*AD$48*$C$24*(1+$C$36+$C$37)+
(AD$49+AD$50)*$C$25+
AD$51*$C$26+
AD$52*$C$27+
AD$53*$C$29</f>
        <v>2.8426338998598646</v>
      </c>
      <c r="AE61" s="73">
        <f>Commodity!AC38*(1+$C$36+$C$37)*$C$23+
$G36*AE$48*$C$24*(1+$C$36+$C$37)+
(AE$49+AE$50)*$C$25+
AE$51*$C$26+
AE$52*$C$27+
AE$53*$C$29</f>
        <v>2.8913687334512321</v>
      </c>
      <c r="AF61" s="73">
        <f>Commodity!AD38*(1+$C$36+$C$37)*$C$23+
$G36*AF$48*$C$24*(1+$C$36+$C$37)+
(AF$49+AF$50)*$C$25+
AF$51*$C$26+
AF$52*$C$27+
AF$53*$C$29</f>
        <v>2.9408220624857901</v>
      </c>
      <c r="AG61" s="73">
        <f>Commodity!AE38*(1+$C$36+$C$37)*$C$23+
$G36*AG$48*$C$24*(1+$C$36+$C$37)+
(AG$49+AG$50)*$C$25+
AG$51*$C$26+
AG$52*$C$27+
AG$53*$C$29</f>
        <v>2.9890717363710699</v>
      </c>
      <c r="AH61" s="73">
        <f>Commodity!AF38*(1+$C$36+$C$37)*$C$23+
$G36*AH$48*$C$24*(1+$C$36+$C$37)+
(AH$49+AH$50)*$C$25+
AH$51*$C$26+
AH$52*$C$27+
AH$53*$C$29</f>
        <v>3.038772551072495</v>
      </c>
      <c r="AI61" s="73">
        <f>Commodity!AG38*(1+$C$36+$C$37)*$C$23+
$G36*AI$48*$C$24*(1+$C$36+$C$37)+
(AI$49+AI$50)*$C$25+
AI$51*$C$26+
AI$52*$C$27+
AI$53*$C$29</f>
        <v>3.0887608626406076</v>
      </c>
      <c r="AJ61" s="73">
        <f>Commodity!AH38*(1+$C$36+$C$37)*$C$23+
$G36*AJ$48*$C$24*(1+$C$36+$C$37)+
(AJ$49+AJ$50)*$C$25+
AJ$51*$C$26+
AJ$52*$C$27+
AJ$53*$C$29</f>
        <v>3.1390721396088717</v>
      </c>
    </row>
    <row r="62" spans="2:36" ht="15" customHeight="1">
      <c r="B62" s="230" t="s">
        <v>59</v>
      </c>
      <c r="C62" s="73">
        <f t="shared" ca="1" si="2"/>
        <v>1.354372425102818</v>
      </c>
      <c r="E62" s="73">
        <f>Commodity!C39*(1+$C$36+$C$37)*$C$23+
$G37*E$48*$C$24*(1+$C$36+$C$37)+
(E$49+E$50)*$C$25+
E$51*$C$26+
E$52*$C$27+
E$53*$C$29</f>
        <v>1.3403159669203677</v>
      </c>
      <c r="F62" s="73">
        <f>Commodity!D39*(1+$C$36+$C$37)*$C$23+
$G37*F$48*$C$24*(1+$C$36+$C$37)+
(F$49+F$50)*$C$25+
F$51*$C$26+
F$52*$C$27+
F$53*$C$29</f>
        <v>1.354372425102818</v>
      </c>
      <c r="G62" s="73">
        <f>Commodity!E39*(1+$C$36+$C$37)*$C$23+
$G37*G$48*$C$24*(1+$C$36+$C$37)+
(G$49+G$50)*$C$25+
G$51*$C$26+
G$52*$C$27+
G$53*$C$29</f>
        <v>1.3803461049263532</v>
      </c>
      <c r="H62" s="73">
        <f>Commodity!F39*(1+$C$36+$C$37)*$C$23+
$G37*H$48*$C$24*(1+$C$36+$C$37)+
(H$49+H$50)*$C$25+
H$51*$C$26+
H$52*$C$27+
H$53*$C$29</f>
        <v>1.4053047938981207</v>
      </c>
      <c r="I62" s="73">
        <f>Commodity!G39*(1+$C$36+$C$37)*$C$23+
$G37*I$48*$C$24*(1+$C$36+$C$37)+
(I$49+I$50)*$C$25+
I$51*$C$26+
I$52*$C$27+
I$53*$C$29</f>
        <v>1.429346010840933</v>
      </c>
      <c r="J62" s="73">
        <f>Commodity!H39*(1+$C$36+$C$37)*$C$23+
$G37*J$48*$C$24*(1+$C$36+$C$37)+
(J$49+J$50)*$C$25+
J$51*$C$26+
J$52*$C$27+
J$53*$C$29</f>
        <v>1.4534560143610151</v>
      </c>
      <c r="K62" s="73">
        <f>Commodity!I39*(1+$C$36+$C$37)*$C$23+
$G37*K$48*$C$24*(1+$C$36+$C$37)+
(K$49+K$50)*$C$25+
K$51*$C$26+
K$52*$C$27+
K$53*$C$29</f>
        <v>1.4778337060845663</v>
      </c>
      <c r="L62" s="73">
        <f>Commodity!J39*(1+$C$36+$C$37)*$C$23+
$G37*L$48*$C$24*(1+$C$36+$C$37)+
(L$49+L$50)*$C$25+
L$51*$C$26+
L$52*$C$27+
L$53*$C$29</f>
        <v>1.5024494356245983</v>
      </c>
      <c r="M62" s="73">
        <f>Commodity!K39*(1+$C$36+$C$37)*$C$23+
$G37*M$48*$C$24*(1+$C$36+$C$37)+
(M$49+M$50)*$C$25+
M$51*$C$26+
M$52*$C$27+
M$53*$C$29</f>
        <v>1.5272583149531178</v>
      </c>
      <c r="N62" s="73">
        <f>Commodity!L39*(1+$C$36+$C$37)*$C$23+
$G37*N$48*$C$24*(1+$C$36+$C$37)+
(N$49+N$50)*$C$25+
N$51*$C$26+
N$52*$C$27+
N$53*$C$29</f>
        <v>1.5524759609338576</v>
      </c>
      <c r="O62" s="73">
        <f>Commodity!M39*(1+$C$36+$C$37)*$C$23+
$G37*O$48*$C$24*(1+$C$36+$C$37)+
(O$49+O$50)*$C$25+
O$51*$C$26+
O$52*$C$27+
O$53*$C$29</f>
        <v>1.5781204150806891</v>
      </c>
      <c r="P62" s="73">
        <f>Commodity!N39*(1+$C$36+$C$37)*$C$23+
$G37*P$48*$C$24*(1+$C$36+$C$37)+
(P$49+P$50)*$C$25+
P$51*$C$26+
P$52*$C$27+
P$53*$C$29</f>
        <v>1.604112368826712</v>
      </c>
      <c r="Q62" s="73">
        <f>Commodity!O39*(1+$C$36+$C$37)*$C$23+
$G37*Q$48*$C$24*(1+$C$36+$C$37)+
(Q$49+Q$50)*$C$25+
Q$51*$C$26+
Q$52*$C$27+
Q$53*$C$29</f>
        <v>1.6305043592458324</v>
      </c>
      <c r="R62" s="73">
        <f>Commodity!P39*(1+$C$36+$C$37)*$C$23+
$G37*R$48*$C$24*(1+$C$36+$C$37)+
(R$49+R$50)*$C$25+
R$51*$C$26+
R$52*$C$27+
R$53*$C$29</f>
        <v>1.656961834441222</v>
      </c>
      <c r="S62" s="73">
        <f>Commodity!Q39*(1+$C$36+$C$37)*$C$23+
$G37*S$48*$C$24*(1+$C$36+$C$37)+
(S$49+S$50)*$C$25+
S$51*$C$26+
S$52*$C$27+
S$53*$C$29</f>
        <v>1.6839550393158027</v>
      </c>
      <c r="T62" s="73">
        <f>Commodity!R39*(1+$C$36+$C$37)*$C$23+
$G37*T$48*$C$24*(1+$C$36+$C$37)+
(T$49+T$50)*$C$25+
T$51*$C$26+
T$52*$C$27+
T$53*$C$29</f>
        <v>1.7116008557694373</v>
      </c>
      <c r="U62" s="73">
        <f>Commodity!S39*(1+$C$36+$C$37)*$C$23+
$G37*U$48*$C$24*(1+$C$36+$C$37)+
(U$49+U$50)*$C$25+
U$51*$C$26+
U$52*$C$27+
U$53*$C$29</f>
        <v>1.7397332593353796</v>
      </c>
      <c r="V62" s="73">
        <f>Commodity!T39*(1+$C$36+$C$37)*$C$23+
$G37*V$48*$C$24*(1+$C$36+$C$37)+
(V$49+V$50)*$C$25+
V$51*$C$26+
V$52*$C$27+
V$53*$C$29</f>
        <v>1.7682721960379726</v>
      </c>
      <c r="W62" s="73">
        <f>Commodity!U39*(1+$C$36+$C$37)*$C$23+
$G37*W$48*$C$24*(1+$C$36+$C$37)+
(W$49+W$50)*$C$25+
W$51*$C$26+
W$52*$C$27+
W$53*$C$29</f>
        <v>1.7970651580952639</v>
      </c>
      <c r="X62" s="73">
        <f>Commodity!V39*(1+$C$36+$C$37)*$C$23+
$G37*X$48*$C$24*(1+$C$36+$C$37)+
(X$49+X$50)*$C$25+
X$51*$C$26+
X$52*$C$27+
X$53*$C$29</f>
        <v>1.8261795973634927</v>
      </c>
      <c r="Y62" s="73">
        <f>Commodity!W39*(1+$C$36+$C$37)*$C$23+
$G37*Y$48*$C$24*(1+$C$36+$C$37)+
(Y$49+Y$50)*$C$25+
Y$51*$C$26+
Y$52*$C$27+
Y$53*$C$29</f>
        <v>1.8556965936405334</v>
      </c>
      <c r="Z62" s="73">
        <f>Commodity!X39*(1+$C$36+$C$37)*$C$23+
$G37*Z$48*$C$24*(1+$C$36+$C$37)+
(Z$49+Z$50)*$C$25+
Z$51*$C$26+
Z$52*$C$27+
Z$53*$C$29</f>
        <v>1.8856228416110805</v>
      </c>
      <c r="AA62" s="73">
        <f>Commodity!Y39*(1+$C$36+$C$37)*$C$23+
$G37*AA$48*$C$24*(1+$C$36+$C$37)+
(AA$49+AA$50)*$C$25+
AA$51*$C$26+
AA$52*$C$27+
AA$53*$C$29</f>
        <v>1.9159044671557717</v>
      </c>
      <c r="AB62" s="73">
        <f>Commodity!Z39*(1+$C$36+$C$37)*$C$23+
$G37*AB$48*$C$24*(1+$C$36+$C$37)+
(AB$49+AB$50)*$C$25+
AB$51*$C$26+
AB$52*$C$27+
AB$53*$C$29</f>
        <v>1.9466163859061876</v>
      </c>
      <c r="AC62" s="73">
        <f>Commodity!AA39*(1+$C$36+$C$37)*$C$23+
$G37*AC$48*$C$24*(1+$C$36+$C$37)+
(AC$49+AC$50)*$C$25+
AC$51*$C$26+
AC$52*$C$27+
AC$53*$C$29</f>
        <v>1.9777739429985568</v>
      </c>
      <c r="AD62" s="73">
        <f>Commodity!AB39*(1+$C$36+$C$37)*$C$23+
$G37*AD$48*$C$24*(1+$C$36+$C$37)+
(AD$49+AD$50)*$C$25+
AD$51*$C$26+
AD$52*$C$27+
AD$53*$C$29</f>
        <v>2.009408170764508</v>
      </c>
      <c r="AE62" s="73">
        <f>Commodity!AC39*(1+$C$36+$C$37)*$C$23+
$G37*AE$48*$C$24*(1+$C$36+$C$37)+
(AE$49+AE$50)*$C$25+
AE$51*$C$26+
AE$52*$C$27+
AE$53*$C$29</f>
        <v>2.0414488374970703</v>
      </c>
      <c r="AF62" s="73">
        <f>Commodity!AD39*(1+$C$36+$C$37)*$C$23+
$G37*AF$48*$C$24*(1+$C$36+$C$37)+
(AF$49+AF$50)*$C$25+
AF$51*$C$26+
AF$52*$C$27+
AF$53*$C$29</f>
        <v>2.0738724069636758</v>
      </c>
      <c r="AG62" s="73">
        <f>Commodity!AE39*(1+$C$36+$C$37)*$C$23+
$G37*AG$48*$C$24*(1+$C$36+$C$37)+
(AG$49+AG$50)*$C$25+
AG$51*$C$26+
AG$52*$C$27+
AG$53*$C$29</f>
        <v>2.1047870946344074</v>
      </c>
      <c r="AH62" s="73">
        <f>Commodity!AF39*(1+$C$36+$C$37)*$C$23+
$G37*AH$48*$C$24*(1+$C$36+$C$37)+
(AH$49+AH$50)*$C$25+
AH$51*$C$26+
AH$52*$C$27+
AH$53*$C$29</f>
        <v>2.1367894631497899</v>
      </c>
      <c r="AI62" s="73">
        <f>Commodity!AG39*(1+$C$36+$C$37)*$C$23+
$G37*AI$48*$C$24*(1+$C$36+$C$37)+
(AI$49+AI$50)*$C$25+
AI$51*$C$26+
AI$52*$C$27+
AI$53*$C$29</f>
        <v>2.1687447831199522</v>
      </c>
      <c r="AJ62" s="73">
        <f>Commodity!AH39*(1+$C$36+$C$37)*$C$23+
$G37*AJ$48*$C$24*(1+$C$36+$C$37)+
(AJ$49+AJ$50)*$C$25+
AJ$51*$C$26+
AJ$52*$C$27+
AJ$53*$C$29</f>
        <v>2.2006618822588964</v>
      </c>
    </row>
    <row r="63" spans="2:36" ht="15" customHeight="1">
      <c r="B63" s="230" t="s">
        <v>60</v>
      </c>
      <c r="C63" s="73">
        <f ca="1">-PMT($C$17,$C$15,NPV($C$17,OFFSET(E63,0,$C$72,1,$C$15))) * (1+$C$20)^($C$19-$C$14)</f>
        <v>1.3725625520213887</v>
      </c>
      <c r="E63" s="73">
        <f>Commodity!C40*(1+$C$36+$C$37)*$C$23+
$G38*E$48*$C$24*(1+$C$36+$C$37)+
(E$49+E$50)*$C$25+
E$51*$C$26+
E$52*$C$27+
E$53*$C$29</f>
        <v>1.3570206744614886</v>
      </c>
      <c r="F63" s="73">
        <f>Commodity!D40*(1+$C$36+$C$37)*$C$23+
$G38*F$48*$C$24*(1+$C$36+$C$37)+
(F$49+F$50)*$C$25+
F$51*$C$26+
F$52*$C$27+
F$53*$C$29</f>
        <v>1.3725625520213887</v>
      </c>
      <c r="G63" s="73">
        <f>Commodity!E40*(1+$C$36+$C$37)*$C$23+
$G38*G$48*$C$24*(1+$C$36+$C$37)+
(G$49+G$50)*$C$25+
G$51*$C$26+
G$52*$C$27+
G$53*$C$29</f>
        <v>1.3988618881917925</v>
      </c>
      <c r="H63" s="73">
        <f>Commodity!F40*(1+$C$36+$C$37)*$C$23+
$G38*H$48*$C$24*(1+$C$36+$C$37)+
(H$49+H$50)*$C$25+
H$51*$C$26+
H$52*$C$27+
H$53*$C$29</f>
        <v>1.4242044587399034</v>
      </c>
      <c r="I63" s="73">
        <f>Commodity!G40*(1+$C$36+$C$37)*$C$23+
$G38*I$48*$C$24*(1+$C$36+$C$37)+
(I$49+I$50)*$C$25+
I$51*$C$26+
I$52*$C$27+
I$53*$C$29</f>
        <v>1.4486269147700104</v>
      </c>
      <c r="J63" s="73">
        <f>Commodity!H40*(1+$C$36+$C$37)*$C$23+
$G38*J$48*$C$24*(1+$C$36+$C$37)+
(J$49+J$50)*$C$25+
J$51*$C$26+
J$52*$C$27+
J$53*$C$29</f>
        <v>1.4731405542322253</v>
      </c>
      <c r="K63" s="73">
        <f>Commodity!I40*(1+$C$36+$C$37)*$C$23+
$G38*K$48*$C$24*(1+$C$36+$C$37)+
(K$49+K$50)*$C$25+
K$51*$C$26+
K$52*$C$27+
K$53*$C$29</f>
        <v>1.4979250169436829</v>
      </c>
      <c r="L63" s="73">
        <f>Commodity!J40*(1+$C$36+$C$37)*$C$23+
$G38*L$48*$C$24*(1+$C$36+$C$37)+
(L$49+L$50)*$C$25+
L$51*$C$26+
L$52*$C$27+
L$53*$C$29</f>
        <v>1.522942174420375</v>
      </c>
      <c r="M63" s="73">
        <f>Commodity!K40*(1+$C$36+$C$37)*$C$23+
$G38*M$48*$C$24*(1+$C$36+$C$37)+
(M$49+M$50)*$C$25+
M$51*$C$26+
M$52*$C$27+
M$53*$C$29</f>
        <v>1.5481646701008716</v>
      </c>
      <c r="N63" s="73">
        <f>Commodity!L40*(1+$C$36+$C$37)*$C$23+
$G38*N$48*$C$24*(1+$C$36+$C$37)+
(N$49+N$50)*$C$25+
N$51*$C$26+
N$52*$C$27+
N$53*$C$29</f>
        <v>1.5738243048997451</v>
      </c>
      <c r="O63" s="73">
        <f>Commodity!M40*(1+$C$36+$C$37)*$C$23+
$G38*O$48*$C$24*(1+$C$36+$C$37)+
(O$49+O$50)*$C$25+
O$51*$C$26+
O$52*$C$27+
O$53*$C$29</f>
        <v>1.5998912132361585</v>
      </c>
      <c r="P63" s="73">
        <f>Commodity!N40*(1+$C$36+$C$37)*$C$23+
$G38*P$48*$C$24*(1+$C$36+$C$37)+
(P$49+P$50)*$C$25+
P$51*$C$26+
P$52*$C$27+
P$53*$C$29</f>
        <v>1.6263659920085651</v>
      </c>
      <c r="Q63" s="73">
        <f>Commodity!O40*(1+$C$36+$C$37)*$C$23+
$G38*Q$48*$C$24*(1+$C$36+$C$37)+
(Q$49+Q$50)*$C$25+
Q$51*$C$26+
Q$52*$C$27+
Q$53*$C$29</f>
        <v>1.6531811615710348</v>
      </c>
      <c r="R63" s="73">
        <f>Commodity!P40*(1+$C$36+$C$37)*$C$23+
$G38*R$48*$C$24*(1+$C$36+$C$37)+
(R$49+R$50)*$C$25+
R$51*$C$26+
R$52*$C$27+
R$53*$C$29</f>
        <v>1.6801158876026623</v>
      </c>
      <c r="S63" s="73">
        <f>Commodity!Q40*(1+$C$36+$C$37)*$C$23+
$G38*S$48*$C$24*(1+$C$36+$C$37)+
(S$49+S$50)*$C$25+
S$51*$C$26+
S$52*$C$27+
S$53*$C$29</f>
        <v>1.707625391040708</v>
      </c>
      <c r="T63" s="73">
        <f>Commodity!R40*(1+$C$36+$C$37)*$C$23+
$G38*T$48*$C$24*(1+$C$36+$C$37)+
(T$49+T$50)*$C$25+
T$51*$C$26+
T$52*$C$27+
T$53*$C$29</f>
        <v>1.7357884959593748</v>
      </c>
      <c r="U63" s="73">
        <f>Commodity!S40*(1+$C$36+$C$37)*$C$23+
$G38*U$48*$C$24*(1+$C$36+$C$37)+
(U$49+U$50)*$C$25+
U$51*$C$26+
U$52*$C$27+
U$53*$C$29</f>
        <v>1.7644553714118563</v>
      </c>
      <c r="V63" s="73">
        <f>Commodity!T40*(1+$C$36+$C$37)*$C$23+
$G38*V$48*$C$24*(1+$C$36+$C$37)+
(V$49+V$50)*$C$25+
V$51*$C$26+
V$52*$C$27+
V$53*$C$29</f>
        <v>1.7935236539947645</v>
      </c>
      <c r="W63" s="73">
        <f>Commodity!U40*(1+$C$36+$C$37)*$C$23+
$G38*W$48*$C$24*(1+$C$36+$C$37)+
(W$49+W$50)*$C$25+
W$51*$C$26+
W$52*$C$27+
W$53*$C$29</f>
        <v>1.8228743660334281</v>
      </c>
      <c r="X63" s="73">
        <f>Commodity!V40*(1+$C$36+$C$37)*$C$23+
$G38*X$48*$C$24*(1+$C$36+$C$37)+
(X$49+X$50)*$C$25+
X$51*$C$26+
X$52*$C$27+
X$53*$C$29</f>
        <v>1.8525549207307197</v>
      </c>
      <c r="Y63" s="73">
        <f>Commodity!W40*(1+$C$36+$C$37)*$C$23+
$G38*Y$48*$C$24*(1+$C$36+$C$37)+
(Y$49+Y$50)*$C$25+
Y$51*$C$26+
Y$52*$C$27+
Y$53*$C$29</f>
        <v>1.8826532216788698</v>
      </c>
      <c r="Z63" s="73">
        <f>Commodity!X40*(1+$C$36+$C$37)*$C$23+
$G38*Z$48*$C$24*(1+$C$36+$C$37)+
(Z$49+Z$50)*$C$25+
Z$51*$C$26+
Z$52*$C$27+
Z$53*$C$29</f>
        <v>1.9131731584333149</v>
      </c>
      <c r="AA63" s="73">
        <f>Commodity!Y40*(1+$C$36+$C$37)*$C$23+
$G38*AA$48*$C$24*(1+$C$36+$C$37)+
(AA$49+AA$50)*$C$25+
AA$51*$C$26+
AA$52*$C$27+
AA$53*$C$29</f>
        <v>1.9440633818321218</v>
      </c>
      <c r="AB63" s="73">
        <f>Commodity!Z40*(1+$C$36+$C$37)*$C$23+
$G38*AB$48*$C$24*(1+$C$36+$C$37)+
(AB$49+AB$50)*$C$25+
AB$51*$C$26+
AB$52*$C$27+
AB$53*$C$29</f>
        <v>1.9753961436658076</v>
      </c>
      <c r="AC63" s="73">
        <f>Commodity!AA40*(1+$C$36+$C$37)*$C$23+
$G38*AC$48*$C$24*(1+$C$36+$C$37)+
(AC$49+AC$50)*$C$25+
AC$51*$C$26+
AC$52*$C$27+
AC$53*$C$29</f>
        <v>2.0071932206165823</v>
      </c>
      <c r="AD63" s="73">
        <f>Commodity!AB40*(1+$C$36+$C$37)*$C$23+
$G38*AD$48*$C$24*(1+$C$36+$C$37)+
(AD$49+AD$50)*$C$25+
AD$51*$C$26+
AD$52*$C$27+
AD$53*$C$29</f>
        <v>2.0394817112962365</v>
      </c>
      <c r="AE63" s="73">
        <f>Commodity!AC40*(1+$C$36+$C$37)*$C$23+
$G38*AE$48*$C$24*(1+$C$36+$C$37)+
(AE$49+AE$50)*$C$25+
AE$51*$C$26+
AE$52*$C$27+
AE$53*$C$29</f>
        <v>2.0721918404008348</v>
      </c>
      <c r="AF63" s="73">
        <f>Commodity!AD40*(1+$C$36+$C$37)*$C$23+
$G38*AF$48*$C$24*(1+$C$36+$C$37)+
(AF$49+AF$50)*$C$25+
AF$51*$C$26+
AF$52*$C$27+
AF$53*$C$29</f>
        <v>2.1052965083417305</v>
      </c>
      <c r="AG63" s="73">
        <f>Commodity!AE40*(1+$C$36+$C$37)*$C$23+
$G38*AG$48*$C$24*(1+$C$36+$C$37)+
(AG$49+AG$50)*$C$25+
AG$51*$C$26+
AG$52*$C$27+
AG$53*$C$29</f>
        <v>2.1368423282432936</v>
      </c>
      <c r="AH63" s="73">
        <f>Commodity!AF40*(1+$C$36+$C$37)*$C$23+
$G38*AH$48*$C$24*(1+$C$36+$C$37)+
(AH$49+AH$50)*$C$25+
AH$51*$C$26+
AH$52*$C$27+
AH$53*$C$29</f>
        <v>2.1695095067019095</v>
      </c>
      <c r="AI63" s="73">
        <f>Commodity!AG40*(1+$C$36+$C$37)*$C$23+
$G38*AI$48*$C$24*(1+$C$36+$C$37)+
(AI$49+AI$50)*$C$25+
AI$51*$C$26+
AI$52*$C$27+
AI$53*$C$29</f>
        <v>2.202140183243416</v>
      </c>
      <c r="AJ63" s="73">
        <f>Commodity!AH40*(1+$C$36+$C$37)*$C$23+
$G38*AJ$48*$C$24*(1+$C$36+$C$37)+
(AJ$49+AJ$50)*$C$25+
AJ$51*$C$26+
AJ$52*$C$27+
AJ$53*$C$29</f>
        <v>2.2347236138668989</v>
      </c>
    </row>
    <row r="64" spans="2:36" ht="15" customHeight="1">
      <c r="B64" s="230" t="s">
        <v>61</v>
      </c>
      <c r="C64" s="73">
        <f t="shared" ca="1" si="2"/>
        <v>1.3865864353962674</v>
      </c>
      <c r="E64" s="73">
        <f>Commodity!C41*(1+$C$36+$C$37)*$C$23+
$G39*E$48*$C$24*(1+$C$36+$C$37)+
(E$49+E$50)*$C$25+
E$51*$C$26+
E$52*$C$27+
E$53*$C$29</f>
        <v>1.3695060896666167</v>
      </c>
      <c r="F64" s="73">
        <f>Commodity!D41*(1+$C$36+$C$37)*$C$23+
$G39*F$48*$C$24*(1+$C$36+$C$37)+
(F$49+F$50)*$C$25+
F$51*$C$26+
F$52*$C$27+
F$53*$C$29</f>
        <v>1.3865864353962674</v>
      </c>
      <c r="G64" s="73">
        <f>Commodity!E41*(1+$C$36+$C$37)*$C$23+
$G39*G$48*$C$24*(1+$C$36+$C$37)+
(G$49+G$50)*$C$25+
G$51*$C$26+
G$52*$C$27+
G$53*$C$29</f>
        <v>1.4130992948141379</v>
      </c>
      <c r="H64" s="73">
        <f>Commodity!F41*(1+$C$36+$C$37)*$C$23+
$G39*H$48*$C$24*(1+$C$36+$C$37)+
(H$49+H$50)*$C$25+
H$51*$C$26+
H$52*$C$27+
H$53*$C$29</f>
        <v>1.4387266304744264</v>
      </c>
      <c r="I64" s="73">
        <f>Commodity!G41*(1+$C$36+$C$37)*$C$23+
$G39*I$48*$C$24*(1+$C$36+$C$37)+
(I$49+I$50)*$C$25+
I$51*$C$26+
I$52*$C$27+
I$53*$C$29</f>
        <v>1.4634401125421437</v>
      </c>
      <c r="J64" s="73">
        <f>Commodity!H41*(1+$C$36+$C$37)*$C$23+
$G39*J$48*$C$24*(1+$C$36+$C$37)+
(J$49+J$50)*$C$25+
J$51*$C$26+
J$52*$C$27+
J$53*$C$29</f>
        <v>1.48826765703881</v>
      </c>
      <c r="K64" s="73">
        <f>Commodity!I41*(1+$C$36+$C$37)*$C$23+
$G39*K$48*$C$24*(1+$C$36+$C$37)+
(K$49+K$50)*$C$25+
K$51*$C$26+
K$52*$C$27+
K$53*$C$29</f>
        <v>1.5133666845403457</v>
      </c>
      <c r="L64" s="73">
        <f>Commodity!J41*(1+$C$36+$C$37)*$C$23+
$G39*L$48*$C$24*(1+$C$36+$C$37)+
(L$49+L$50)*$C$25+
L$51*$C$26+
L$52*$C$27+
L$53*$C$29</f>
        <v>1.538690441545973</v>
      </c>
      <c r="M64" s="73">
        <f>Commodity!K41*(1+$C$36+$C$37)*$C$23+
$G39*M$48*$C$24*(1+$C$36+$C$37)+
(M$49+M$50)*$C$25+
M$51*$C$26+
M$52*$C$27+
M$53*$C$29</f>
        <v>1.5642304532130944</v>
      </c>
      <c r="N64" s="73">
        <f>Commodity!L41*(1+$C$36+$C$37)*$C$23+
$G39*N$48*$C$24*(1+$C$36+$C$37)+
(N$49+N$50)*$C$25+
N$51*$C$26+
N$52*$C$27+
N$53*$C$29</f>
        <v>1.5902334181041464</v>
      </c>
      <c r="O64" s="73">
        <f>Commodity!M41*(1+$C$36+$C$37)*$C$23+
$G39*O$48*$C$24*(1+$C$36+$C$37)+
(O$49+O$50)*$C$25+
O$51*$C$26+
O$52*$C$27+
O$53*$C$29</f>
        <v>1.6166189046762089</v>
      </c>
      <c r="P64" s="73">
        <f>Commodity!N41*(1+$C$36+$C$37)*$C$23+
$G39*P$48*$C$24*(1+$C$36+$C$37)+
(P$49+P$50)*$C$25+
P$51*$C$26+
P$52*$C$27+
P$53*$C$29</f>
        <v>1.6434723350399545</v>
      </c>
      <c r="Q64" s="73">
        <f>Commodity!O41*(1+$C$36+$C$37)*$C$23+
$G39*Q$48*$C$24*(1+$C$36+$C$37)+
(Q$49+Q$50)*$C$25+
Q$51*$C$26+
Q$52*$C$27+
Q$53*$C$29</f>
        <v>1.6705994795228376</v>
      </c>
      <c r="R64" s="73">
        <f>Commodity!P41*(1+$C$36+$C$37)*$C$23+
$G39*R$48*$C$24*(1+$C$36+$C$37)+
(R$49+R$50)*$C$25+
R$51*$C$26+
R$52*$C$27+
R$53*$C$29</f>
        <v>1.6979024072756548</v>
      </c>
      <c r="S64" s="73">
        <f>Commodity!Q41*(1+$C$36+$C$37)*$C$23+
$G39*S$48*$C$24*(1+$C$36+$C$37)+
(S$49+S$50)*$C$25+
S$51*$C$26+
S$52*$C$27+
S$53*$C$29</f>
        <v>1.7258159036462182</v>
      </c>
      <c r="T64" s="73">
        <f>Commodity!R41*(1+$C$36+$C$37)*$C$23+
$G39*T$48*$C$24*(1+$C$36+$C$37)+
(T$49+T$50)*$C$25+
T$51*$C$26+
T$52*$C$27+
T$53*$C$29</f>
        <v>1.754377612187632</v>
      </c>
      <c r="U64" s="73">
        <f>Commodity!S41*(1+$C$36+$C$37)*$C$23+
$G39*U$48*$C$24*(1+$C$36+$C$37)+
(U$49+U$50)*$C$25+
U$51*$C$26+
U$52*$C$27+
U$53*$C$29</f>
        <v>1.7834563700456967</v>
      </c>
      <c r="V64" s="73">
        <f>Commodity!T41*(1+$C$36+$C$37)*$C$23+
$G39*V$48*$C$24*(1+$C$36+$C$37)+
(V$49+V$50)*$C$25+
V$51*$C$26+
V$52*$C$27+
V$53*$C$29</f>
        <v>1.8129271377979097</v>
      </c>
      <c r="W64" s="73">
        <f>Commodity!U41*(1+$C$36+$C$37)*$C$23+
$G39*W$48*$C$24*(1+$C$36+$C$37)+
(W$49+W$50)*$C$25+
W$51*$C$26+
W$52*$C$27+
W$53*$C$29</f>
        <v>1.8427077071209315</v>
      </c>
      <c r="X64" s="73">
        <f>Commodity!V41*(1+$C$36+$C$37)*$C$23+
$G39*X$48*$C$24*(1+$C$36+$C$37)+
(X$49+X$50)*$C$25+
X$51*$C$26+
X$52*$C$27+
X$53*$C$29</f>
        <v>1.8728237501337959</v>
      </c>
      <c r="Y64" s="73">
        <f>Commodity!W41*(1+$C$36+$C$37)*$C$23+
$G39*Y$48*$C$24*(1+$C$36+$C$37)+
(Y$49+Y$50)*$C$25+
Y$51*$C$26+
Y$52*$C$27+
Y$53*$C$29</f>
        <v>1.9033695487096005</v>
      </c>
      <c r="Z64" s="73">
        <f>Commodity!X41*(1+$C$36+$C$37)*$C$23+
$G39*Z$48*$C$24*(1+$C$36+$C$37)+
(Z$49+Z$50)*$C$25+
Z$51*$C$26+
Z$52*$C$27+
Z$53*$C$29</f>
        <v>1.9343459760318333</v>
      </c>
      <c r="AA64" s="73">
        <f>Commodity!Y41*(1+$C$36+$C$37)*$C$23+
$G39*AA$48*$C$24*(1+$C$36+$C$37)+
(AA$49+AA$50)*$C$25+
AA$51*$C$26+
AA$52*$C$27+
AA$53*$C$29</f>
        <v>1.9657048695090364</v>
      </c>
      <c r="AB64" s="73">
        <f>Commodity!Z41*(1+$C$36+$C$37)*$C$23+
$G39*AB$48*$C$24*(1+$C$36+$C$37)+
(AB$49+AB$50)*$C$25+
AB$51*$C$26+
AB$52*$C$27+
AB$53*$C$29</f>
        <v>1.9975149409532988</v>
      </c>
      <c r="AC64" s="73">
        <f>Commodity!AA41*(1+$C$36+$C$37)*$C$23+
$G39*AC$48*$C$24*(1+$C$36+$C$37)+
(AC$49+AC$50)*$C$25+
AC$51*$C$26+
AC$52*$C$27+
AC$53*$C$29</f>
        <v>2.0298045804783373</v>
      </c>
      <c r="AD64" s="73">
        <f>Commodity!AB41*(1+$C$36+$C$37)*$C$23+
$G39*AD$48*$C$24*(1+$C$36+$C$37)+
(AD$49+AD$50)*$C$25+
AD$51*$C$26+
AD$52*$C$27+
AD$53*$C$29</f>
        <v>2.0625964434741144</v>
      </c>
      <c r="AE64" s="73">
        <f>Commodity!AC41*(1+$C$36+$C$37)*$C$23+
$G39*AE$48*$C$24*(1+$C$36+$C$37)+
(AE$49+AE$50)*$C$25+
AE$51*$C$26+
AE$52*$C$27+
AE$53*$C$29</f>
        <v>2.0958219267016123</v>
      </c>
      <c r="AF64" s="73">
        <f>Commodity!AD41*(1+$C$36+$C$37)*$C$23+
$G39*AF$48*$C$24*(1+$C$36+$C$37)+
(AF$49+AF$50)*$C$25+
AF$51*$C$26+
AF$52*$C$27+
AF$53*$C$29</f>
        <v>2.1294504145839861</v>
      </c>
      <c r="AG64" s="73">
        <f>Commodity!AE41*(1+$C$36+$C$37)*$C$23+
$G39*AG$48*$C$24*(1+$C$36+$C$37)+
(AG$49+AG$50)*$C$25+
AG$51*$C$26+
AG$52*$C$27+
AG$53*$C$29</f>
        <v>2.1614823681417996</v>
      </c>
      <c r="AH64" s="73">
        <f>Commodity!AF41*(1+$C$36+$C$37)*$C$23+
$G39*AH$48*$C$24*(1+$C$36+$C$37)+
(AH$49+AH$50)*$C$25+
AH$51*$C$26+
AH$52*$C$27+
AH$53*$C$29</f>
        <v>2.1946603847161317</v>
      </c>
      <c r="AI64" s="73">
        <f>Commodity!AG41*(1+$C$36+$C$37)*$C$23+
$G39*AI$48*$C$24*(1+$C$36+$C$37)+
(AI$49+AI$50)*$C$25+
AI$51*$C$26+
AI$52*$C$27+
AI$53*$C$29</f>
        <v>2.2278134557993026</v>
      </c>
      <c r="AJ64" s="73">
        <f>Commodity!AH41*(1+$C$36+$C$37)*$C$23+
$G39*AJ$48*$C$24*(1+$C$36+$C$37)+
(AJ$49+AJ$50)*$C$25+
AJ$51*$C$26+
AJ$52*$C$27+
AJ$53*$C$29</f>
        <v>2.2609101650779087</v>
      </c>
    </row>
    <row r="65" spans="1:36" ht="15" customHeight="1">
      <c r="B65" s="230" t="s">
        <v>62</v>
      </c>
      <c r="C65" s="73">
        <f t="shared" ca="1" si="2"/>
        <v>1.3911073580479791</v>
      </c>
      <c r="E65" s="73">
        <f>Commodity!C42*(1+$C$36+$C$37)*$C$23+
$G40*E$48*$C$24*(1+$C$36+$C$37)+
(E$49+E$50)*$C$25+
E$51*$C$26+
E$52*$C$27+
E$53*$C$29</f>
        <v>1.3725348579338905</v>
      </c>
      <c r="F65" s="73">
        <f>Commodity!D42*(1+$C$36+$C$37)*$C$23+
$G40*F$48*$C$24*(1+$C$36+$C$37)+
(F$49+F$50)*$C$25+
F$51*$C$26+
F$52*$C$27+
F$53*$C$29</f>
        <v>1.3911073580479791</v>
      </c>
      <c r="G65" s="73">
        <f>Commodity!E42*(1+$C$36+$C$37)*$C$23+
$G40*G$48*$C$24*(1+$C$36+$C$37)+
(G$49+G$50)*$C$25+
G$51*$C$26+
G$52*$C$27+
G$53*$C$29</f>
        <v>1.4175939451373907</v>
      </c>
      <c r="H65" s="73">
        <f>Commodity!F42*(1+$C$36+$C$37)*$C$23+
$G40*H$48*$C$24*(1+$C$36+$C$37)+
(H$49+H$50)*$C$25+
H$51*$C$26+
H$52*$C$27+
H$53*$C$29</f>
        <v>1.4432847289082285</v>
      </c>
      <c r="I65" s="73">
        <f>Commodity!G42*(1+$C$36+$C$37)*$C$23+
$G40*I$48*$C$24*(1+$C$36+$C$37)+
(I$49+I$50)*$C$25+
I$51*$C$26+
I$52*$C$27+
I$53*$C$29</f>
        <v>1.4680846977364663</v>
      </c>
      <c r="J65" s="73">
        <f>Commodity!H42*(1+$C$36+$C$37)*$C$23+
$G40*J$48*$C$24*(1+$C$36+$C$37)+
(J$49+J$50)*$C$25+
J$51*$C$26+
J$52*$C$27+
J$53*$C$29</f>
        <v>1.4930203201586134</v>
      </c>
      <c r="K65" s="73">
        <f>Commodity!I42*(1+$C$36+$C$37)*$C$23+
$G40*K$48*$C$24*(1+$C$36+$C$37)+
(K$49+K$50)*$C$25+
K$51*$C$26+
K$52*$C$27+
K$53*$C$29</f>
        <v>1.5182231869640335</v>
      </c>
      <c r="L65" s="73">
        <f>Commodity!J42*(1+$C$36+$C$37)*$C$23+
$G40*L$48*$C$24*(1+$C$36+$C$37)+
(L$49+L$50)*$C$25+
L$51*$C$26+
L$52*$C$27+
L$53*$C$29</f>
        <v>1.5436384731677852</v>
      </c>
      <c r="M65" s="73">
        <f>Commodity!K42*(1+$C$36+$C$37)*$C$23+
$G40*M$48*$C$24*(1+$C$36+$C$37)+
(M$49+M$50)*$C$25+
M$51*$C$26+
M$52*$C$27+
M$53*$C$29</f>
        <v>1.5692773826911499</v>
      </c>
      <c r="N65" s="73">
        <f>Commodity!L42*(1+$C$36+$C$37)*$C$23+
$G40*N$48*$C$24*(1+$C$36+$C$37)+
(N$49+N$50)*$C$25+
N$51*$C$26+
N$52*$C$27+
N$53*$C$29</f>
        <v>1.5953975477901436</v>
      </c>
      <c r="O65" s="73">
        <f>Commodity!M42*(1+$C$36+$C$37)*$C$23+
$G40*O$48*$C$24*(1+$C$36+$C$37)+
(O$49+O$50)*$C$25+
O$51*$C$26+
O$52*$C$27+
O$53*$C$29</f>
        <v>1.621867705716062</v>
      </c>
      <c r="P65" s="73">
        <f>Commodity!N42*(1+$C$36+$C$37)*$C$23+
$G40*P$48*$C$24*(1+$C$36+$C$37)+
(P$49+P$50)*$C$25+
P$51*$C$26+
P$52*$C$27+
P$53*$C$29</f>
        <v>1.6488594460278845</v>
      </c>
      <c r="Q65" s="73">
        <f>Commodity!O42*(1+$C$36+$C$37)*$C$23+
$G40*Q$48*$C$24*(1+$C$36+$C$37)+
(Q$49+Q$50)*$C$25+
Q$51*$C$26+
Q$52*$C$27+
Q$53*$C$29</f>
        <v>1.6760509903500029</v>
      </c>
      <c r="R65" s="73">
        <f>Commodity!P42*(1+$C$36+$C$37)*$C$23+
$G40*R$48*$C$24*(1+$C$36+$C$37)+
(R$49+R$50)*$C$25+
R$51*$C$26+
R$52*$C$27+
R$53*$C$29</f>
        <v>1.7034732745597227</v>
      </c>
      <c r="S65" s="73">
        <f>Commodity!Q42*(1+$C$36+$C$37)*$C$23+
$G40*S$48*$C$24*(1+$C$36+$C$37)+
(S$49+S$50)*$C$25+
S$51*$C$26+
S$52*$C$27+
S$53*$C$29</f>
        <v>1.7315320711797773</v>
      </c>
      <c r="T65" s="73">
        <f>Commodity!R42*(1+$C$36+$C$37)*$C$23+
$G40*T$48*$C$24*(1+$C$36+$C$37)+
(T$49+T$50)*$C$25+
T$51*$C$26+
T$52*$C$27+
T$53*$C$29</f>
        <v>1.7602217576144055</v>
      </c>
      <c r="U65" s="73">
        <f>Commodity!S42*(1+$C$36+$C$37)*$C$23+
$G40*U$48*$C$24*(1+$C$36+$C$37)+
(U$49+U$50)*$C$25+
U$51*$C$26+
U$52*$C$27+
U$53*$C$29</f>
        <v>1.7894328526915806</v>
      </c>
      <c r="V65" s="73">
        <f>Commodity!T42*(1+$C$36+$C$37)*$C$23+
$G40*V$48*$C$24*(1+$C$36+$C$37)+
(V$49+V$50)*$C$25+
V$51*$C$26+
V$52*$C$27+
V$53*$C$29</f>
        <v>1.8190191346857441</v>
      </c>
      <c r="W65" s="73">
        <f>Commodity!U42*(1+$C$36+$C$37)*$C$23+
$G40*W$48*$C$24*(1+$C$36+$C$37)+
(W$49+W$50)*$C$25+
W$51*$C$26+
W$52*$C$27+
W$53*$C$29</f>
        <v>1.8489379077077075</v>
      </c>
      <c r="X65" s="73">
        <f>Commodity!V42*(1+$C$36+$C$37)*$C$23+
$G40*X$48*$C$24*(1+$C$36+$C$37)+
(X$49+X$50)*$C$25+
X$51*$C$26+
X$52*$C$27+
X$53*$C$29</f>
        <v>1.8791918965939707</v>
      </c>
      <c r="Y65" s="73">
        <f>Commodity!W42*(1+$C$36+$C$37)*$C$23+
$G40*Y$48*$C$24*(1+$C$36+$C$37)+
(Y$49+Y$50)*$C$25+
Y$51*$C$26+
Y$52*$C$27+
Y$53*$C$29</f>
        <v>1.9098802699119393</v>
      </c>
      <c r="Z65" s="73">
        <f>Commodity!X42*(1+$C$36+$C$37)*$C$23+
$G40*Z$48*$C$24*(1+$C$36+$C$37)+
(Z$49+Z$50)*$C$25+
Z$51*$C$26+
Z$52*$C$27+
Z$53*$C$29</f>
        <v>1.9410007658572119</v>
      </c>
      <c r="AA65" s="73">
        <f>Commodity!Y42*(1+$C$36+$C$37)*$C$23+
$G40*AA$48*$C$24*(1+$C$36+$C$37)+
(AA$49+AA$50)*$C$25+
AA$51*$C$26+
AA$52*$C$27+
AA$53*$C$29</f>
        <v>1.9725093899852144</v>
      </c>
      <c r="AB65" s="73">
        <f>Commodity!Z42*(1+$C$36+$C$37)*$C$23+
$G40*AB$48*$C$24*(1+$C$36+$C$37)+
(AB$49+AB$50)*$C$25+
AB$51*$C$26+
AB$52*$C$27+
AB$53*$C$29</f>
        <v>2.0044699480380861</v>
      </c>
      <c r="AC65" s="73">
        <f>Commodity!AA42*(1+$C$36+$C$37)*$C$23+
$G40*AC$48*$C$24*(1+$C$36+$C$37)+
(AC$49+AC$50)*$C$25+
AC$51*$C$26+
AC$52*$C$27+
AC$53*$C$29</f>
        <v>2.0369171543317215</v>
      </c>
      <c r="AD65" s="73">
        <f>Commodity!AB42*(1+$C$36+$C$37)*$C$23+
$G40*AD$48*$C$24*(1+$C$36+$C$37)+
(AD$49+AD$50)*$C$25+
AD$51*$C$26+
AD$52*$C$27+
AD$53*$C$29</f>
        <v>2.0698686589746647</v>
      </c>
      <c r="AE65" s="73">
        <f>Commodity!AC42*(1+$C$36+$C$37)*$C$23+
$G40*AE$48*$C$24*(1+$C$36+$C$37)+
(AE$49+AE$50)*$C$25+
AE$51*$C$26+
AE$52*$C$27+
AE$53*$C$29</f>
        <v>2.1032583142250907</v>
      </c>
      <c r="AF65" s="73">
        <f>Commodity!AD42*(1+$C$36+$C$37)*$C$23+
$G40*AF$48*$C$24*(1+$C$36+$C$37)+
(AF$49+AF$50)*$C$25+
AF$51*$C$26+
AF$52*$C$27+
AF$53*$C$29</f>
        <v>2.1370524236371073</v>
      </c>
      <c r="AG65" s="73">
        <f>Commodity!AE42*(1+$C$36+$C$37)*$C$23+
$G40*AG$48*$C$24*(1+$C$36+$C$37)+
(AG$49+AG$50)*$C$25+
AG$51*$C$26+
AG$52*$C$27+
AG$53*$C$29</f>
        <v>2.1692399667442785</v>
      </c>
      <c r="AH65" s="73">
        <f>Commodity!AF42*(1+$C$36+$C$37)*$C$23+
$G40*AH$48*$C$24*(1+$C$36+$C$37)+
(AH$49+AH$50)*$C$25+
AH$51*$C$26+
AH$52*$C$27+
AH$53*$C$29</f>
        <v>2.2025783458159589</v>
      </c>
      <c r="AI65" s="73">
        <f>Commodity!AG42*(1+$C$36+$C$37)*$C$23+
$G40*AI$48*$C$24*(1+$C$36+$C$37)+
(AI$49+AI$50)*$C$25+
AI$51*$C$26+
AI$52*$C$27+
AI$53*$C$29</f>
        <v>2.2359041817883236</v>
      </c>
      <c r="AJ65" s="73">
        <f>Commodity!AH42*(1+$C$36+$C$37)*$C$23+
$G40*AJ$48*$C$24*(1+$C$36+$C$37)+
(AJ$49+AJ$50)*$C$25+
AJ$51*$C$26+
AJ$52*$C$27+
AJ$53*$C$29</f>
        <v>2.2691652510335008</v>
      </c>
    </row>
    <row r="66" spans="1:36" ht="15" customHeight="1">
      <c r="B66" s="230" t="s">
        <v>63</v>
      </c>
      <c r="C66" s="73">
        <f t="shared" ca="1" si="2"/>
        <v>1.3869705148427922</v>
      </c>
      <c r="E66" s="73">
        <f>Commodity!C43*(1+$C$36+$C$37)*$C$23+
$G41*E$48*$C$24*(1+$C$36+$C$37)+
(E$49+E$50)*$C$25+
E$51*$C$26+
E$52*$C$27+
E$53*$C$29</f>
        <v>1.3670137512756524</v>
      </c>
      <c r="F66" s="73">
        <f>Commodity!D43*(1+$C$36+$C$37)*$C$23+
$G41*F$48*$C$24*(1+$C$36+$C$37)+
(F$49+F$50)*$C$25+
F$51*$C$26+
F$52*$C$27+
F$53*$C$29</f>
        <v>1.3869705148427922</v>
      </c>
      <c r="G66" s="73">
        <f>Commodity!E43*(1+$C$36+$C$37)*$C$23+
$G41*G$48*$C$24*(1+$C$36+$C$37)+
(G$49+G$50)*$C$25+
G$51*$C$26+
G$52*$C$27+
G$53*$C$29</f>
        <v>1.4132186335025994</v>
      </c>
      <c r="H66" s="73">
        <f>Commodity!F43*(1+$C$36+$C$37)*$C$23+
$G41*H$48*$C$24*(1+$C$36+$C$37)+
(H$49+H$50)*$C$25+
H$51*$C$26+
H$52*$C$27+
H$53*$C$29</f>
        <v>1.4387731021236996</v>
      </c>
      <c r="I66" s="73">
        <f>Commodity!G43*(1+$C$36+$C$37)*$C$23+
$G41*I$48*$C$24*(1+$C$36+$C$37)+
(I$49+I$50)*$C$25+
I$51*$C$26+
I$52*$C$27+
I$53*$C$29</f>
        <v>1.4634736937309671</v>
      </c>
      <c r="J66" s="73">
        <f>Commodity!H43*(1+$C$36+$C$37)*$C$23+
$G41*J$48*$C$24*(1+$C$36+$C$37)+
(J$49+J$50)*$C$25+
J$51*$C$26+
J$52*$C$27+
J$53*$C$29</f>
        <v>1.4883294193249936</v>
      </c>
      <c r="K66" s="73">
        <f>Commodity!I43*(1+$C$36+$C$37)*$C$23+
$G41*K$48*$C$24*(1+$C$36+$C$37)+
(K$49+K$50)*$C$25+
K$51*$C$26+
K$52*$C$27+
K$53*$C$29</f>
        <v>1.5134439815178429</v>
      </c>
      <c r="L66" s="73">
        <f>Commodity!J43*(1+$C$36+$C$37)*$C$23+
$G41*L$48*$C$24*(1+$C$36+$C$37)+
(L$49+L$50)*$C$25+
L$51*$C$26+
L$52*$C$27+
L$53*$C$29</f>
        <v>1.5387553370697269</v>
      </c>
      <c r="M66" s="73">
        <f>Commodity!K43*(1+$C$36+$C$37)*$C$23+
$G41*M$48*$C$24*(1+$C$36+$C$37)+
(M$49+M$50)*$C$25+
M$51*$C$26+
M$52*$C$27+
M$53*$C$29</f>
        <v>1.5642941984783592</v>
      </c>
      <c r="N66" s="73">
        <f>Commodity!L43*(1+$C$36+$C$37)*$C$23+
$G41*N$48*$C$24*(1+$C$36+$C$37)+
(N$49+N$50)*$C$25+
N$51*$C$26+
N$52*$C$27+
N$53*$C$29</f>
        <v>1.5903251159646454</v>
      </c>
      <c r="O66" s="73">
        <f>Commodity!M43*(1+$C$36+$C$37)*$C$23+
$G41*O$48*$C$24*(1+$C$36+$C$37)+
(O$49+O$50)*$C$25+
O$51*$C$26+
O$52*$C$27+
O$53*$C$29</f>
        <v>1.6166680310888082</v>
      </c>
      <c r="P66" s="73">
        <f>Commodity!N43*(1+$C$36+$C$37)*$C$23+
$G41*P$48*$C$24*(1+$C$36+$C$37)+
(P$49+P$50)*$C$25+
P$51*$C$26+
P$52*$C$27+
P$53*$C$29</f>
        <v>1.6435780445567989</v>
      </c>
      <c r="Q66" s="73">
        <f>Commodity!O43*(1+$C$36+$C$37)*$C$23+
$G41*Q$48*$C$24*(1+$C$36+$C$37)+
(Q$49+Q$50)*$C$25+
Q$51*$C$26+
Q$52*$C$27+
Q$53*$C$29</f>
        <v>1.6706108184829835</v>
      </c>
      <c r="R66" s="73">
        <f>Commodity!P43*(1+$C$36+$C$37)*$C$23+
$G41*R$48*$C$24*(1+$C$36+$C$37)+
(R$49+R$50)*$C$25+
R$51*$C$26+
R$52*$C$27+
R$53*$C$29</f>
        <v>1.6979257028215686</v>
      </c>
      <c r="S66" s="73">
        <f>Commodity!Q43*(1+$C$36+$C$37)*$C$23+
$G41*S$48*$C$24*(1+$C$36+$C$37)+
(S$49+S$50)*$C$25+
S$51*$C$26+
S$52*$C$27+
S$53*$C$29</f>
        <v>1.7258931217600755</v>
      </c>
      <c r="T66" s="73">
        <f>Commodity!R43*(1+$C$36+$C$37)*$C$23+
$G41*T$48*$C$24*(1+$C$36+$C$37)+
(T$49+T$50)*$C$25+
T$51*$C$26+
T$52*$C$27+
T$53*$C$29</f>
        <v>1.7544642642256525</v>
      </c>
      <c r="U66" s="73">
        <f>Commodity!S43*(1+$C$36+$C$37)*$C$23+
$G41*U$48*$C$24*(1+$C$36+$C$37)+
(U$49+U$50)*$C$25+
U$51*$C$26+
U$52*$C$27+
U$53*$C$29</f>
        <v>1.7835530433169791</v>
      </c>
      <c r="V66" s="73">
        <f>Commodity!T43*(1+$C$36+$C$37)*$C$23+
$G41*V$48*$C$24*(1+$C$36+$C$37)+
(V$49+V$50)*$C$25+
V$51*$C$26+
V$52*$C$27+
V$53*$C$29</f>
        <v>1.812994330702244</v>
      </c>
      <c r="W66" s="73">
        <f>Commodity!U43*(1+$C$36+$C$37)*$C$23+
$G41*W$48*$C$24*(1+$C$36+$C$37)+
(W$49+W$50)*$C$25+
W$51*$C$26+
W$52*$C$27+
W$53*$C$29</f>
        <v>1.8427856180030662</v>
      </c>
      <c r="X66" s="73">
        <f>Commodity!V43*(1+$C$36+$C$37)*$C$23+
$G41*X$48*$C$24*(1+$C$36+$C$37)+
(X$49+X$50)*$C$25+
X$51*$C$26+
X$52*$C$27+
X$53*$C$29</f>
        <v>1.8729066349583725</v>
      </c>
      <c r="Y66" s="73">
        <f>Commodity!W43*(1+$C$36+$C$37)*$C$23+
$G41*Y$48*$C$24*(1+$C$36+$C$37)+
(Y$49+Y$50)*$C$25+
Y$51*$C$26+
Y$52*$C$27+
Y$53*$C$29</f>
        <v>1.9034598912408358</v>
      </c>
      <c r="Z66" s="73">
        <f>Commodity!X43*(1+$C$36+$C$37)*$C$23+
$G41*Z$48*$C$24*(1+$C$36+$C$37)+
(Z$49+Z$50)*$C$25+
Z$51*$C$26+
Z$52*$C$27+
Z$53*$C$29</f>
        <v>1.9344400246090117</v>
      </c>
      <c r="AA66" s="73">
        <f>Commodity!Y43*(1+$C$36+$C$37)*$C$23+
$G41*AA$48*$C$24*(1+$C$36+$C$37)+
(AA$49+AA$50)*$C$25+
AA$51*$C$26+
AA$52*$C$27+
AA$53*$C$29</f>
        <v>1.9658078959072784</v>
      </c>
      <c r="AB66" s="73">
        <f>Commodity!Z43*(1+$C$36+$C$37)*$C$23+
$G41*AB$48*$C$24*(1+$C$36+$C$37)+
(AB$49+AB$50)*$C$25+
AB$51*$C$26+
AB$52*$C$27+
AB$53*$C$29</f>
        <v>1.9976214085002022</v>
      </c>
      <c r="AC66" s="73">
        <f>Commodity!AA43*(1+$C$36+$C$37)*$C$23+
$G41*AC$48*$C$24*(1+$C$36+$C$37)+
(AC$49+AC$50)*$C$25+
AC$51*$C$26+
AC$52*$C$27+
AC$53*$C$29</f>
        <v>2.0299210609356249</v>
      </c>
      <c r="AD66" s="73">
        <f>Commodity!AB43*(1+$C$36+$C$37)*$C$23+
$G41*AD$48*$C$24*(1+$C$36+$C$37)+
(AD$49+AD$50)*$C$25+
AD$51*$C$26+
AD$52*$C$27+
AD$53*$C$29</f>
        <v>2.0627192215943468</v>
      </c>
      <c r="AE66" s="73">
        <f>Commodity!AC43*(1+$C$36+$C$37)*$C$23+
$G41*AE$48*$C$24*(1+$C$36+$C$37)+
(AE$49+AE$50)*$C$25+
AE$51*$C$26+
AE$52*$C$27+
AE$53*$C$29</f>
        <v>2.0959532304995587</v>
      </c>
      <c r="AF66" s="73">
        <f>Commodity!AD43*(1+$C$36+$C$37)*$C$23+
$G41*AF$48*$C$24*(1+$C$36+$C$37)+
(AF$49+AF$50)*$C$25+
AF$51*$C$26+
AF$52*$C$27+
AF$53*$C$29</f>
        <v>2.1295868351823111</v>
      </c>
      <c r="AG66" s="73">
        <f>Commodity!AE43*(1+$C$36+$C$37)*$C$23+
$G41*AG$48*$C$24*(1+$C$36+$C$37)+
(AG$49+AG$50)*$C$25+
AG$51*$C$26+
AG$52*$C$27+
AG$53*$C$29</f>
        <v>2.1616288966918109</v>
      </c>
      <c r="AH66" s="73">
        <f>Commodity!AF43*(1+$C$36+$C$37)*$C$23+
$G41*AH$48*$C$24*(1+$C$36+$C$37)+
(AH$49+AH$50)*$C$25+
AH$51*$C$26+
AH$52*$C$27+
AH$53*$C$29</f>
        <v>2.194808618759021</v>
      </c>
      <c r="AI66" s="73">
        <f>Commodity!AG43*(1+$C$36+$C$37)*$C$23+
$G41*AI$48*$C$24*(1+$C$36+$C$37)+
(AI$49+AI$50)*$C$25+
AI$51*$C$26+
AI$52*$C$27+
AI$53*$C$29</f>
        <v>2.2279883986252784</v>
      </c>
      <c r="AJ66" s="73">
        <f>Commodity!AH43*(1+$C$36+$C$37)*$C$23+
$G41*AJ$48*$C$24*(1+$C$36+$C$37)+
(AJ$49+AJ$50)*$C$25+
AJ$51*$C$26+
AJ$52*$C$27+
AJ$53*$C$29</f>
        <v>2.2610960150540427</v>
      </c>
    </row>
    <row r="67" spans="1:36" ht="15" customHeight="1">
      <c r="B67" s="230" t="s">
        <v>64</v>
      </c>
      <c r="C67" s="73">
        <f t="shared" ca="1" si="2"/>
        <v>1.3948746054157883</v>
      </c>
      <c r="E67" s="73">
        <f>Commodity!C44*(1+$C$36+$C$37)*$C$23+
$G42*E$48*$C$24*(1+$C$36+$C$37)+
(E$49+E$50)*$C$25+
E$51*$C$26+
E$52*$C$27+
E$53*$C$29</f>
        <v>1.3733425464774891</v>
      </c>
      <c r="F67" s="73">
        <f>Commodity!D44*(1+$C$36+$C$37)*$C$23+
$G42*F$48*$C$24*(1+$C$36+$C$37)+
(F$49+F$50)*$C$25+
F$51*$C$26+
F$52*$C$27+
F$53*$C$29</f>
        <v>1.3948746054157883</v>
      </c>
      <c r="G67" s="73">
        <f>Commodity!E44*(1+$C$36+$C$37)*$C$23+
$G42*G$48*$C$24*(1+$C$36+$C$37)+
(G$49+G$50)*$C$25+
G$51*$C$26+
G$52*$C$27+
G$53*$C$29</f>
        <v>1.4211754585194607</v>
      </c>
      <c r="H67" s="73">
        <f>Commodity!F44*(1+$C$36+$C$37)*$C$23+
$G42*H$48*$C$24*(1+$C$36+$C$37)+
(H$49+H$50)*$C$25+
H$51*$C$26+
H$52*$C$27+
H$53*$C$29</f>
        <v>1.446870269764488</v>
      </c>
      <c r="I67" s="73">
        <f>Commodity!G44*(1+$C$36+$C$37)*$C$23+
$G42*I$48*$C$24*(1+$C$36+$C$37)+
(I$49+I$50)*$C$25+
I$51*$C$26+
I$52*$C$27+
I$53*$C$29</f>
        <v>1.4717296759879224</v>
      </c>
      <c r="J67" s="73">
        <f>Commodity!H44*(1+$C$36+$C$37)*$C$23+
$G42*J$48*$C$24*(1+$C$36+$C$37)+
(J$49+J$50)*$C$25+
J$51*$C$26+
J$52*$C$27+
J$53*$C$29</f>
        <v>1.4967672169749258</v>
      </c>
      <c r="K67" s="73">
        <f>Commodity!I44*(1+$C$36+$C$37)*$C$23+
$G42*K$48*$C$24*(1+$C$36+$C$37)+
(K$49+K$50)*$C$25+
K$51*$C$26+
K$52*$C$27+
K$53*$C$29</f>
        <v>1.5220608019946551</v>
      </c>
      <c r="L67" s="73">
        <f>Commodity!J44*(1+$C$36+$C$37)*$C$23+
$G42*L$48*$C$24*(1+$C$36+$C$37)+
(L$49+L$50)*$C$25+
L$51*$C$26+
L$52*$C$27+
L$53*$C$29</f>
        <v>1.5475397652511513</v>
      </c>
      <c r="M67" s="73">
        <f>Commodity!K44*(1+$C$36+$C$37)*$C$23+
$G42*M$48*$C$24*(1+$C$36+$C$37)+
(M$49+M$50)*$C$25+
M$51*$C$26+
M$52*$C$27+
M$53*$C$29</f>
        <v>1.5732551236407699</v>
      </c>
      <c r="N67" s="73">
        <f>Commodity!L44*(1+$C$36+$C$37)*$C$23+
$G42*N$48*$C$24*(1+$C$36+$C$37)+
(N$49+N$50)*$C$25+
N$51*$C$26+
N$52*$C$27+
N$53*$C$29</f>
        <v>1.5994841825086934</v>
      </c>
      <c r="O67" s="73">
        <f>Commodity!M44*(1+$C$36+$C$37)*$C$23+
$G42*O$48*$C$24*(1+$C$36+$C$37)+
(O$49+O$50)*$C$25+
O$51*$C$26+
O$52*$C$27+
O$53*$C$29</f>
        <v>1.6259938363201574</v>
      </c>
      <c r="P67" s="73">
        <f>Commodity!N44*(1+$C$36+$C$37)*$C$23+
$G42*P$48*$C$24*(1+$C$36+$C$37)+
(P$49+P$50)*$C$25+
P$51*$C$26+
P$52*$C$27+
P$53*$C$29</f>
        <v>1.6531288110097275</v>
      </c>
      <c r="Q67" s="73">
        <f>Commodity!O44*(1+$C$36+$C$37)*$C$23+
$G42*Q$48*$C$24*(1+$C$36+$C$37)+
(Q$49+Q$50)*$C$25+
Q$51*$C$26+
Q$52*$C$27+
Q$53*$C$29</f>
        <v>1.680311704264978</v>
      </c>
      <c r="R67" s="73">
        <f>Commodity!P44*(1+$C$36+$C$37)*$C$23+
$G42*R$48*$C$24*(1+$C$36+$C$37)+
(R$49+R$50)*$C$25+
R$51*$C$26+
R$52*$C$27+
R$53*$C$29</f>
        <v>1.7078345809909719</v>
      </c>
      <c r="S67" s="73">
        <f>Commodity!Q44*(1+$C$36+$C$37)*$C$23+
$G42*S$48*$C$24*(1+$C$36+$C$37)+
(S$49+S$50)*$C$25+
S$51*$C$26+
S$52*$C$27+
S$53*$C$29</f>
        <v>1.7360404057544088</v>
      </c>
      <c r="T67" s="73">
        <f>Commodity!R44*(1+$C$36+$C$37)*$C$23+
$G42*T$48*$C$24*(1+$C$36+$C$37)+
(T$49+T$50)*$C$25+
T$51*$C$26+
T$52*$C$27+
T$53*$C$29</f>
        <v>1.7648358372452515</v>
      </c>
      <c r="U67" s="73">
        <f>Commodity!S44*(1+$C$36+$C$37)*$C$23+
$G42*U$48*$C$24*(1+$C$36+$C$37)+
(U$49+U$50)*$C$25+
U$51*$C$26+
U$52*$C$27+
U$53*$C$29</f>
        <v>1.7941564453804837</v>
      </c>
      <c r="V67" s="73">
        <f>Commodity!T44*(1+$C$36+$C$37)*$C$23+
$G42*V$48*$C$24*(1+$C$36+$C$37)+
(V$49+V$50)*$C$25+
V$51*$C$26+
V$52*$C$27+
V$53*$C$29</f>
        <v>1.8238144595939829</v>
      </c>
      <c r="W67" s="73">
        <f>Commodity!U44*(1+$C$36+$C$37)*$C$23+
$G42*W$48*$C$24*(1+$C$36+$C$37)+
(W$49+W$50)*$C$25+
W$51*$C$26+
W$52*$C$27+
W$53*$C$29</f>
        <v>1.8538477579618364</v>
      </c>
      <c r="X67" s="73">
        <f>Commodity!V44*(1+$C$36+$C$37)*$C$23+
$G42*X$48*$C$24*(1+$C$36+$C$37)+
(X$49+X$50)*$C$25+
X$51*$C$26+
X$52*$C$27+
X$53*$C$29</f>
        <v>1.8842124859552594</v>
      </c>
      <c r="Y67" s="73">
        <f>Commodity!W44*(1+$C$36+$C$37)*$C$23+
$G42*Y$48*$C$24*(1+$C$36+$C$37)+
(Y$49+Y$50)*$C$25+
Y$51*$C$26+
Y$52*$C$27+
Y$53*$C$29</f>
        <v>1.915016760345861</v>
      </c>
      <c r="Z67" s="73">
        <f>Commodity!X44*(1+$C$36+$C$37)*$C$23+
$G42*Z$48*$C$24*(1+$C$36+$C$37)+
(Z$49+Z$50)*$C$25+
Z$51*$C$26+
Z$52*$C$27+
Z$53*$C$29</f>
        <v>1.9462519814396868</v>
      </c>
      <c r="AA67" s="73">
        <f>Commodity!Y44*(1+$C$36+$C$37)*$C$23+
$G42*AA$48*$C$24*(1+$C$36+$C$37)+
(AA$49+AA$50)*$C$25+
AA$51*$C$26+
AA$52*$C$27+
AA$53*$C$29</f>
        <v>1.9778830389232918</v>
      </c>
      <c r="AB67" s="73">
        <f>Commodity!Z44*(1+$C$36+$C$37)*$C$23+
$G42*AB$48*$C$24*(1+$C$36+$C$37)+
(AB$49+AB$50)*$C$25+
AB$51*$C$26+
AB$52*$C$27+
AB$53*$C$29</f>
        <v>2.0099631645381844</v>
      </c>
      <c r="AC67" s="73">
        <f>Commodity!AA44*(1+$C$36+$C$37)*$C$23+
$G42*AC$48*$C$24*(1+$C$36+$C$37)+
(AC$49+AC$50)*$C$25+
AC$51*$C$26+
AC$52*$C$27+
AC$53*$C$29</f>
        <v>2.0425395644933397</v>
      </c>
      <c r="AD67" s="73">
        <f>Commodity!AB44*(1+$C$36+$C$37)*$C$23+
$G42*AD$48*$C$24*(1+$C$36+$C$37)+
(AD$49+AD$50)*$C$25+
AD$51*$C$26+
AD$52*$C$27+
AD$53*$C$29</f>
        <v>2.0756195629342313</v>
      </c>
      <c r="AE67" s="73">
        <f>Commodity!AC44*(1+$C$36+$C$37)*$C$23+
$G42*AE$48*$C$24*(1+$C$36+$C$37)+
(AE$49+AE$50)*$C$25+
AE$51*$C$26+
AE$52*$C$27+
AE$53*$C$29</f>
        <v>2.1091426374744584</v>
      </c>
      <c r="AF67" s="73">
        <f>Commodity!AD44*(1+$C$36+$C$37)*$C$23+
$G42*AF$48*$C$24*(1+$C$36+$C$37)+
(AF$49+AF$50)*$C$25+
AF$51*$C$26+
AF$52*$C$27+
AF$53*$C$29</f>
        <v>2.1430691695723199</v>
      </c>
      <c r="AG67" s="73">
        <f>Commodity!AE44*(1+$C$36+$C$37)*$C$23+
$G42*AG$48*$C$24*(1+$C$36+$C$37)+
(AG$49+AG$50)*$C$25+
AG$51*$C$26+
AG$52*$C$27+
AG$53*$C$29</f>
        <v>2.1753844228998598</v>
      </c>
      <c r="AH67" s="73">
        <f>Commodity!AF44*(1+$C$36+$C$37)*$C$23+
$G42*AH$48*$C$24*(1+$C$36+$C$37)+
(AH$49+AH$50)*$C$25+
AH$51*$C$26+
AH$52*$C$27+
AH$53*$C$29</f>
        <v>2.2088489920815566</v>
      </c>
      <c r="AI67" s="73">
        <f>Commodity!AG44*(1+$C$36+$C$37)*$C$23+
$G42*AI$48*$C$24*(1+$C$36+$C$37)+
(AI$49+AI$50)*$C$25+
AI$51*$C$26+
AI$52*$C$27+
AI$53*$C$29</f>
        <v>2.242326300829685</v>
      </c>
      <c r="AJ67" s="73">
        <f>Commodity!AH44*(1+$C$36+$C$37)*$C$23+
$G42*AJ$48*$C$24*(1+$C$36+$C$37)+
(AJ$49+AJ$50)*$C$25+
AJ$51*$C$26+
AJ$52*$C$27+
AJ$53*$C$29</f>
        <v>2.275722422376397</v>
      </c>
    </row>
    <row r="68" spans="1:36" ht="15" customHeight="1">
      <c r="B68" s="230" t="s">
        <v>65</v>
      </c>
      <c r="C68" s="73">
        <f t="shared" ca="1" si="2"/>
        <v>1.3918063240629635</v>
      </c>
      <c r="E68" s="73">
        <f>Commodity!C45*(1+$C$36+$C$37)*$C$23+
$G43*E$48*$C$24*(1+$C$36+$C$37)+
(E$49+E$50)*$C$25+
E$51*$C$26+
E$52*$C$27+
E$53*$C$29</f>
        <v>1.3688813784218827</v>
      </c>
      <c r="F68" s="73">
        <f>Commodity!D45*(1+$C$36+$C$37)*$C$23+
$G43*F$48*$C$24*(1+$C$36+$C$37)+
(F$49+F$50)*$C$25+
F$51*$C$26+
F$52*$C$27+
F$53*$C$29</f>
        <v>1.3918063240629635</v>
      </c>
      <c r="G68" s="73">
        <f>Commodity!E45*(1+$C$36+$C$37)*$C$23+
$G43*G$48*$C$24*(1+$C$36+$C$37)+
(G$49+G$50)*$C$25+
G$51*$C$26+
G$52*$C$27+
G$53*$C$29</f>
        <v>1.4178953465104402</v>
      </c>
      <c r="H68" s="73">
        <f>Commodity!F45*(1+$C$36+$C$37)*$C$23+
$G43*H$48*$C$24*(1+$C$36+$C$37)+
(H$49+H$50)*$C$25+
H$51*$C$26+
H$52*$C$27+
H$53*$C$29</f>
        <v>1.4434786314217107</v>
      </c>
      <c r="I68" s="73">
        <f>Commodity!G45*(1+$C$36+$C$37)*$C$23+
$G43*I$48*$C$24*(1+$C$36+$C$37)+
(I$49+I$50)*$C$25+
I$51*$C$26+
I$52*$C$27+
I$53*$C$29</f>
        <v>1.468261634735301</v>
      </c>
      <c r="J68" s="73">
        <f>Commodity!H45*(1+$C$36+$C$37)*$C$23+
$G43*J$48*$C$24*(1+$C$36+$C$37)+
(J$49+J$50)*$C$25+
J$51*$C$26+
J$52*$C$27+
J$53*$C$29</f>
        <v>1.4932424467544778</v>
      </c>
      <c r="K68" s="73">
        <f>Commodity!I45*(1+$C$36+$C$37)*$C$23+
$G43*K$48*$C$24*(1+$C$36+$C$37)+
(K$49+K$50)*$C$25+
K$51*$C$26+
K$52*$C$27+
K$53*$C$29</f>
        <v>1.518471430559208</v>
      </c>
      <c r="L68" s="73">
        <f>Commodity!J45*(1+$C$36+$C$37)*$C$23+
$G43*L$48*$C$24*(1+$C$36+$C$37)+
(L$49+L$50)*$C$25+
L$51*$C$26+
L$52*$C$27+
L$53*$C$29</f>
        <v>1.5438706217161884</v>
      </c>
      <c r="M68" s="73">
        <f>Commodity!K45*(1+$C$36+$C$37)*$C$23+
$G43*M$48*$C$24*(1+$C$36+$C$37)+
(M$49+M$50)*$C$25+
M$51*$C$26+
M$52*$C$27+
M$53*$C$29</f>
        <v>1.5695105026743987</v>
      </c>
      <c r="N68" s="73">
        <f>Commodity!L45*(1+$C$36+$C$37)*$C$23+
$G43*N$48*$C$24*(1+$C$36+$C$37)+
(N$49+N$50)*$C$25+
N$51*$C$26+
N$52*$C$27+
N$53*$C$29</f>
        <v>1.5956757634920422</v>
      </c>
      <c r="O68" s="73">
        <f>Commodity!M45*(1+$C$36+$C$37)*$C$23+
$G43*O$48*$C$24*(1+$C$36+$C$37)+
(O$49+O$50)*$C$25+
O$51*$C$26+
O$52*$C$27+
O$53*$C$29</f>
        <v>1.6220844143808399</v>
      </c>
      <c r="P68" s="73">
        <f>Commodity!N45*(1+$C$36+$C$37)*$C$23+
$G43*P$48*$C$24*(1+$C$36+$C$37)+
(P$49+P$50)*$C$25+
P$51*$C$26+
P$52*$C$27+
P$53*$C$29</f>
        <v>1.6491647431682162</v>
      </c>
      <c r="Q68" s="73">
        <f>Commodity!O45*(1+$C$36+$C$37)*$C$23+
$G43*Q$48*$C$24*(1+$C$36+$C$37)+
(Q$49+Q$50)*$C$25+
Q$51*$C$26+
Q$52*$C$27+
Q$53*$C$29</f>
        <v>1.6762165806261158</v>
      </c>
      <c r="R68" s="73">
        <f>Commodity!P45*(1+$C$36+$C$37)*$C$23+
$G43*R$48*$C$24*(1+$C$36+$C$37)+
(R$49+R$50)*$C$25+
R$51*$C$26+
R$52*$C$27+
R$53*$C$29</f>
        <v>1.7036600411806873</v>
      </c>
      <c r="S68" s="73">
        <f>Commodity!Q45*(1+$C$36+$C$37)*$C$23+
$G43*S$48*$C$24*(1+$C$36+$C$37)+
(S$49+S$50)*$C$25+
S$51*$C$26+
S$52*$C$27+
S$53*$C$29</f>
        <v>1.7318036286471785</v>
      </c>
      <c r="T68" s="73">
        <f>Commodity!R45*(1+$C$36+$C$37)*$C$23+
$G43*T$48*$C$24*(1+$C$36+$C$37)+
(T$49+T$50)*$C$25+
T$51*$C$26+
T$52*$C$27+
T$53*$C$29</f>
        <v>1.7605109449330425</v>
      </c>
      <c r="U68" s="73">
        <f>Commodity!S45*(1+$C$36+$C$37)*$C$23+
$G43*U$48*$C$24*(1+$C$36+$C$37)+
(U$49+U$50)*$C$25+
U$51*$C$26+
U$52*$C$27+
U$53*$C$29</f>
        <v>1.7897406690656754</v>
      </c>
      <c r="V68" s="73">
        <f>Commodity!T45*(1+$C$36+$C$37)*$C$23+
$G43*V$48*$C$24*(1+$C$36+$C$37)+
(V$49+V$50)*$C$25+
V$51*$C$26+
V$52*$C$27+
V$53*$C$29</f>
        <v>1.8192859083503117</v>
      </c>
      <c r="W68" s="73">
        <f>Commodity!U45*(1+$C$36+$C$37)*$C$23+
$G43*W$48*$C$24*(1+$C$36+$C$37)+
(W$49+W$50)*$C$25+
W$51*$C$26+
W$52*$C$27+
W$53*$C$29</f>
        <v>1.8492245147574036</v>
      </c>
      <c r="X68" s="73">
        <f>Commodity!V45*(1+$C$36+$C$37)*$C$23+
$G43*X$48*$C$24*(1+$C$36+$C$37)+
(X$49+X$50)*$C$25+
X$51*$C$26+
X$52*$C$27+
X$53*$C$29</f>
        <v>1.8794897196458666</v>
      </c>
      <c r="Y68" s="73">
        <f>Commodity!W45*(1+$C$36+$C$37)*$C$23+
$G43*Y$48*$C$24*(1+$C$36+$C$37)+
(Y$49+Y$50)*$C$25+
Y$51*$C$26+
Y$52*$C$27+
Y$53*$C$29</f>
        <v>1.910193158318763</v>
      </c>
      <c r="Z68" s="73">
        <f>Commodity!X45*(1+$C$36+$C$37)*$C$23+
$G43*Z$48*$C$24*(1+$C$36+$C$37)+
(Z$49+Z$50)*$C$25+
Z$51*$C$26+
Z$52*$C$27+
Z$53*$C$29</f>
        <v>1.9413231365683548</v>
      </c>
      <c r="AA68" s="73">
        <f>Commodity!Y45*(1+$C$36+$C$37)*$C$23+
$G43*AA$48*$C$24*(1+$C$36+$C$37)+
(AA$49+AA$50)*$C$25+
AA$51*$C$26+
AA$52*$C$27+
AA$53*$C$29</f>
        <v>1.9728492997652807</v>
      </c>
      <c r="AB68" s="73">
        <f>Commodity!Z45*(1+$C$36+$C$37)*$C$23+
$G43*AB$48*$C$24*(1+$C$36+$C$37)+
(AB$49+AB$50)*$C$25+
AB$51*$C$26+
AB$52*$C$27+
AB$53*$C$29</f>
        <v>2.0048191179758175</v>
      </c>
      <c r="AC68" s="73">
        <f>Commodity!AA45*(1+$C$36+$C$37)*$C$23+
$G43*AC$48*$C$24*(1+$C$36+$C$37)+
(AC$49+AC$50)*$C$25+
AC$51*$C$26+
AC$52*$C$27+
AC$53*$C$29</f>
        <v>2.0372856285364782</v>
      </c>
      <c r="AD68" s="73">
        <f>Commodity!AB45*(1+$C$36+$C$37)*$C$23+
$G43*AD$48*$C$24*(1+$C$36+$C$37)+
(AD$49+AD$50)*$C$25+
AD$51*$C$26+
AD$52*$C$27+
AD$53*$C$29</f>
        <v>2.0702509248160199</v>
      </c>
      <c r="AE68" s="73">
        <f>Commodity!AC45*(1+$C$36+$C$37)*$C$23+
$G43*AE$48*$C$24*(1+$C$36+$C$37)+
(AE$49+AE$50)*$C$25+
AE$51*$C$26+
AE$52*$C$27+
AE$53*$C$29</f>
        <v>2.103657835000643</v>
      </c>
      <c r="AF68" s="73">
        <f>Commodity!AD45*(1+$C$36+$C$37)*$C$23+
$G43*AF$48*$C$24*(1+$C$36+$C$37)+
(AF$49+AF$50)*$C$25+
AF$51*$C$26+
AF$52*$C$27+
AF$53*$C$29</f>
        <v>2.1374641289217804</v>
      </c>
      <c r="AG68" s="73">
        <f>Commodity!AE45*(1+$C$36+$C$37)*$C$23+
$G43*AG$48*$C$24*(1+$C$36+$C$37)+
(AG$49+AG$50)*$C$25+
AG$51*$C$26+
AG$52*$C$27+
AG$53*$C$29</f>
        <v>2.1696710648701365</v>
      </c>
      <c r="AH68" s="73">
        <f>Commodity!AF45*(1+$C$36+$C$37)*$C$23+
$G43*AH$48*$C$24*(1+$C$36+$C$37)+
(AH$49+AH$50)*$C$25+
AH$51*$C$26+
AH$52*$C$27+
AH$53*$C$29</f>
        <v>2.2030163715268358</v>
      </c>
      <c r="AI68" s="73">
        <f>Commodity!AG45*(1+$C$36+$C$37)*$C$23+
$G43*AI$48*$C$24*(1+$C$36+$C$37)+
(AI$49+AI$50)*$C$25+
AI$51*$C$26+
AI$52*$C$27+
AI$53*$C$29</f>
        <v>2.2363869532726977</v>
      </c>
      <c r="AJ68" s="73">
        <f>Commodity!AH45*(1+$C$36+$C$37)*$C$23+
$G43*AJ$48*$C$24*(1+$C$36+$C$37)+
(AJ$49+AJ$50)*$C$25+
AJ$51*$C$26+
AJ$52*$C$27+
AJ$53*$C$29</f>
        <v>2.2696688524212911</v>
      </c>
    </row>
    <row r="69" spans="1:36" ht="15" customHeight="1">
      <c r="B69" s="230" t="s">
        <v>66</v>
      </c>
      <c r="C69" s="73">
        <f t="shared" ca="1" si="2"/>
        <v>1.9181294544627305</v>
      </c>
      <c r="E69" s="73">
        <f>Commodity!C46*(1+$C$36+$C$37)*$C$23+
$G44*E$48*$C$24*(1+$C$36+$C$37)+
(E$49+E$50)*$C$25+
E$51*$C$26+
E$52*$C$27+
E$53*$C$29</f>
        <v>1.8931246536767912</v>
      </c>
      <c r="F69" s="73">
        <f>Commodity!D46*(1+$C$36+$C$37)*$C$23+
$G44*F$48*$C$24*(1+$C$36+$C$37)+
(F$49+F$50)*$C$25+
F$51*$C$26+
F$52*$C$27+
F$53*$C$29</f>
        <v>1.9181294544627305</v>
      </c>
      <c r="G69" s="73">
        <f>Commodity!E46*(1+$C$36+$C$37)*$C$23+
$G44*G$48*$C$24*(1+$C$36+$C$37)+
(G$49+G$50)*$C$25+
G$51*$C$26+
G$52*$C$27+
G$53*$C$29</f>
        <v>1.9649449348031083</v>
      </c>
      <c r="H69" s="73">
        <f>Commodity!F46*(1+$C$36+$C$37)*$C$23+
$G44*H$48*$C$24*(1+$C$36+$C$37)+
(H$49+H$50)*$C$25+
H$51*$C$26+
H$52*$C$27+
H$53*$C$29</f>
        <v>2.0014945154265789</v>
      </c>
      <c r="I69" s="73">
        <f>Commodity!G46*(1+$C$36+$C$37)*$C$23+
$G44*I$48*$C$24*(1+$C$36+$C$37)+
(I$49+I$50)*$C$25+
I$51*$C$26+
I$52*$C$27+
I$53*$C$29</f>
        <v>2.0374436305586534</v>
      </c>
      <c r="J69" s="73">
        <f>Commodity!H46*(1+$C$36+$C$37)*$C$23+
$G44*J$48*$C$24*(1+$C$36+$C$37)+
(J$49+J$50)*$C$25+
J$51*$C$26+
J$52*$C$27+
J$53*$C$29</f>
        <v>2.0738337694472206</v>
      </c>
      <c r="K69" s="73">
        <f>Commodity!I46*(1+$C$36+$C$37)*$C$23+
$G44*K$48*$C$24*(1+$C$36+$C$37)+
(K$49+K$50)*$C$25+
K$51*$C$26+
K$52*$C$27+
K$53*$C$29</f>
        <v>2.1106935797664397</v>
      </c>
      <c r="L69" s="73">
        <f>Commodity!J46*(1+$C$36+$C$37)*$C$23+
$G44*L$48*$C$24*(1+$C$36+$C$37)+
(L$49+L$50)*$C$25+
L$51*$C$26+
L$52*$C$27+
L$53*$C$29</f>
        <v>2.1479374750821139</v>
      </c>
      <c r="M69" s="73">
        <f>Commodity!K46*(1+$C$36+$C$37)*$C$23+
$G44*M$48*$C$24*(1+$C$36+$C$37)+
(M$49+M$50)*$C$25+
M$51*$C$26+
M$52*$C$27+
M$53*$C$29</f>
        <v>2.1856645648068307</v>
      </c>
      <c r="N69" s="73">
        <f>Commodity!L46*(1+$C$36+$C$37)*$C$23+
$G44*N$48*$C$24*(1+$C$36+$C$37)+
(N$49+N$50)*$C$25+
N$51*$C$26+
N$52*$C$27+
N$53*$C$29</f>
        <v>2.2241875312123263</v>
      </c>
      <c r="O69" s="73">
        <f>Commodity!M46*(1+$C$36+$C$37)*$C$23+
$G44*O$48*$C$24*(1+$C$36+$C$37)+
(O$49+O$50)*$C$25+
O$51*$C$26+
O$52*$C$27+
O$53*$C$29</f>
        <v>2.263162315413572</v>
      </c>
      <c r="P69" s="73">
        <f>Commodity!N46*(1+$C$36+$C$37)*$C$23+
$G44*P$48*$C$24*(1+$C$36+$C$37)+
(P$49+P$50)*$C$25+
P$51*$C$26+
P$52*$C$27+
P$53*$C$29</f>
        <v>2.3031328333812109</v>
      </c>
      <c r="Q69" s="73">
        <f>Commodity!O46*(1+$C$36+$C$37)*$C$23+
$G44*Q$48*$C$24*(1+$C$36+$C$37)+
(Q$49+Q$50)*$C$25+
Q$51*$C$26+
Q$52*$C$27+
Q$53*$C$29</f>
        <v>2.3432367394830069</v>
      </c>
      <c r="R69" s="73">
        <f>Commodity!P46*(1+$C$36+$C$37)*$C$23+
$G44*R$48*$C$24*(1+$C$36+$C$37)+
(R$49+R$50)*$C$25+
R$51*$C$26+
R$52*$C$27+
R$53*$C$29</f>
        <v>2.3840559331012212</v>
      </c>
      <c r="S69" s="73">
        <f>Commodity!Q46*(1+$C$36+$C$37)*$C$23+
$G44*S$48*$C$24*(1+$C$36+$C$37)+
(S$49+S$50)*$C$25+
S$51*$C$26+
S$52*$C$27+
S$53*$C$29</f>
        <v>2.4258850346526408</v>
      </c>
      <c r="T69" s="73">
        <f>Commodity!R46*(1+$C$36+$C$37)*$C$23+
$G44*T$48*$C$24*(1+$C$36+$C$37)+
(T$49+T$50)*$C$25+
T$51*$C$26+
T$52*$C$27+
T$53*$C$29</f>
        <v>2.4685402114052843</v>
      </c>
      <c r="U69" s="73">
        <f>Commodity!S46*(1+$C$36+$C$37)*$C$23+
$G44*U$48*$C$24*(1+$C$36+$C$37)+
(U$49+U$50)*$C$25+
U$51*$C$26+
U$52*$C$27+
U$53*$C$29</f>
        <v>2.5120071252364342</v>
      </c>
      <c r="V69" s="73">
        <f>Commodity!T46*(1+$C$36+$C$37)*$C$23+
$G44*V$48*$C$24*(1+$C$36+$C$37)+
(V$49+V$50)*$C$25+
V$51*$C$26+
V$52*$C$27+
V$53*$C$29</f>
        <v>2.5560527175993588</v>
      </c>
      <c r="W69" s="73">
        <f>Commodity!U46*(1+$C$36+$C$37)*$C$23+
$G44*W$48*$C$24*(1+$C$36+$C$37)+
(W$49+W$50)*$C$25+
W$51*$C$26+
W$52*$C$27+
W$53*$C$29</f>
        <v>2.6008062407624051</v>
      </c>
      <c r="X69" s="73">
        <f>Commodity!V46*(1+$C$36+$C$37)*$C$23+
$G44*X$48*$C$24*(1+$C$36+$C$37)+
(X$49+X$50)*$C$25+
X$51*$C$26+
X$52*$C$27+
X$53*$C$29</f>
        <v>2.6461787894567053</v>
      </c>
      <c r="Y69" s="73">
        <f>Commodity!W46*(1+$C$36+$C$37)*$C$23+
$G44*Y$48*$C$24*(1+$C$36+$C$37)+
(Y$49+Y$50)*$C$25+
Y$51*$C$26+
Y$52*$C$27+
Y$53*$C$29</f>
        <v>2.6922974503933417</v>
      </c>
      <c r="Z69" s="73">
        <f>Commodity!X46*(1+$C$36+$C$37)*$C$23+
$G44*Z$48*$C$24*(1+$C$36+$C$37)+
(Z$49+Z$50)*$C$25+
Z$51*$C$26+
Z$52*$C$27+
Z$53*$C$29</f>
        <v>2.7391523503548258</v>
      </c>
      <c r="AA69" s="73">
        <f>Commodity!Y46*(1+$C$36+$C$37)*$C$23+
$G44*AA$48*$C$24*(1+$C$36+$C$37)+
(AA$49+AA$50)*$C$25+
AA$51*$C$26+
AA$52*$C$27+
AA$53*$C$29</f>
        <v>2.786722225916626</v>
      </c>
      <c r="AB69" s="73">
        <f>Commodity!Z46*(1+$C$36+$C$37)*$C$23+
$G44*AB$48*$C$24*(1+$C$36+$C$37)+
(AB$49+AB$50)*$C$25+
AB$51*$C$26+
AB$52*$C$27+
AB$53*$C$29</f>
        <v>2.8350570973893108</v>
      </c>
      <c r="AC69" s="73">
        <f>Commodity!AA46*(1+$C$36+$C$37)*$C$23+
$G44*AC$48*$C$24*(1+$C$36+$C$37)+
(AC$49+AC$50)*$C$25+
AC$51*$C$26+
AC$52*$C$27+
AC$53*$C$29</f>
        <v>2.8842250764800981</v>
      </c>
      <c r="AD69" s="73">
        <f>Commodity!AB46*(1+$C$36+$C$37)*$C$23+
$G44*AD$48*$C$24*(1+$C$36+$C$37)+
(AD$49+AD$50)*$C$25+
AD$51*$C$26+
AD$52*$C$27+
AD$53*$C$29</f>
        <v>2.9342290830498472</v>
      </c>
      <c r="AE69" s="73">
        <f>Commodity!AC46*(1+$C$36+$C$37)*$C$23+
$G44*AE$48*$C$24*(1+$C$36+$C$37)+
(AE$49+AE$50)*$C$25+
AE$51*$C$26+
AE$52*$C$27+
AE$53*$C$29</f>
        <v>2.9850185617828258</v>
      </c>
      <c r="AF69" s="73">
        <f>Commodity!AD46*(1+$C$36+$C$37)*$C$23+
$G44*AF$48*$C$24*(1+$C$36+$C$37)+
(AF$49+AF$50)*$C$25+
AF$51*$C$26+
AF$52*$C$27+
AF$53*$C$29</f>
        <v>3.0365526323720085</v>
      </c>
      <c r="AG69" s="73">
        <f>Commodity!AE46*(1+$C$36+$C$37)*$C$23+
$G44*AG$48*$C$24*(1+$C$36+$C$37)+
(AG$49+AG$50)*$C$25+
AG$51*$C$26+
AG$52*$C$27+
AG$53*$C$29</f>
        <v>3.0867449094741573</v>
      </c>
      <c r="AH69" s="73">
        <f>Commodity!AF46*(1+$C$36+$C$37)*$C$23+
$G44*AH$48*$C$24*(1+$C$36+$C$37)+
(AH$49+AH$50)*$C$25+
AH$51*$C$26+
AH$52*$C$27+
AH$53*$C$29</f>
        <v>3.1384678135246364</v>
      </c>
      <c r="AI69" s="73">
        <f>Commodity!AG46*(1+$C$36+$C$37)*$C$23+
$G44*AI$48*$C$24*(1+$C$36+$C$37)+
(AI$49+AI$50)*$C$25+
AI$51*$C$26+
AI$52*$C$27+
AI$53*$C$29</f>
        <v>3.1905778121077137</v>
      </c>
      <c r="AJ69" s="73">
        <f>Commodity!AH46*(1+$C$36+$C$37)*$C$23+
$G44*AJ$48*$C$24*(1+$C$36+$C$37)+
(AJ$49+AJ$50)*$C$25+
AJ$51*$C$26+
AJ$52*$C$27+
AJ$53*$C$29</f>
        <v>3.2429406709114343</v>
      </c>
    </row>
    <row r="70" spans="1:36" ht="15" customHeight="1">
      <c r="B70" s="231" t="s">
        <v>67</v>
      </c>
      <c r="C70" s="73">
        <f t="shared" ca="1" si="2"/>
        <v>1.9229842048927597</v>
      </c>
      <c r="E70" s="73">
        <f>Commodity!C47*(1+$C$36+$C$37)*$C$23+
$G45*E$48*$C$24*(1+$C$36+$C$37)+
(E$49+E$50)*$C$25+
E$51*$C$26+
E$52*$C$27+
E$53*$C$29</f>
        <v>1.8963377555425818</v>
      </c>
      <c r="F70" s="73">
        <f>Commodity!D47*(1+$C$36+$C$37)*$C$23+
$G45*F$48*$C$24*(1+$C$36+$C$37)+
(F$49+F$50)*$C$25+
F$51*$C$26+
F$52*$C$27+
F$53*$C$29</f>
        <v>1.9229842048927597</v>
      </c>
      <c r="G70" s="73">
        <f>Commodity!E47*(1+$C$36+$C$37)*$C$23+
$G45*G$48*$C$24*(1+$C$36+$C$37)+
(G$49+G$50)*$C$25+
G$51*$C$26+
G$52*$C$27+
G$53*$C$29</f>
        <v>1.9697677197744223</v>
      </c>
      <c r="H70" s="73">
        <f>Commodity!F47*(1+$C$36+$C$37)*$C$23+
$G45*H$48*$C$24*(1+$C$36+$C$37)+
(H$49+H$50)*$C$25+
H$51*$C$26+
H$52*$C$27+
H$53*$C$29</f>
        <v>2.0063843146887925</v>
      </c>
      <c r="I70" s="73">
        <f>Commodity!G47*(1+$C$36+$C$37)*$C$23+
$G45*I$48*$C$24*(1+$C$36+$C$37)+
(I$49+I$50)*$C$25+
I$51*$C$26+
I$52*$C$27+
I$53*$C$29</f>
        <v>2.0424260134692602</v>
      </c>
      <c r="J70" s="73">
        <f>Commodity!H47*(1+$C$36+$C$37)*$C$23+
$G45*J$48*$C$24*(1+$C$36+$C$37)+
(J$49+J$50)*$C$25+
J$51*$C$26+
J$52*$C$27+
J$53*$C$29</f>
        <v>2.0789324824630322</v>
      </c>
      <c r="K70" s="73">
        <f>Commodity!I47*(1+$C$36+$C$37)*$C$23+
$G45*K$48*$C$24*(1+$C$36+$C$37)+
(K$49+K$50)*$C$25+
K$51*$C$26+
K$52*$C$27+
K$53*$C$29</f>
        <v>2.1159038956223886</v>
      </c>
      <c r="L70" s="73">
        <f>Commodity!J47*(1+$C$36+$C$37)*$C$23+
$G45*L$48*$C$24*(1+$C$36+$C$37)+
(L$49+L$50)*$C$25+
L$51*$C$26+
L$52*$C$27+
L$53*$C$29</f>
        <v>2.1532457902275528</v>
      </c>
      <c r="M70" s="73">
        <f>Commodity!K47*(1+$C$36+$C$37)*$C$23+
$G45*M$48*$C$24*(1+$C$36+$C$37)+
(M$49+M$50)*$C$25+
M$51*$C$26+
M$52*$C$27+
M$53*$C$29</f>
        <v>2.1910789439176122</v>
      </c>
      <c r="N70" s="73">
        <f>Commodity!L47*(1+$C$36+$C$37)*$C$23+
$G45*N$48*$C$24*(1+$C$36+$C$37)+
(N$49+N$50)*$C$25+
N$51*$C$26+
N$52*$C$27+
N$53*$C$29</f>
        <v>2.2297280219586026</v>
      </c>
      <c r="O70" s="73">
        <f>Commodity!M47*(1+$C$36+$C$37)*$C$23+
$G45*O$48*$C$24*(1+$C$36+$C$37)+
(O$49+O$50)*$C$25+
O$51*$C$26+
O$52*$C$27+
O$53*$C$29</f>
        <v>2.2687930181980729</v>
      </c>
      <c r="P70" s="73">
        <f>Commodity!N47*(1+$C$36+$C$37)*$C$23+
$G45*P$48*$C$24*(1+$C$36+$C$37)+
(P$49+P$50)*$C$25+
P$51*$C$26+
P$52*$C$27+
P$53*$C$29</f>
        <v>2.30891269999591</v>
      </c>
      <c r="Q70" s="73">
        <f>Commodity!O47*(1+$C$36+$C$37)*$C$23+
$G45*Q$48*$C$24*(1+$C$36+$C$37)+
(Q$49+Q$50)*$C$25+
Q$51*$C$26+
Q$52*$C$27+
Q$53*$C$29</f>
        <v>2.349084333795421</v>
      </c>
      <c r="R70" s="73">
        <f>Commodity!P47*(1+$C$36+$C$37)*$C$23+
$G45*R$48*$C$24*(1+$C$36+$C$37)+
(R$49+R$50)*$C$25+
R$51*$C$26+
R$52*$C$27+
R$53*$C$29</f>
        <v>2.3900317231981596</v>
      </c>
      <c r="S70" s="73">
        <f>Commodity!Q47*(1+$C$36+$C$37)*$C$23+
$G45*S$48*$C$24*(1+$C$36+$C$37)+
(S$49+S$50)*$C$25+
S$51*$C$26+
S$52*$C$27+
S$53*$C$29</f>
        <v>2.4320174485202797</v>
      </c>
      <c r="T70" s="73">
        <f>Commodity!R47*(1+$C$36+$C$37)*$C$23+
$G45*T$48*$C$24*(1+$C$36+$C$37)+
(T$49+T$50)*$C$25+
T$51*$C$26+
T$52*$C$27+
T$53*$C$29</f>
        <v>2.4748100325668685</v>
      </c>
      <c r="U70" s="73">
        <f>Commodity!S47*(1+$C$36+$C$37)*$C$23+
$G45*U$48*$C$24*(1+$C$36+$C$37)+
(U$49+U$50)*$C$25+
U$51*$C$26+
U$52*$C$27+
U$53*$C$29</f>
        <v>2.5184190380151481</v>
      </c>
      <c r="V70" s="73">
        <f>Commodity!T47*(1+$C$36+$C$37)*$C$23+
$G45*V$48*$C$24*(1+$C$36+$C$37)+
(V$49+V$50)*$C$25+
V$51*$C$26+
V$52*$C$27+
V$53*$C$29</f>
        <v>2.5625881124666936</v>
      </c>
      <c r="W70" s="73">
        <f>Commodity!U47*(1+$C$36+$C$37)*$C$23+
$G45*W$48*$C$24*(1+$C$36+$C$37)+
(W$49+W$50)*$C$25+
W$51*$C$26+
W$52*$C$27+
W$53*$C$29</f>
        <v>2.607490029747165</v>
      </c>
      <c r="X70" s="73">
        <f>Commodity!V47*(1+$C$36+$C$37)*$C$23+
$G45*X$48*$C$24*(1+$C$36+$C$37)+
(X$49+X$50)*$C$25+
X$51*$C$26+
X$52*$C$27+
X$53*$C$29</f>
        <v>2.6530106138843519</v>
      </c>
      <c r="Y70" s="73">
        <f>Commodity!W47*(1+$C$36+$C$37)*$C$23+
$G45*Y$48*$C$24*(1+$C$36+$C$37)+
(Y$49+Y$50)*$C$25+
Y$51*$C$26+
Y$52*$C$27+
Y$53*$C$29</f>
        <v>2.6992823108199211</v>
      </c>
      <c r="Z70" s="73">
        <f>Commodity!X47*(1+$C$36+$C$37)*$C$23+
$G45*Z$48*$C$24*(1+$C$36+$C$37)+
(Z$49+Z$50)*$C$25+
Z$51*$C$26+
Z$52*$C$27+
Z$53*$C$29</f>
        <v>2.7462917955171964</v>
      </c>
      <c r="AA70" s="73">
        <f>Commodity!Y47*(1+$C$36+$C$37)*$C$23+
$G45*AA$48*$C$24*(1+$C$36+$C$37)+
(AA$49+AA$50)*$C$25+
AA$51*$C$26+
AA$52*$C$27+
AA$53*$C$29</f>
        <v>2.7940224044250339</v>
      </c>
      <c r="AB70" s="73">
        <f>Commodity!Z47*(1+$C$36+$C$37)*$C$23+
$G45*AB$48*$C$24*(1+$C$36+$C$37)+
(AB$49+AB$50)*$C$25+
AB$51*$C$26+
AB$52*$C$27+
AB$53*$C$29</f>
        <v>2.8425187409443176</v>
      </c>
      <c r="AC70" s="73">
        <f>Commodity!AA47*(1+$C$36+$C$37)*$C$23+
$G45*AC$48*$C$24*(1+$C$36+$C$37)+
(AC$49+AC$50)*$C$25+
AC$51*$C$26+
AC$52*$C$27+
AC$53*$C$29</f>
        <v>2.891855873403725</v>
      </c>
      <c r="AD70" s="73">
        <f>Commodity!AB47*(1+$C$36+$C$37)*$C$23+
$G45*AD$48*$C$24*(1+$C$36+$C$37)+
(AD$49+AD$50)*$C$25+
AD$51*$C$26+
AD$52*$C$27+
AD$53*$C$29</f>
        <v>2.9420312057927891</v>
      </c>
      <c r="AE70" s="73">
        <f>Commodity!AC47*(1+$C$36+$C$37)*$C$23+
$G45*AE$48*$C$24*(1+$C$36+$C$37)+
(AE$49+AE$50)*$C$25+
AE$51*$C$26+
AE$52*$C$27+
AE$53*$C$29</f>
        <v>2.9929969015984499</v>
      </c>
      <c r="AF70" s="73">
        <f>Commodity!AD47*(1+$C$36+$C$37)*$C$23+
$G45*AF$48*$C$24*(1+$C$36+$C$37)+
(AF$49+AF$50)*$C$25+
AF$51*$C$26+
AF$52*$C$27+
AF$53*$C$29</f>
        <v>3.0447086953011695</v>
      </c>
      <c r="AG70" s="73">
        <f>Commodity!AE47*(1+$C$36+$C$37)*$C$23+
$G45*AG$48*$C$24*(1+$C$36+$C$37)+
(AG$49+AG$50)*$C$25+
AG$51*$C$26+
AG$52*$C$27+
AG$53*$C$29</f>
        <v>3.0950680063140288</v>
      </c>
      <c r="AH70" s="73">
        <f>Commodity!AF47*(1+$C$36+$C$37)*$C$23+
$G45*AH$48*$C$24*(1+$C$36+$C$37)+
(AH$49+AH$50)*$C$25+
AH$51*$C$26+
AH$52*$C$27+
AH$53*$C$29</f>
        <v>3.1469629437308591</v>
      </c>
      <c r="AI70" s="73">
        <f>Commodity!AG47*(1+$C$36+$C$37)*$C$23+
$G45*AI$48*$C$24*(1+$C$36+$C$37)+
(AI$49+AI$50)*$C$25+
AI$51*$C$26+
AI$52*$C$27+
AI$53*$C$29</f>
        <v>3.1992586362874995</v>
      </c>
      <c r="AJ70" s="73">
        <f>Commodity!AH47*(1+$C$36+$C$37)*$C$23+
$G45*AJ$48*$C$24*(1+$C$36+$C$37)+
(AJ$49+AJ$50)*$C$25+
AJ$51*$C$26+
AJ$52*$C$27+
AJ$53*$C$29</f>
        <v>3.2517979478057497</v>
      </c>
    </row>
    <row r="71" spans="1:36" ht="15" customHeight="1">
      <c r="C71" s="90"/>
    </row>
    <row r="72" spans="1:36" ht="15" customHeight="1">
      <c r="B72" s="91" t="s">
        <v>76</v>
      </c>
      <c r="C72" s="92">
        <f>MATCH($C$14,$E$58:$AJ$58,0)-1</f>
        <v>1</v>
      </c>
      <c r="E72" s="56"/>
    </row>
    <row r="73" spans="1:36" ht="15" customHeight="1">
      <c r="C73" s="53"/>
      <c r="D73" s="53"/>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row>
    <row r="74" spans="1:36" s="61" customFormat="1" ht="15" customHeight="1">
      <c r="B74" s="59" t="s">
        <v>77</v>
      </c>
    </row>
    <row r="75" spans="1:36" ht="15" customHeight="1">
      <c r="E75" s="202"/>
      <c r="F75" s="202"/>
      <c r="G75" s="202"/>
      <c r="H75" s="202"/>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c r="AG75" s="202"/>
      <c r="AH75" s="202"/>
      <c r="AI75" s="202"/>
      <c r="AJ75" s="202"/>
    </row>
    <row r="76" spans="1:36" ht="15" customHeight="1">
      <c r="B76" s="330" t="s">
        <v>78</v>
      </c>
      <c r="C76" s="29" t="s">
        <v>75</v>
      </c>
      <c r="E76" s="29">
        <f>E$47</f>
        <v>2023</v>
      </c>
      <c r="F76" s="29">
        <f t="shared" ref="F76:AJ76" si="3">F$47</f>
        <v>2024</v>
      </c>
      <c r="G76" s="29">
        <f t="shared" si="3"/>
        <v>2025</v>
      </c>
      <c r="H76" s="29">
        <f t="shared" si="3"/>
        <v>2026</v>
      </c>
      <c r="I76" s="29">
        <f t="shared" si="3"/>
        <v>2027</v>
      </c>
      <c r="J76" s="29">
        <f t="shared" si="3"/>
        <v>2028</v>
      </c>
      <c r="K76" s="29">
        <f t="shared" si="3"/>
        <v>2029</v>
      </c>
      <c r="L76" s="29">
        <f t="shared" si="3"/>
        <v>2030</v>
      </c>
      <c r="M76" s="29">
        <f t="shared" si="3"/>
        <v>2031</v>
      </c>
      <c r="N76" s="29">
        <f t="shared" si="3"/>
        <v>2032</v>
      </c>
      <c r="O76" s="29">
        <f t="shared" si="3"/>
        <v>2033</v>
      </c>
      <c r="P76" s="29">
        <f t="shared" si="3"/>
        <v>2034</v>
      </c>
      <c r="Q76" s="29">
        <f t="shared" si="3"/>
        <v>2035</v>
      </c>
      <c r="R76" s="29">
        <f t="shared" si="3"/>
        <v>2036</v>
      </c>
      <c r="S76" s="29">
        <f t="shared" si="3"/>
        <v>2037</v>
      </c>
      <c r="T76" s="29">
        <f t="shared" si="3"/>
        <v>2038</v>
      </c>
      <c r="U76" s="29">
        <f t="shared" si="3"/>
        <v>2039</v>
      </c>
      <c r="V76" s="29">
        <f t="shared" si="3"/>
        <v>2040</v>
      </c>
      <c r="W76" s="29">
        <f t="shared" si="3"/>
        <v>2041</v>
      </c>
      <c r="X76" s="29">
        <f t="shared" si="3"/>
        <v>2042</v>
      </c>
      <c r="Y76" s="29">
        <f t="shared" si="3"/>
        <v>2043</v>
      </c>
      <c r="Z76" s="29">
        <f t="shared" si="3"/>
        <v>2044</v>
      </c>
      <c r="AA76" s="29">
        <f t="shared" si="3"/>
        <v>2045</v>
      </c>
      <c r="AB76" s="29">
        <f t="shared" si="3"/>
        <v>2046</v>
      </c>
      <c r="AC76" s="29">
        <f t="shared" si="3"/>
        <v>2047</v>
      </c>
      <c r="AD76" s="29">
        <f t="shared" si="3"/>
        <v>2048</v>
      </c>
      <c r="AE76" s="29">
        <f t="shared" si="3"/>
        <v>2049</v>
      </c>
      <c r="AF76" s="29">
        <f t="shared" si="3"/>
        <v>2050</v>
      </c>
      <c r="AG76" s="29">
        <f t="shared" si="3"/>
        <v>2051</v>
      </c>
      <c r="AH76" s="29">
        <f t="shared" si="3"/>
        <v>2052</v>
      </c>
      <c r="AI76" s="29">
        <f t="shared" si="3"/>
        <v>2053</v>
      </c>
      <c r="AJ76" s="29">
        <f t="shared" si="3"/>
        <v>2054</v>
      </c>
    </row>
    <row r="77" spans="1:36" ht="15" customHeight="1">
      <c r="A77" s="90"/>
      <c r="B77" s="230" t="s">
        <v>53</v>
      </c>
      <c r="C77" s="331">
        <f ca="1">-PMT($C$17,$C$15,NPV($C$17,OFFSET(E77,0,$C$72,1,$C$15))) * (1+$C$20)^($C$19-$C$14)</f>
        <v>0.58690490038944421</v>
      </c>
      <c r="E77" s="331">
        <f>Commodity!C36*(1+$C$36+$C$37)*$C$23</f>
        <v>0.58876031854334254</v>
      </c>
      <c r="F77" s="331">
        <f>Commodity!D36*(1+$C$36+$C$37)*$C$23</f>
        <v>0.58690490038944421</v>
      </c>
      <c r="G77" s="331">
        <f>Commodity!E36*(1+$C$36+$C$37)*$C$23</f>
        <v>0.60216494050314306</v>
      </c>
      <c r="H77" s="331">
        <f>Commodity!F36*(1+$C$36+$C$37)*$C$23</f>
        <v>0.61596774084034922</v>
      </c>
      <c r="I77" s="331">
        <f>Commodity!G36*(1+$C$36+$C$37)*$C$23</f>
        <v>0.62863483971446421</v>
      </c>
      <c r="J77" s="331">
        <f>Commodity!H36*(1+$C$36+$C$37)*$C$23</f>
        <v>0.64131418179268895</v>
      </c>
      <c r="K77" s="331">
        <f>Commodity!I36*(1+$C$36+$C$37)*$C$23</f>
        <v>0.6543171202473701</v>
      </c>
      <c r="L77" s="331">
        <f>Commodity!J36*(1+$C$36+$C$37)*$C$23</f>
        <v>0.66763451529844575</v>
      </c>
      <c r="M77" s="331">
        <f>Commodity!K36*(1+$C$36+$C$37)*$C$23</f>
        <v>0.68115280057253613</v>
      </c>
      <c r="N77" s="331">
        <f>Commodity!L36*(1+$C$36+$C$37)*$C$23</f>
        <v>0.69508776745874012</v>
      </c>
      <c r="O77" s="331">
        <f>Commodity!M36*(1+$C$36+$C$37)*$C$23</f>
        <v>0.70961925556961214</v>
      </c>
      <c r="P77" s="331">
        <f>Commodity!N36*(1+$C$36+$C$37)*$C$23</f>
        <v>0.72438591696637966</v>
      </c>
      <c r="Q77" s="331">
        <f>Commodity!O36*(1+$C$36+$C$37)*$C$23</f>
        <v>0.73984744006838854</v>
      </c>
      <c r="R77" s="331">
        <f>Commodity!P36*(1+$C$36+$C$37)*$C$23</f>
        <v>0.75521306172706237</v>
      </c>
      <c r="S77" s="331">
        <f>Commodity!Q36*(1+$C$36+$C$37)*$C$23</f>
        <v>0.77111866873281731</v>
      </c>
      <c r="T77" s="331">
        <f>Commodity!R36*(1+$C$36+$C$37)*$C$23</f>
        <v>0.78783503925708964</v>
      </c>
      <c r="U77" s="331">
        <f>Commodity!S36*(1+$C$36+$C$37)*$C$23</f>
        <v>0.80510190526984571</v>
      </c>
      <c r="V77" s="331">
        <f>Commodity!T36*(1+$C$36+$C$37)*$C$23</f>
        <v>0.82289268240424496</v>
      </c>
      <c r="W77" s="331">
        <f>Commodity!U36*(1+$C$36+$C$37)*$C$23</f>
        <v>0.84090702556082386</v>
      </c>
      <c r="X77" s="331">
        <f>Commodity!V36*(1+$C$36+$C$37)*$C$23</f>
        <v>0.85929487947791605</v>
      </c>
      <c r="Y77" s="331">
        <f>Commodity!W36*(1+$C$36+$C$37)*$C$23</f>
        <v>0.87813496584269735</v>
      </c>
      <c r="Z77" s="331">
        <f>Commodity!X36*(1+$C$36+$C$37)*$C$23</f>
        <v>0.89744484764281507</v>
      </c>
      <c r="AA77" s="331">
        <f>Commodity!Y36*(1+$C$36+$C$37)*$C$23</f>
        <v>0.91714903424345107</v>
      </c>
      <c r="AB77" s="331">
        <f>Commodity!Z36*(1+$C$36+$C$37)*$C$23</f>
        <v>0.93734971786899235</v>
      </c>
      <c r="AC77" s="331">
        <f>Commodity!AA36*(1+$C$36+$C$37)*$C$23</f>
        <v>0.95804491636104938</v>
      </c>
      <c r="AD77" s="331">
        <f>Commodity!AB36*(1+$C$36+$C$37)*$C$23</f>
        <v>0.97928625601453412</v>
      </c>
      <c r="AE77" s="331">
        <f>Commodity!AC36*(1+$C$36+$C$37)*$C$23</f>
        <v>1.0009846366015362</v>
      </c>
      <c r="AF77" s="331">
        <f>Commodity!AD36*(1+$C$36+$C$37)*$C$23</f>
        <v>1.0231224036875008</v>
      </c>
      <c r="AG77" s="331">
        <f>Commodity!AE36*(1+$C$36+$C$37)*$C$23</f>
        <v>1.0435422132178349</v>
      </c>
      <c r="AH77" s="331">
        <f>Commodity!AF36*(1+$C$36+$C$37)*$C$23</f>
        <v>1.065208103196591</v>
      </c>
      <c r="AI77" s="331">
        <f>Commodity!AG36*(1+$C$36+$C$37)*$C$23</f>
        <v>1.0867806714992534</v>
      </c>
      <c r="AJ77" s="331">
        <f>Commodity!AH36*(1+$C$36+$C$37)*$C$23</f>
        <v>1.1083352063670446</v>
      </c>
    </row>
    <row r="78" spans="1:36" ht="15" customHeight="1">
      <c r="B78" s="230" t="s">
        <v>55</v>
      </c>
      <c r="C78" s="331">
        <f t="shared" ref="C78:C88" ca="1" si="4">-PMT($C$17,$C$15,NPV($C$17,OFFSET(E78,0,$C$72,1,$C$15))) * (1+$C$20)^($C$19-$C$14)</f>
        <v>0.5741947373034838</v>
      </c>
      <c r="E78" s="331">
        <f>Commodity!C37*(1+$C$36+$C$37)*$C$23</f>
        <v>0.57450943282895561</v>
      </c>
      <c r="F78" s="331">
        <f>Commodity!D37*(1+$C$36+$C$37)*$C$23</f>
        <v>0.5741947373034838</v>
      </c>
      <c r="G78" s="331">
        <f>Commodity!E37*(1+$C$36+$C$37)*$C$23</f>
        <v>0.58898104559809239</v>
      </c>
      <c r="H78" s="331">
        <f>Commodity!F37*(1+$C$36+$C$37)*$C$23</f>
        <v>0.602442222299718</v>
      </c>
      <c r="I78" s="331">
        <f>Commodity!G37*(1+$C$36+$C$37)*$C$23</f>
        <v>0.61482395491931263</v>
      </c>
      <c r="J78" s="331">
        <f>Commodity!H37*(1+$C$36+$C$37)*$C$23</f>
        <v>0.62723907818670721</v>
      </c>
      <c r="K78" s="331">
        <f>Commodity!I37*(1+$C$36+$C$37)*$C$23</f>
        <v>0.63996408505048374</v>
      </c>
      <c r="L78" s="331">
        <f>Commodity!J37*(1+$C$36+$C$37)*$C$23</f>
        <v>0.65298206394858305</v>
      </c>
      <c r="M78" s="331">
        <f>Commodity!K37*(1+$C$36+$C$37)*$C$23</f>
        <v>0.66620238092245676</v>
      </c>
      <c r="N78" s="331">
        <f>Commodity!L37*(1+$C$36+$C$37)*$C$23</f>
        <v>0.67984538923704851</v>
      </c>
      <c r="O78" s="331">
        <f>Commodity!M37*(1+$C$36+$C$37)*$C$23</f>
        <v>0.69403502203799616</v>
      </c>
      <c r="P78" s="331">
        <f>Commodity!N37*(1+$C$36+$C$37)*$C$23</f>
        <v>0.70850635904083381</v>
      </c>
      <c r="Q78" s="331">
        <f>Commodity!O37*(1+$C$36+$C$37)*$C$23</f>
        <v>0.72357855774199697</v>
      </c>
      <c r="R78" s="331">
        <f>Commodity!P37*(1+$C$36+$C$37)*$C$23</f>
        <v>0.73861240887979052</v>
      </c>
      <c r="S78" s="331">
        <f>Commodity!Q37*(1+$C$36+$C$37)*$C$23</f>
        <v>0.7541962501974584</v>
      </c>
      <c r="T78" s="331">
        <f>Commodity!R37*(1+$C$36+$C$37)*$C$23</f>
        <v>0.77054982165903962</v>
      </c>
      <c r="U78" s="331">
        <f>Commodity!S37*(1+$C$36+$C$37)*$C$23</f>
        <v>0.78744208533620563</v>
      </c>
      <c r="V78" s="331">
        <f>Commodity!T37*(1+$C$36+$C$37)*$C$23</f>
        <v>0.80482613729022623</v>
      </c>
      <c r="W78" s="331">
        <f>Commodity!U37*(1+$C$36+$C$37)*$C$23</f>
        <v>0.82244979879920488</v>
      </c>
      <c r="X78" s="331">
        <f>Commodity!V37*(1+$C$36+$C$37)*$C$23</f>
        <v>0.84043575953805061</v>
      </c>
      <c r="Y78" s="331">
        <f>Commodity!W37*(1+$C$36+$C$37)*$C$23</f>
        <v>0.85886529989956506</v>
      </c>
      <c r="Z78" s="331">
        <f>Commodity!X37*(1+$C$36+$C$37)*$C$23</f>
        <v>0.87775234506725597</v>
      </c>
      <c r="AA78" s="331">
        <f>Commodity!Y37*(1+$C$36+$C$37)*$C$23</f>
        <v>0.89702777028220826</v>
      </c>
      <c r="AB78" s="331">
        <f>Commodity!Z37*(1+$C$36+$C$37)*$C$23</f>
        <v>0.91678588373032066</v>
      </c>
      <c r="AC78" s="331">
        <f>Commodity!AA37*(1+$C$36+$C$37)*$C$23</f>
        <v>0.93703106079864096</v>
      </c>
      <c r="AD78" s="331">
        <f>Commodity!AB37*(1+$C$36+$C$37)*$C$23</f>
        <v>0.95780842797172361</v>
      </c>
      <c r="AE78" s="331">
        <f>Commodity!AC37*(1+$C$36+$C$37)*$C$23</f>
        <v>0.97903394411808087</v>
      </c>
      <c r="AF78" s="331">
        <f>Commodity!AD37*(1+$C$36+$C$37)*$C$23</f>
        <v>1.0006874037992499</v>
      </c>
      <c r="AG78" s="331">
        <f>Commodity!AE37*(1+$C$36+$C$37)*$C$23</f>
        <v>1.0206632993341791</v>
      </c>
      <c r="AH78" s="331">
        <f>Commodity!AF37*(1+$C$36+$C$37)*$C$23</f>
        <v>1.0418534831991431</v>
      </c>
      <c r="AI78" s="331">
        <f>Commodity!AG37*(1+$C$36+$C$37)*$C$23</f>
        <v>1.0629654361972443</v>
      </c>
      <c r="AJ78" s="331">
        <f>Commodity!AH37*(1+$C$36+$C$37)*$C$23</f>
        <v>1.0840515126895789</v>
      </c>
    </row>
    <row r="79" spans="1:36" ht="15" customHeight="1">
      <c r="B79" s="230" t="s">
        <v>57</v>
      </c>
      <c r="C79" s="331">
        <f t="shared" ca="1" si="4"/>
        <v>0.52725709358932915</v>
      </c>
      <c r="E79" s="331">
        <f>Commodity!C38*(1+$C$36+$C$37)*$C$23</f>
        <v>0.52616882723193614</v>
      </c>
      <c r="F79" s="331">
        <f>Commodity!D38*(1+$C$36+$C$37)*$C$23</f>
        <v>0.52725709358932915</v>
      </c>
      <c r="G79" s="331">
        <f>Commodity!E38*(1+$C$36+$C$37)*$C$23</f>
        <v>0.54070320802594063</v>
      </c>
      <c r="H79" s="331">
        <f>Commodity!F38*(1+$C$36+$C$37)*$C$23</f>
        <v>0.55302480130168419</v>
      </c>
      <c r="I79" s="331">
        <f>Commodity!G38*(1+$C$36+$C$37)*$C$23</f>
        <v>0.56438425037558348</v>
      </c>
      <c r="J79" s="331">
        <f>Commodity!H38*(1+$C$36+$C$37)*$C$23</f>
        <v>0.57579401361968674</v>
      </c>
      <c r="K79" s="331">
        <f>Commodity!I38*(1+$C$36+$C$37)*$C$23</f>
        <v>0.58748217504256639</v>
      </c>
      <c r="L79" s="331">
        <f>Commodity!J38*(1+$C$36+$C$37)*$C$23</f>
        <v>0.59942589070165897</v>
      </c>
      <c r="M79" s="331">
        <f>Commodity!K38*(1+$C$36+$C$37)*$C$23</f>
        <v>0.61156072618875101</v>
      </c>
      <c r="N79" s="331">
        <f>Commodity!L38*(1+$C$36+$C$37)*$C$23</f>
        <v>0.62409749818636906</v>
      </c>
      <c r="O79" s="331">
        <f>Commodity!M38*(1+$C$36+$C$37)*$C$23</f>
        <v>0.63710227106422201</v>
      </c>
      <c r="P79" s="331">
        <f>Commodity!N38*(1+$C$36+$C$37)*$C$23</f>
        <v>0.65041310197976543</v>
      </c>
      <c r="Q79" s="331">
        <f>Commodity!O38*(1+$C$36+$C$37)*$C$23</f>
        <v>0.66420321287642303</v>
      </c>
      <c r="R79" s="331">
        <f>Commodity!P38*(1+$C$36+$C$37)*$C$23</f>
        <v>0.67800902923134287</v>
      </c>
      <c r="S79" s="331">
        <f>Commodity!Q38*(1+$C$36+$C$37)*$C$23</f>
        <v>0.69233979255588196</v>
      </c>
      <c r="T79" s="331">
        <f>Commodity!R38*(1+$C$36+$C$37)*$C$23</f>
        <v>0.70735581807124703</v>
      </c>
      <c r="U79" s="331">
        <f>Commodity!S38*(1+$C$36+$C$37)*$C$23</f>
        <v>0.7228666089874255</v>
      </c>
      <c r="V79" s="331">
        <f>Commodity!T38*(1+$C$36+$C$37)*$C$23</f>
        <v>0.7388099172775624</v>
      </c>
      <c r="W79" s="331">
        <f>Commodity!U38*(1+$C$36+$C$37)*$C$23</f>
        <v>0.75499241713885468</v>
      </c>
      <c r="X79" s="331">
        <f>Commodity!V38*(1+$C$36+$C$37)*$C$23</f>
        <v>0.77150473393465679</v>
      </c>
      <c r="Y79" s="331">
        <f>Commodity!W38*(1+$C$36+$C$37)*$C$23</f>
        <v>0.78842541695429025</v>
      </c>
      <c r="Z79" s="331">
        <f>Commodity!X38*(1+$C$36+$C$37)*$C$23</f>
        <v>0.80576426328459072</v>
      </c>
      <c r="AA79" s="331">
        <f>Commodity!Y38*(1+$C$36+$C$37)*$C$23</f>
        <v>0.82346214104917093</v>
      </c>
      <c r="AB79" s="331">
        <f>Commodity!Z38*(1+$C$36+$C$37)*$C$23</f>
        <v>0.84160044425691727</v>
      </c>
      <c r="AC79" s="331">
        <f>Commodity!AA38*(1+$C$36+$C$37)*$C$23</f>
        <v>0.86018898635540053</v>
      </c>
      <c r="AD79" s="331">
        <f>Commodity!AB38*(1+$C$36+$C$37)*$C$23</f>
        <v>0.87926426541672298</v>
      </c>
      <c r="AE79" s="331">
        <f>Commodity!AC38*(1+$C$36+$C$37)*$C$23</f>
        <v>0.89875198262223488</v>
      </c>
      <c r="AF79" s="331">
        <f>Commodity!AD38*(1+$C$36+$C$37)*$C$23</f>
        <v>0.91863089193865521</v>
      </c>
      <c r="AG79" s="331">
        <f>Commodity!AE38*(1+$C$36+$C$37)*$C$23</f>
        <v>0.93697229670686866</v>
      </c>
      <c r="AH79" s="331">
        <f>Commodity!AF38*(1+$C$36+$C$37)*$C$23</f>
        <v>0.95642431590432464</v>
      </c>
      <c r="AI79" s="331">
        <f>Commodity!AG38*(1+$C$36+$C$37)*$C$23</f>
        <v>0.97581649505381907</v>
      </c>
      <c r="AJ79" s="331">
        <f>Commodity!AH38*(1+$C$36+$C$37)*$C$23</f>
        <v>0.99517735595052725</v>
      </c>
    </row>
    <row r="80" spans="1:36" ht="15" customHeight="1">
      <c r="B80" s="230" t="s">
        <v>59</v>
      </c>
      <c r="C80" s="331">
        <f ca="1">-PMT($C$17,$C$15,NPV($C$17,OFFSET(E80,0,$C$72,1,$C$15))) * (1+$C$20)^($C$19-$C$14)</f>
        <v>0.51842791588760673</v>
      </c>
      <c r="E80" s="331">
        <f>Commodity!C39*(1+$C$36+$C$37)*$C$23</f>
        <v>0.51600432953145337</v>
      </c>
      <c r="F80" s="331">
        <f>Commodity!D39*(1+$C$36+$C$37)*$C$23</f>
        <v>0.51842791588760673</v>
      </c>
      <c r="G80" s="331">
        <f>Commodity!E39*(1+$C$36+$C$37)*$C$23</f>
        <v>0.53151964593941803</v>
      </c>
      <c r="H80" s="331">
        <f>Commodity!F39*(1+$C$36+$C$37)*$C$23</f>
        <v>0.54359638513946595</v>
      </c>
      <c r="I80" s="331">
        <f>Commodity!G39*(1+$C$36+$C$37)*$C$23</f>
        <v>0.55475565231055446</v>
      </c>
      <c r="J80" s="331">
        <f>Commodity!H39*(1+$C$36+$C$37)*$C$23</f>
        <v>0.56598370605891257</v>
      </c>
      <c r="K80" s="331">
        <f>Commodity!I39*(1+$C$36+$C$37)*$C$23</f>
        <v>0.57747944801073992</v>
      </c>
      <c r="L80" s="331">
        <f>Commodity!J39*(1+$C$36+$C$37)*$C$23</f>
        <v>0.58921322777904783</v>
      </c>
      <c r="M80" s="331">
        <f>Commodity!K39*(1+$C$36+$C$37)*$C$23</f>
        <v>0.60114015733584336</v>
      </c>
      <c r="N80" s="331">
        <f>Commodity!L39*(1+$C$36+$C$37)*$C$23</f>
        <v>0.61347585354486378</v>
      </c>
      <c r="O80" s="331">
        <f>Commodity!M39*(1+$C$36+$C$37)*$C$23</f>
        <v>0.62623835791997129</v>
      </c>
      <c r="P80" s="331">
        <f>Commodity!N39*(1+$C$36+$C$37)*$C$23</f>
        <v>0.63934836189427002</v>
      </c>
      <c r="Q80" s="331">
        <f>Commodity!O39*(1+$C$36+$C$37)*$C$23</f>
        <v>0.65285840254166649</v>
      </c>
      <c r="R80" s="331">
        <f>Commodity!P39*(1+$C$36+$C$37)*$C$23</f>
        <v>0.66643392796533218</v>
      </c>
      <c r="S80" s="331">
        <f>Commodity!Q39*(1+$C$36+$C$37)*$C$23</f>
        <v>0.68054518306818867</v>
      </c>
      <c r="T80" s="331">
        <f>Commodity!R39*(1+$C$36+$C$37)*$C$23</f>
        <v>0.69530904975009944</v>
      </c>
      <c r="U80" s="331">
        <f>Commodity!S39*(1+$C$36+$C$37)*$C$23</f>
        <v>0.71055950354432207</v>
      </c>
      <c r="V80" s="331">
        <f>Commodity!T39*(1+$C$36+$C$37)*$C$23</f>
        <v>0.72621649047519121</v>
      </c>
      <c r="W80" s="331">
        <f>Commodity!U39*(1+$C$36+$C$37)*$C$23</f>
        <v>0.74212750276075856</v>
      </c>
      <c r="X80" s="331">
        <f>Commodity!V39*(1+$C$36+$C$37)*$C$23</f>
        <v>0.75835999225726358</v>
      </c>
      <c r="Y80" s="331">
        <f>Commodity!W39*(1+$C$36+$C$37)*$C$23</f>
        <v>0.77499503876258014</v>
      </c>
      <c r="Z80" s="331">
        <f>Commodity!X39*(1+$C$36+$C$37)*$C$23</f>
        <v>0.79203933696140316</v>
      </c>
      <c r="AA80" s="331">
        <f>Commodity!Y39*(1+$C$36+$C$37)*$C$23</f>
        <v>0.80943901273437491</v>
      </c>
      <c r="AB80" s="331">
        <f>Commodity!Z39*(1+$C$36+$C$37)*$C$23</f>
        <v>0.82726898171306695</v>
      </c>
      <c r="AC80" s="331">
        <f>Commodity!AA39*(1+$C$36+$C$37)*$C$23</f>
        <v>0.8455445890337121</v>
      </c>
      <c r="AD80" s="331">
        <f>Commodity!AB39*(1+$C$36+$C$37)*$C$23</f>
        <v>0.86429686702793895</v>
      </c>
      <c r="AE80" s="331">
        <f>Commodity!AC39*(1+$C$36+$C$37)*$C$23</f>
        <v>0.88345558398877744</v>
      </c>
      <c r="AF80" s="331">
        <f>Commodity!AD39*(1+$C$36+$C$37)*$C$23</f>
        <v>0.90299720368365932</v>
      </c>
      <c r="AG80" s="331">
        <f>Commodity!AE39*(1+$C$36+$C$37)*$C$23</f>
        <v>0.92102994158266671</v>
      </c>
      <c r="AH80" s="331">
        <f>Commodity!AF39*(1+$C$36+$C$37)*$C$23</f>
        <v>0.94015036032632959</v>
      </c>
      <c r="AI80" s="331">
        <f>Commodity!AG39*(1+$C$36+$C$37)*$C$23</f>
        <v>0.95922373052476817</v>
      </c>
      <c r="AJ80" s="331">
        <f>Commodity!AH39*(1+$C$36+$C$37)*$C$23</f>
        <v>0.97825887989198868</v>
      </c>
    </row>
    <row r="81" spans="2:36" ht="15" customHeight="1">
      <c r="B81" s="230" t="s">
        <v>60</v>
      </c>
      <c r="C81" s="331">
        <f t="shared" ca="1" si="4"/>
        <v>0.53661804280617753</v>
      </c>
      <c r="E81" s="331">
        <f>Commodity!C40*(1+$C$36+$C$37)*$C$23</f>
        <v>0.53270903707257433</v>
      </c>
      <c r="F81" s="331">
        <f>Commodity!D40*(1+$C$36+$C$37)*$C$23</f>
        <v>0.53661804280617753</v>
      </c>
      <c r="G81" s="331">
        <f>Commodity!E40*(1+$C$36+$C$37)*$C$23</f>
        <v>0.55003542920485737</v>
      </c>
      <c r="H81" s="331">
        <f>Commodity!F40*(1+$C$36+$C$37)*$C$23</f>
        <v>0.56249604998124869</v>
      </c>
      <c r="I81" s="331">
        <f>Commodity!G40*(1+$C$36+$C$37)*$C$23</f>
        <v>0.57403655623963179</v>
      </c>
      <c r="J81" s="331">
        <f>Commodity!H40*(1+$C$36+$C$37)*$C$23</f>
        <v>0.58566824593012279</v>
      </c>
      <c r="K81" s="331">
        <f>Commodity!I40*(1+$C$36+$C$37)*$C$23</f>
        <v>0.59757075886985644</v>
      </c>
      <c r="L81" s="331">
        <f>Commodity!J40*(1+$C$36+$C$37)*$C$23</f>
        <v>0.60970596657482468</v>
      </c>
      <c r="M81" s="331">
        <f>Commodity!K40*(1+$C$36+$C$37)*$C$23</f>
        <v>0.62204651248359699</v>
      </c>
      <c r="N81" s="331">
        <f>Commodity!L40*(1+$C$36+$C$37)*$C$23</f>
        <v>0.63482419751075114</v>
      </c>
      <c r="O81" s="331">
        <f>Commodity!M40*(1+$C$36+$C$37)*$C$23</f>
        <v>0.64800915607544052</v>
      </c>
      <c r="P81" s="331">
        <f>Commodity!N40*(1+$C$36+$C$37)*$C$23</f>
        <v>0.66160198507612322</v>
      </c>
      <c r="Q81" s="331">
        <f>Commodity!O40*(1+$C$36+$C$37)*$C$23</f>
        <v>0.6755352048668688</v>
      </c>
      <c r="R81" s="331">
        <f>Commodity!P40*(1+$C$36+$C$37)*$C$23</f>
        <v>0.68958798112677244</v>
      </c>
      <c r="S81" s="331">
        <f>Commodity!Q40*(1+$C$36+$C$37)*$C$23</f>
        <v>0.70421553479309407</v>
      </c>
      <c r="T81" s="331">
        <f>Commodity!R40*(1+$C$36+$C$37)*$C$23</f>
        <v>0.7194966899400369</v>
      </c>
      <c r="U81" s="331">
        <f>Commodity!S40*(1+$C$36+$C$37)*$C$23</f>
        <v>0.73528161562079886</v>
      </c>
      <c r="V81" s="331">
        <f>Commodity!T40*(1+$C$36+$C$37)*$C$23</f>
        <v>0.75146794843198328</v>
      </c>
      <c r="W81" s="331">
        <f>Commodity!U40*(1+$C$36+$C$37)*$C$23</f>
        <v>0.76793671069892278</v>
      </c>
      <c r="X81" s="331">
        <f>Commodity!V40*(1+$C$36+$C$37)*$C$23</f>
        <v>0.7847353156244905</v>
      </c>
      <c r="Y81" s="331">
        <f>Commodity!W40*(1+$C$36+$C$37)*$C$23</f>
        <v>0.80195166680091656</v>
      </c>
      <c r="Z81" s="331">
        <f>Commodity!X40*(1+$C$36+$C$37)*$C$23</f>
        <v>0.81958965378363768</v>
      </c>
      <c r="AA81" s="331">
        <f>Commodity!Y40*(1+$C$36+$C$37)*$C$23</f>
        <v>0.83759792741072492</v>
      </c>
      <c r="AB81" s="331">
        <f>Commodity!Z40*(1+$C$36+$C$37)*$C$23</f>
        <v>0.856048739472687</v>
      </c>
      <c r="AC81" s="331">
        <f>Commodity!AA40*(1+$C$36+$C$37)*$C$23</f>
        <v>0.87496386665173764</v>
      </c>
      <c r="AD81" s="331">
        <f>Commodity!AB40*(1+$C$36+$C$37)*$C$23</f>
        <v>0.89437040755966757</v>
      </c>
      <c r="AE81" s="331">
        <f>Commodity!AC40*(1+$C$36+$C$37)*$C$23</f>
        <v>0.9141985868925423</v>
      </c>
      <c r="AF81" s="331">
        <f>Commodity!AD40*(1+$C$36+$C$37)*$C$23</f>
        <v>0.93442130506171428</v>
      </c>
      <c r="AG81" s="331">
        <f>Commodity!AE40*(1+$C$36+$C$37)*$C$23</f>
        <v>0.95308517519155289</v>
      </c>
      <c r="AH81" s="331">
        <f>Commodity!AF40*(1+$C$36+$C$37)*$C$23</f>
        <v>0.97287040387844903</v>
      </c>
      <c r="AI81" s="331">
        <f>Commodity!AG40*(1+$C$36+$C$37)*$C$23</f>
        <v>0.99261913064823215</v>
      </c>
      <c r="AJ81" s="331">
        <f>Commodity!AH40*(1+$C$36+$C$37)*$C$23</f>
        <v>1.012320611499991</v>
      </c>
    </row>
    <row r="82" spans="2:36" ht="15" customHeight="1">
      <c r="B82" s="230" t="s">
        <v>61</v>
      </c>
      <c r="C82" s="331">
        <f t="shared" ca="1" si="4"/>
        <v>0.55064192618105634</v>
      </c>
      <c r="E82" s="331">
        <f>Commodity!C41*(1+$C$36+$C$37)*$C$23</f>
        <v>0.54519445227770236</v>
      </c>
      <c r="F82" s="331">
        <f>Commodity!D41*(1+$C$36+$C$37)*$C$23</f>
        <v>0.55064192618105634</v>
      </c>
      <c r="G82" s="331">
        <f>Commodity!E41*(1+$C$36+$C$37)*$C$23</f>
        <v>0.56427283582720267</v>
      </c>
      <c r="H82" s="331">
        <f>Commodity!F41*(1+$C$36+$C$37)*$C$23</f>
        <v>0.57701822171577188</v>
      </c>
      <c r="I82" s="331">
        <f>Commodity!G41*(1+$C$36+$C$37)*$C$23</f>
        <v>0.58884975401176509</v>
      </c>
      <c r="J82" s="331">
        <f>Commodity!H41*(1+$C$36+$C$37)*$C$23</f>
        <v>0.60079534873670737</v>
      </c>
      <c r="K82" s="331">
        <f>Commodity!I41*(1+$C$36+$C$37)*$C$23</f>
        <v>0.61301242646651932</v>
      </c>
      <c r="L82" s="331">
        <f>Commodity!J41*(1+$C$36+$C$37)*$C$23</f>
        <v>0.62545423370042263</v>
      </c>
      <c r="M82" s="331">
        <f>Commodity!K41*(1+$C$36+$C$37)*$C$23</f>
        <v>0.63811229559581983</v>
      </c>
      <c r="N82" s="331">
        <f>Commodity!L41*(1+$C$36+$C$37)*$C$23</f>
        <v>0.65123331071515234</v>
      </c>
      <c r="O82" s="331">
        <f>Commodity!M41*(1+$C$36+$C$37)*$C$23</f>
        <v>0.66473684751549089</v>
      </c>
      <c r="P82" s="331">
        <f>Commodity!N41*(1+$C$36+$C$37)*$C$23</f>
        <v>0.67870832810751258</v>
      </c>
      <c r="Q82" s="331">
        <f>Commodity!O41*(1+$C$36+$C$37)*$C$23</f>
        <v>0.69295352281867184</v>
      </c>
      <c r="R82" s="331">
        <f>Commodity!P41*(1+$C$36+$C$37)*$C$23</f>
        <v>0.70737450079976494</v>
      </c>
      <c r="S82" s="331">
        <f>Commodity!Q41*(1+$C$36+$C$37)*$C$23</f>
        <v>0.72240604739860426</v>
      </c>
      <c r="T82" s="331">
        <f>Commodity!R41*(1+$C$36+$C$37)*$C$23</f>
        <v>0.73808580616829422</v>
      </c>
      <c r="U82" s="331">
        <f>Commodity!S41*(1+$C$36+$C$37)*$C$23</f>
        <v>0.75428261425463927</v>
      </c>
      <c r="V82" s="331">
        <f>Commodity!T41*(1+$C$36+$C$37)*$C$23</f>
        <v>0.77087143223512855</v>
      </c>
      <c r="W82" s="331">
        <f>Commodity!U41*(1+$C$36+$C$37)*$C$23</f>
        <v>0.78777005178642623</v>
      </c>
      <c r="X82" s="331">
        <f>Commodity!V41*(1+$C$36+$C$37)*$C$23</f>
        <v>0.80500414502756668</v>
      </c>
      <c r="Y82" s="331">
        <f>Commodity!W41*(1+$C$36+$C$37)*$C$23</f>
        <v>0.82266799383164735</v>
      </c>
      <c r="Z82" s="331">
        <f>Commodity!X41*(1+$C$36+$C$37)*$C$23</f>
        <v>0.84076247138215598</v>
      </c>
      <c r="AA82" s="331">
        <f>Commodity!Y41*(1+$C$36+$C$37)*$C$23</f>
        <v>0.85923941508763979</v>
      </c>
      <c r="AB82" s="331">
        <f>Commodity!Z41*(1+$C$36+$C$37)*$C$23</f>
        <v>0.87816753676017822</v>
      </c>
      <c r="AC82" s="331">
        <f>Commodity!AA41*(1+$C$36+$C$37)*$C$23</f>
        <v>0.89757522651349275</v>
      </c>
      <c r="AD82" s="331">
        <f>Commodity!AB41*(1+$C$36+$C$37)*$C$23</f>
        <v>0.91748513973754575</v>
      </c>
      <c r="AE82" s="331">
        <f>Commodity!AC41*(1+$C$36+$C$37)*$C$23</f>
        <v>0.93782867319331942</v>
      </c>
      <c r="AF82" s="331">
        <f>Commodity!AD41*(1+$C$36+$C$37)*$C$23</f>
        <v>0.95857521130396972</v>
      </c>
      <c r="AG82" s="331">
        <f>Commodity!AE41*(1+$C$36+$C$37)*$C$23</f>
        <v>0.97772521509005905</v>
      </c>
      <c r="AH82" s="331">
        <f>Commodity!AF41*(1+$C$36+$C$37)*$C$23</f>
        <v>0.99802128189267136</v>
      </c>
      <c r="AI82" s="331">
        <f>Commodity!AG41*(1+$C$36+$C$37)*$C$23</f>
        <v>1.0182924032041187</v>
      </c>
      <c r="AJ82" s="331">
        <f>Commodity!AH41*(1+$C$36+$C$37)*$C$23</f>
        <v>1.0385071627110005</v>
      </c>
    </row>
    <row r="83" spans="2:36" ht="15" customHeight="1">
      <c r="B83" s="230" t="s">
        <v>62</v>
      </c>
      <c r="C83" s="331">
        <f t="shared" ca="1" si="4"/>
        <v>0.55516284883276801</v>
      </c>
      <c r="E83" s="331">
        <f>Commodity!C42*(1+$C$36+$C$37)*$C$23</f>
        <v>0.5482232205449763</v>
      </c>
      <c r="F83" s="331">
        <f>Commodity!D42*(1+$C$36+$C$37)*$C$23</f>
        <v>0.55516284883276801</v>
      </c>
      <c r="G83" s="331">
        <f>Commodity!E42*(1+$C$36+$C$37)*$C$23</f>
        <v>0.56876748615045547</v>
      </c>
      <c r="H83" s="331">
        <f>Commodity!F42*(1+$C$36+$C$37)*$C$23</f>
        <v>0.58157632014957383</v>
      </c>
      <c r="I83" s="331">
        <f>Commodity!G42*(1+$C$36+$C$37)*$C$23</f>
        <v>0.59349433920608774</v>
      </c>
      <c r="J83" s="331">
        <f>Commodity!H42*(1+$C$36+$C$37)*$C$23</f>
        <v>0.60554801185651075</v>
      </c>
      <c r="K83" s="331">
        <f>Commodity!I42*(1+$C$36+$C$37)*$C$23</f>
        <v>0.61786892889020684</v>
      </c>
      <c r="L83" s="331">
        <f>Commodity!J42*(1+$C$36+$C$37)*$C$23</f>
        <v>0.63040226532223476</v>
      </c>
      <c r="M83" s="331">
        <f>Commodity!K42*(1+$C$36+$C$37)*$C$23</f>
        <v>0.64315922507387546</v>
      </c>
      <c r="N83" s="331">
        <f>Commodity!L42*(1+$C$36+$C$37)*$C$23</f>
        <v>0.65639744040114956</v>
      </c>
      <c r="O83" s="331">
        <f>Commodity!M42*(1+$C$36+$C$37)*$C$23</f>
        <v>0.66998564855534393</v>
      </c>
      <c r="P83" s="331">
        <f>Commodity!N42*(1+$C$36+$C$37)*$C$23</f>
        <v>0.68409543909544257</v>
      </c>
      <c r="Q83" s="331">
        <f>Commodity!O42*(1+$C$36+$C$37)*$C$23</f>
        <v>0.69840503364583717</v>
      </c>
      <c r="R83" s="331">
        <f>Commodity!P42*(1+$C$36+$C$37)*$C$23</f>
        <v>0.7129453680838328</v>
      </c>
      <c r="S83" s="331">
        <f>Commodity!Q42*(1+$C$36+$C$37)*$C$23</f>
        <v>0.72812221493216334</v>
      </c>
      <c r="T83" s="331">
        <f>Commodity!R42*(1+$C$36+$C$37)*$C$23</f>
        <v>0.74392995159506781</v>
      </c>
      <c r="U83" s="331">
        <f>Commodity!S42*(1+$C$36+$C$37)*$C$23</f>
        <v>0.76025909690052318</v>
      </c>
      <c r="V83" s="331">
        <f>Commodity!T42*(1+$C$36+$C$37)*$C$23</f>
        <v>0.77696342912296279</v>
      </c>
      <c r="W83" s="331">
        <f>Commodity!U42*(1+$C$36+$C$37)*$C$23</f>
        <v>0.79400025237320204</v>
      </c>
      <c r="X83" s="331">
        <f>Commodity!V42*(1+$C$36+$C$37)*$C$23</f>
        <v>0.81137229148774137</v>
      </c>
      <c r="Y83" s="331">
        <f>Commodity!W42*(1+$C$36+$C$37)*$C$23</f>
        <v>0.8291787150339861</v>
      </c>
      <c r="Z83" s="331">
        <f>Commodity!X42*(1+$C$36+$C$37)*$C$23</f>
        <v>0.84741726120753458</v>
      </c>
      <c r="AA83" s="331">
        <f>Commodity!Y42*(1+$C$36+$C$37)*$C$23</f>
        <v>0.86604393556381754</v>
      </c>
      <c r="AB83" s="331">
        <f>Commodity!Z42*(1+$C$36+$C$37)*$C$23</f>
        <v>0.88512254384496525</v>
      </c>
      <c r="AC83" s="331">
        <f>Commodity!AA42*(1+$C$36+$C$37)*$C$23</f>
        <v>0.90468780036687657</v>
      </c>
      <c r="AD83" s="331">
        <f>Commodity!AB42*(1+$C$36+$C$37)*$C$23</f>
        <v>0.92475735523809566</v>
      </c>
      <c r="AE83" s="331">
        <f>Commodity!AC42*(1+$C$36+$C$37)*$C$23</f>
        <v>0.94526506071679794</v>
      </c>
      <c r="AF83" s="331">
        <f>Commodity!AD42*(1+$C$36+$C$37)*$C$23</f>
        <v>0.96617722035709097</v>
      </c>
      <c r="AG83" s="331">
        <f>Commodity!AE42*(1+$C$36+$C$37)*$C$23</f>
        <v>0.98548281369253787</v>
      </c>
      <c r="AH83" s="331">
        <f>Commodity!AF42*(1+$C$36+$C$37)*$C$23</f>
        <v>1.0059392429924985</v>
      </c>
      <c r="AI83" s="331">
        <f>Commodity!AG42*(1+$C$36+$C$37)*$C$23</f>
        <v>1.0263831291931398</v>
      </c>
      <c r="AJ83" s="331">
        <f>Commodity!AH42*(1+$C$36+$C$37)*$C$23</f>
        <v>1.0467622486665928</v>
      </c>
    </row>
    <row r="84" spans="2:36" ht="15" customHeight="1">
      <c r="B84" s="230" t="s">
        <v>63</v>
      </c>
      <c r="C84" s="331">
        <f t="shared" ca="1" si="4"/>
        <v>0.55102600562758108</v>
      </c>
      <c r="E84" s="331">
        <f>Commodity!C43*(1+$C$36+$C$37)*$C$23</f>
        <v>0.54270211388673828</v>
      </c>
      <c r="F84" s="331">
        <f>Commodity!D43*(1+$C$36+$C$37)*$C$23</f>
        <v>0.55102600562758108</v>
      </c>
      <c r="G84" s="331">
        <f>Commodity!E43*(1+$C$36+$C$37)*$C$23</f>
        <v>0.56439217451566415</v>
      </c>
      <c r="H84" s="331">
        <f>Commodity!F43*(1+$C$36+$C$37)*$C$23</f>
        <v>0.57706469336504507</v>
      </c>
      <c r="I84" s="331">
        <f>Commodity!G43*(1+$C$36+$C$37)*$C$23</f>
        <v>0.58888333520058855</v>
      </c>
      <c r="J84" s="331">
        <f>Commodity!H43*(1+$C$36+$C$37)*$C$23</f>
        <v>0.60085711102289097</v>
      </c>
      <c r="K84" s="331">
        <f>Commodity!I43*(1+$C$36+$C$37)*$C$23</f>
        <v>0.61308972344401635</v>
      </c>
      <c r="L84" s="331">
        <f>Commodity!J43*(1+$C$36+$C$37)*$C$23</f>
        <v>0.6255191292241763</v>
      </c>
      <c r="M84" s="331">
        <f>Commodity!K43*(1+$C$36+$C$37)*$C$23</f>
        <v>0.6381760408610847</v>
      </c>
      <c r="N84" s="331">
        <f>Commodity!L43*(1+$C$36+$C$37)*$C$23</f>
        <v>0.65132500857565134</v>
      </c>
      <c r="O84" s="331">
        <f>Commodity!M43*(1+$C$36+$C$37)*$C$23</f>
        <v>0.66478597392809036</v>
      </c>
      <c r="P84" s="331">
        <f>Commodity!N43*(1+$C$36+$C$37)*$C$23</f>
        <v>0.6788140376243571</v>
      </c>
      <c r="Q84" s="331">
        <f>Commodity!O43*(1+$C$36+$C$37)*$C$23</f>
        <v>0.69296486177881755</v>
      </c>
      <c r="R84" s="331">
        <f>Commodity!P43*(1+$C$36+$C$37)*$C$23</f>
        <v>0.70739779634567879</v>
      </c>
      <c r="S84" s="331">
        <f>Commodity!Q43*(1+$C$36+$C$37)*$C$23</f>
        <v>0.72248326551246156</v>
      </c>
      <c r="T84" s="331">
        <f>Commodity!R43*(1+$C$36+$C$37)*$C$23</f>
        <v>0.73817245820631461</v>
      </c>
      <c r="U84" s="331">
        <f>Commodity!S43*(1+$C$36+$C$37)*$C$23</f>
        <v>0.75437928752592165</v>
      </c>
      <c r="V84" s="331">
        <f>Commodity!T43*(1+$C$36+$C$37)*$C$23</f>
        <v>0.77093862513946276</v>
      </c>
      <c r="W84" s="331">
        <f>Commodity!U43*(1+$C$36+$C$37)*$C$23</f>
        <v>0.78784796266856072</v>
      </c>
      <c r="X84" s="331">
        <f>Commodity!V43*(1+$C$36+$C$37)*$C$23</f>
        <v>0.80508702985214331</v>
      </c>
      <c r="Y84" s="331">
        <f>Commodity!W43*(1+$C$36+$C$37)*$C$23</f>
        <v>0.82275833636288254</v>
      </c>
      <c r="Z84" s="331">
        <f>Commodity!X43*(1+$C$36+$C$37)*$C$23</f>
        <v>0.84085651995933441</v>
      </c>
      <c r="AA84" s="331">
        <f>Commodity!Y43*(1+$C$36+$C$37)*$C$23</f>
        <v>0.85934244148588168</v>
      </c>
      <c r="AB84" s="331">
        <f>Commodity!Z43*(1+$C$36+$C$37)*$C$23</f>
        <v>0.87827400430708169</v>
      </c>
      <c r="AC84" s="331">
        <f>Commodity!AA43*(1+$C$36+$C$37)*$C$23</f>
        <v>0.89769170697078027</v>
      </c>
      <c r="AD84" s="331">
        <f>Commodity!AB43*(1+$C$36+$C$37)*$C$23</f>
        <v>0.91760791785777807</v>
      </c>
      <c r="AE84" s="331">
        <f>Commodity!AC43*(1+$C$36+$C$37)*$C$23</f>
        <v>0.93795997699126632</v>
      </c>
      <c r="AF84" s="331">
        <f>Commodity!AD43*(1+$C$36+$C$37)*$C$23</f>
        <v>0.95871163190229458</v>
      </c>
      <c r="AG84" s="331">
        <f>Commodity!AE43*(1+$C$36+$C$37)*$C$23</f>
        <v>0.97787174364007046</v>
      </c>
      <c r="AH84" s="331">
        <f>Commodity!AF43*(1+$C$36+$C$37)*$C$23</f>
        <v>0.9981695159355608</v>
      </c>
      <c r="AI84" s="331">
        <f>Commodity!AG43*(1+$C$36+$C$37)*$C$23</f>
        <v>1.0184673460300944</v>
      </c>
      <c r="AJ84" s="331">
        <f>Commodity!AH43*(1+$C$36+$C$37)*$C$23</f>
        <v>1.0386930126871348</v>
      </c>
    </row>
    <row r="85" spans="2:36" ht="15" customHeight="1">
      <c r="B85" s="230" t="s">
        <v>64</v>
      </c>
      <c r="C85" s="331">
        <f t="shared" ca="1" si="4"/>
        <v>0.55893009620057732</v>
      </c>
      <c r="E85" s="331">
        <f>Commodity!C44*(1+$C$36+$C$37)*$C$23</f>
        <v>0.54903090908857477</v>
      </c>
      <c r="F85" s="331">
        <f>Commodity!D44*(1+$C$36+$C$37)*$C$23</f>
        <v>0.55893009620057732</v>
      </c>
      <c r="G85" s="331">
        <f>Commodity!E44*(1+$C$36+$C$37)*$C$23</f>
        <v>0.5723489995325256</v>
      </c>
      <c r="H85" s="331">
        <f>Commodity!F44*(1+$C$36+$C$37)*$C$23</f>
        <v>0.58516186100583334</v>
      </c>
      <c r="I85" s="331">
        <f>Commodity!G44*(1+$C$36+$C$37)*$C$23</f>
        <v>0.59713931745754367</v>
      </c>
      <c r="J85" s="331">
        <f>Commodity!H44*(1+$C$36+$C$37)*$C$23</f>
        <v>0.60929490867282321</v>
      </c>
      <c r="K85" s="331">
        <f>Commodity!I44*(1+$C$36+$C$37)*$C$23</f>
        <v>0.62170654392082858</v>
      </c>
      <c r="L85" s="331">
        <f>Commodity!J44*(1+$C$36+$C$37)*$C$23</f>
        <v>0.63430355740560074</v>
      </c>
      <c r="M85" s="331">
        <f>Commodity!K44*(1+$C$36+$C$37)*$C$23</f>
        <v>0.64713696602349546</v>
      </c>
      <c r="N85" s="331">
        <f>Commodity!L44*(1+$C$36+$C$37)*$C$23</f>
        <v>0.66048407511969942</v>
      </c>
      <c r="O85" s="331">
        <f>Commodity!M44*(1+$C$36+$C$37)*$C$23</f>
        <v>0.67411177915943954</v>
      </c>
      <c r="P85" s="331">
        <f>Commodity!N44*(1+$C$36+$C$37)*$C$23</f>
        <v>0.68836480407728573</v>
      </c>
      <c r="Q85" s="331">
        <f>Commodity!O44*(1+$C$36+$C$37)*$C$23</f>
        <v>0.70266574756081202</v>
      </c>
      <c r="R85" s="331">
        <f>Commodity!P44*(1+$C$36+$C$37)*$C$23</f>
        <v>0.71730667451508212</v>
      </c>
      <c r="S85" s="331">
        <f>Commodity!Q44*(1+$C$36+$C$37)*$C$23</f>
        <v>0.73263054950679485</v>
      </c>
      <c r="T85" s="331">
        <f>Commodity!R44*(1+$C$36+$C$37)*$C$23</f>
        <v>0.74854403122591384</v>
      </c>
      <c r="U85" s="331">
        <f>Commodity!S44*(1+$C$36+$C$37)*$C$23</f>
        <v>0.76498268958942617</v>
      </c>
      <c r="V85" s="331">
        <f>Commodity!T44*(1+$C$36+$C$37)*$C$23</f>
        <v>0.78175875403120154</v>
      </c>
      <c r="W85" s="331">
        <f>Commodity!U44*(1+$C$36+$C$37)*$C$23</f>
        <v>0.7989101026273312</v>
      </c>
      <c r="X85" s="331">
        <f>Commodity!V44*(1+$C$36+$C$37)*$C$23</f>
        <v>0.81639288084903006</v>
      </c>
      <c r="Y85" s="331">
        <f>Commodity!W44*(1+$C$36+$C$37)*$C$23</f>
        <v>0.83431520546790761</v>
      </c>
      <c r="Z85" s="331">
        <f>Commodity!X44*(1+$C$36+$C$37)*$C$23</f>
        <v>0.85266847679000946</v>
      </c>
      <c r="AA85" s="331">
        <f>Commodity!Y44*(1+$C$36+$C$37)*$C$23</f>
        <v>0.87141758450189499</v>
      </c>
      <c r="AB85" s="331">
        <f>Commodity!Z44*(1+$C$36+$C$37)*$C$23</f>
        <v>0.89061576034506373</v>
      </c>
      <c r="AC85" s="331">
        <f>Commodity!AA44*(1+$C$36+$C$37)*$C$23</f>
        <v>0.91031021052849492</v>
      </c>
      <c r="AD85" s="331">
        <f>Commodity!AB44*(1+$C$36+$C$37)*$C$23</f>
        <v>0.93050825919766245</v>
      </c>
      <c r="AE85" s="331">
        <f>Commodity!AC44*(1+$C$36+$C$37)*$C$23</f>
        <v>0.95114938396616588</v>
      </c>
      <c r="AF85" s="331">
        <f>Commodity!AD44*(1+$C$36+$C$37)*$C$23</f>
        <v>0.97219396629230337</v>
      </c>
      <c r="AG85" s="331">
        <f>Commodity!AE44*(1+$C$36+$C$37)*$C$23</f>
        <v>0.99162726984811911</v>
      </c>
      <c r="AH85" s="331">
        <f>Commodity!AF44*(1+$C$36+$C$37)*$C$23</f>
        <v>1.0122098892580964</v>
      </c>
      <c r="AI85" s="331">
        <f>Commodity!AG44*(1+$C$36+$C$37)*$C$23</f>
        <v>1.0328052482345007</v>
      </c>
      <c r="AJ85" s="331">
        <f>Commodity!AH44*(1+$C$36+$C$37)*$C$23</f>
        <v>1.0533194200094893</v>
      </c>
    </row>
    <row r="86" spans="2:36" ht="15" customHeight="1">
      <c r="B86" s="230" t="s">
        <v>65</v>
      </c>
      <c r="C86" s="331">
        <f t="shared" ca="1" si="4"/>
        <v>0.55586181484775221</v>
      </c>
      <c r="E86" s="331">
        <f>Commodity!C45*(1+$C$36+$C$37)*$C$23</f>
        <v>0.54456974103296862</v>
      </c>
      <c r="F86" s="331">
        <f>Commodity!D45*(1+$C$36+$C$37)*$C$23</f>
        <v>0.55586181484775221</v>
      </c>
      <c r="G86" s="331">
        <f>Commodity!E45*(1+$C$36+$C$37)*$C$23</f>
        <v>0.56906888752350515</v>
      </c>
      <c r="H86" s="331">
        <f>Commodity!F45*(1+$C$36+$C$37)*$C$23</f>
        <v>0.58177022266305611</v>
      </c>
      <c r="I86" s="331">
        <f>Commodity!G45*(1+$C$36+$C$37)*$C$23</f>
        <v>0.59367127620492244</v>
      </c>
      <c r="J86" s="331">
        <f>Commodity!H45*(1+$C$36+$C$37)*$C$23</f>
        <v>0.60577013845237526</v>
      </c>
      <c r="K86" s="331">
        <f>Commodity!I45*(1+$C$36+$C$37)*$C$23</f>
        <v>0.61811717248538145</v>
      </c>
      <c r="L86" s="331">
        <f>Commodity!J45*(1+$C$36+$C$37)*$C$23</f>
        <v>0.63063441387063779</v>
      </c>
      <c r="M86" s="331">
        <f>Commodity!K45*(1+$C$36+$C$37)*$C$23</f>
        <v>0.64339234505712428</v>
      </c>
      <c r="N86" s="331">
        <f>Commodity!L45*(1+$C$36+$C$37)*$C$23</f>
        <v>0.65667565610304823</v>
      </c>
      <c r="O86" s="331">
        <f>Commodity!M45*(1+$C$36+$C$37)*$C$23</f>
        <v>0.67020235722012189</v>
      </c>
      <c r="P86" s="331">
        <f>Commodity!N45*(1+$C$36+$C$37)*$C$23</f>
        <v>0.68440073623577424</v>
      </c>
      <c r="Q86" s="331">
        <f>Commodity!O45*(1+$C$36+$C$37)*$C$23</f>
        <v>0.69857062392194991</v>
      </c>
      <c r="R86" s="331">
        <f>Commodity!P45*(1+$C$36+$C$37)*$C$23</f>
        <v>0.71313213470479742</v>
      </c>
      <c r="S86" s="331">
        <f>Commodity!Q45*(1+$C$36+$C$37)*$C$23</f>
        <v>0.72839377239956471</v>
      </c>
      <c r="T86" s="331">
        <f>Commodity!R45*(1+$C$36+$C$37)*$C$23</f>
        <v>0.74421913891370473</v>
      </c>
      <c r="U86" s="331">
        <f>Commodity!S45*(1+$C$36+$C$37)*$C$23</f>
        <v>0.76056691327461812</v>
      </c>
      <c r="V86" s="331">
        <f>Commodity!T45*(1+$C$36+$C$37)*$C$23</f>
        <v>0.77723020278753041</v>
      </c>
      <c r="W86" s="331">
        <f>Commodity!U45*(1+$C$36+$C$37)*$C$23</f>
        <v>0.79428685942289823</v>
      </c>
      <c r="X86" s="331">
        <f>Commodity!V45*(1+$C$36+$C$37)*$C$23</f>
        <v>0.81167011453963744</v>
      </c>
      <c r="Y86" s="331">
        <f>Commodity!W45*(1+$C$36+$C$37)*$C$23</f>
        <v>0.82949160344080974</v>
      </c>
      <c r="Z86" s="331">
        <f>Commodity!X45*(1+$C$36+$C$37)*$C$23</f>
        <v>0.84773963191867741</v>
      </c>
      <c r="AA86" s="331">
        <f>Commodity!Y45*(1+$C$36+$C$37)*$C$23</f>
        <v>0.86638384534388391</v>
      </c>
      <c r="AB86" s="331">
        <f>Commodity!Z45*(1+$C$36+$C$37)*$C$23</f>
        <v>0.88547171378269662</v>
      </c>
      <c r="AC86" s="331">
        <f>Commodity!AA45*(1+$C$36+$C$37)*$C$23</f>
        <v>0.90505627457163362</v>
      </c>
      <c r="AD86" s="331">
        <f>Commodity!AB45*(1+$C$36+$C$37)*$C$23</f>
        <v>0.92513962107945125</v>
      </c>
      <c r="AE86" s="331">
        <f>Commodity!AC45*(1+$C$36+$C$37)*$C$23</f>
        <v>0.94566458149235011</v>
      </c>
      <c r="AF86" s="331">
        <f>Commodity!AD45*(1+$C$36+$C$37)*$C$23</f>
        <v>0.96658892564176391</v>
      </c>
      <c r="AG86" s="331">
        <f>Commodity!AE45*(1+$C$36+$C$37)*$C$23</f>
        <v>0.98591391181839583</v>
      </c>
      <c r="AH86" s="331">
        <f>Commodity!AF45*(1+$C$36+$C$37)*$C$23</f>
        <v>1.0063772687033758</v>
      </c>
      <c r="AI86" s="331">
        <f>Commodity!AG45*(1+$C$36+$C$37)*$C$23</f>
        <v>1.0268659006775138</v>
      </c>
      <c r="AJ86" s="331">
        <f>Commodity!AH45*(1+$C$36+$C$37)*$C$23</f>
        <v>1.0472658500543832</v>
      </c>
    </row>
    <row r="87" spans="2:36" ht="15" customHeight="1">
      <c r="B87" s="230" t="s">
        <v>66</v>
      </c>
      <c r="C87" s="331">
        <f t="shared" ca="1" si="4"/>
        <v>0.58349642065735541</v>
      </c>
      <c r="E87" s="331">
        <f>Commodity!C46*(1+$C$36+$C$37)*$C$23</f>
        <v>0.57012449169771295</v>
      </c>
      <c r="F87" s="331">
        <f>Commodity!D46*(1+$C$36+$C$37)*$C$23</f>
        <v>0.58349642065735541</v>
      </c>
      <c r="G87" s="331">
        <f>Commodity!E46*(1+$C$36+$C$37)*$C$23</f>
        <v>0.59721511319322251</v>
      </c>
      <c r="H87" s="331">
        <f>Commodity!F46*(1+$C$36+$C$37)*$C$23</f>
        <v>0.61050467679251452</v>
      </c>
      <c r="I87" s="331">
        <f>Commodity!G46*(1+$C$36+$C$37)*$C$23</f>
        <v>0.62298621355535655</v>
      </c>
      <c r="J87" s="331">
        <f>Commodity!H46*(1+$C$36+$C$37)*$C$23</f>
        <v>0.63569706150274163</v>
      </c>
      <c r="K87" s="331">
        <f>Commodity!I46*(1+$C$36+$C$37)*$C$23</f>
        <v>0.6486616340573893</v>
      </c>
      <c r="L87" s="331">
        <f>Commodity!J46*(1+$C$36+$C$37)*$C$23</f>
        <v>0.66179002584863489</v>
      </c>
      <c r="M87" s="331">
        <f>Commodity!K46*(1+$C$36+$C$37)*$C$23</f>
        <v>0.67517694097386927</v>
      </c>
      <c r="N87" s="331">
        <f>Commodity!L46*(1+$C$36+$C$37)*$C$23</f>
        <v>0.68913056828333152</v>
      </c>
      <c r="O87" s="331">
        <f>Commodity!M46*(1+$C$36+$C$37)*$C$23</f>
        <v>0.70330226560205344</v>
      </c>
      <c r="P87" s="331">
        <f>Commodity!N46*(1+$C$36+$C$37)*$C$23</f>
        <v>0.71823127394495234</v>
      </c>
      <c r="Q87" s="331">
        <f>Commodity!O46*(1+$C$36+$C$37)*$C$23</f>
        <v>0.73305047922494782</v>
      </c>
      <c r="R87" s="331">
        <f>Commodity!P46*(1+$C$36+$C$37)*$C$23</f>
        <v>0.74833691700036054</v>
      </c>
      <c r="S87" s="331">
        <f>Commodity!Q46*(1+$C$36+$C$37)*$C$23</f>
        <v>0.76438024658755699</v>
      </c>
      <c r="T87" s="331">
        <f>Commodity!R46*(1+$C$36+$C$37)*$C$23</f>
        <v>0.78099157493212668</v>
      </c>
      <c r="U87" s="331">
        <f>Commodity!S46*(1+$C$36+$C$37)*$C$23</f>
        <v>0.7981514023824805</v>
      </c>
      <c r="V87" s="331">
        <f>Commodity!T46*(1+$C$36+$C$37)*$C$23</f>
        <v>0.81562140563242391</v>
      </c>
      <c r="W87" s="331">
        <f>Commodity!U46*(1+$C$36+$C$37)*$C$23</f>
        <v>0.8335254668956622</v>
      </c>
      <c r="X87" s="331">
        <f>Commodity!V46*(1+$C$36+$C$37)*$C$23</f>
        <v>0.85176920344759444</v>
      </c>
      <c r="Y87" s="331">
        <f>Commodity!W46*(1+$C$36+$C$37)*$C$23</f>
        <v>0.87047411499444893</v>
      </c>
      <c r="Z87" s="331">
        <f>Commodity!X46*(1+$C$36+$C$37)*$C$23</f>
        <v>0.8896246295737904</v>
      </c>
      <c r="AA87" s="331">
        <f>Commodity!Y46*(1+$C$36+$C$37)*$C$23</f>
        <v>0.90919367104124404</v>
      </c>
      <c r="AB87" s="331">
        <f>Commodity!Z46*(1+$C$36+$C$37)*$C$23</f>
        <v>0.92922533073312519</v>
      </c>
      <c r="AC87" s="331">
        <f>Commodity!AA46*(1+$C$36+$C$37)*$C$23</f>
        <v>0.9497816728029268</v>
      </c>
      <c r="AD87" s="331">
        <f>Commodity!AB46*(1+$C$36+$C$37)*$C$23</f>
        <v>0.97085944860670537</v>
      </c>
      <c r="AE87" s="331">
        <f>Commodity!AC46*(1+$C$36+$C$37)*$C$23</f>
        <v>0.99240181095382851</v>
      </c>
      <c r="AF87" s="331">
        <f>Commodity!AD46*(1+$C$36+$C$37)*$C$23</f>
        <v>1.0143614618248735</v>
      </c>
      <c r="AG87" s="331">
        <f>Commodity!AE46*(1+$C$36+$C$37)*$C$23</f>
        <v>1.0346454698099559</v>
      </c>
      <c r="AH87" s="331">
        <f>Commodity!AF46*(1+$C$36+$C$37)*$C$23</f>
        <v>1.0561195783564663</v>
      </c>
      <c r="AI87" s="331">
        <f>Commodity!AG46*(1+$C$36+$C$37)*$C$23</f>
        <v>1.0776334445209255</v>
      </c>
      <c r="AJ87" s="331">
        <f>Commodity!AH46*(1+$C$36+$C$37)*$C$23</f>
        <v>1.0990458872530902</v>
      </c>
    </row>
    <row r="88" spans="2:36" ht="15" customHeight="1">
      <c r="B88" s="231" t="s">
        <v>67</v>
      </c>
      <c r="C88" s="331">
        <f t="shared" ca="1" si="4"/>
        <v>0.58835117108738455</v>
      </c>
      <c r="E88" s="331">
        <f>Commodity!C47*(1+$C$36+$C$37)*$C$23</f>
        <v>0.57333759356350367</v>
      </c>
      <c r="F88" s="331">
        <f>Commodity!D47*(1+$C$36+$C$37)*$C$23</f>
        <v>0.58835117108738455</v>
      </c>
      <c r="G88" s="331">
        <f>Commodity!E47*(1+$C$36+$C$37)*$C$23</f>
        <v>0.60203789816453657</v>
      </c>
      <c r="H88" s="331">
        <f>Commodity!F47*(1+$C$36+$C$37)*$C$23</f>
        <v>0.61539447605472797</v>
      </c>
      <c r="I88" s="331">
        <f>Commodity!G47*(1+$C$36+$C$37)*$C$23</f>
        <v>0.62796859646596337</v>
      </c>
      <c r="J88" s="331">
        <f>Commodity!H47*(1+$C$36+$C$37)*$C$23</f>
        <v>0.64079577451855307</v>
      </c>
      <c r="K88" s="331">
        <f>Commodity!I47*(1+$C$36+$C$37)*$C$23</f>
        <v>0.65387194991333819</v>
      </c>
      <c r="L88" s="331">
        <f>Commodity!J47*(1+$C$36+$C$37)*$C$23</f>
        <v>0.66709834099407417</v>
      </c>
      <c r="M88" s="331">
        <f>Commodity!K47*(1+$C$36+$C$37)*$C$23</f>
        <v>0.68059132008465073</v>
      </c>
      <c r="N88" s="331">
        <f>Commodity!L47*(1+$C$36+$C$37)*$C$23</f>
        <v>0.69467105902960813</v>
      </c>
      <c r="O88" s="331">
        <f>Commodity!M47*(1+$C$36+$C$37)*$C$23</f>
        <v>0.7089329683865544</v>
      </c>
      <c r="P88" s="331">
        <f>Commodity!N47*(1+$C$36+$C$37)*$C$23</f>
        <v>0.72401114055965121</v>
      </c>
      <c r="Q88" s="331">
        <f>Commodity!O47*(1+$C$36+$C$37)*$C$23</f>
        <v>0.73889807353736203</v>
      </c>
      <c r="R88" s="331">
        <f>Commodity!P47*(1+$C$36+$C$37)*$C$23</f>
        <v>0.75431270709729847</v>
      </c>
      <c r="S88" s="331">
        <f>Commodity!Q47*(1+$C$36+$C$37)*$C$23</f>
        <v>0.77051266045519595</v>
      </c>
      <c r="T88" s="331">
        <f>Commodity!R47*(1+$C$36+$C$37)*$C$23</f>
        <v>0.78726139609371115</v>
      </c>
      <c r="U88" s="331">
        <f>Commodity!S47*(1+$C$36+$C$37)*$C$23</f>
        <v>0.8045633151611945</v>
      </c>
      <c r="V88" s="331">
        <f>Commodity!T47*(1+$C$36+$C$37)*$C$23</f>
        <v>0.82215680049975848</v>
      </c>
      <c r="W88" s="331">
        <f>Commodity!U47*(1+$C$36+$C$37)*$C$23</f>
        <v>0.84020925588042217</v>
      </c>
      <c r="X88" s="331">
        <f>Commodity!V47*(1+$C$36+$C$37)*$C$23</f>
        <v>0.85860102787524073</v>
      </c>
      <c r="Y88" s="331">
        <f>Commodity!W47*(1+$C$36+$C$37)*$C$23</f>
        <v>0.87745897542102835</v>
      </c>
      <c r="Z88" s="331">
        <f>Commodity!X47*(1+$C$36+$C$37)*$C$23</f>
        <v>0.89676407473616104</v>
      </c>
      <c r="AA88" s="331">
        <f>Commodity!Y47*(1+$C$36+$C$37)*$C$23</f>
        <v>0.91649384954965152</v>
      </c>
      <c r="AB88" s="331">
        <f>Commodity!Z47*(1+$C$36+$C$37)*$C$23</f>
        <v>0.93668697428813164</v>
      </c>
      <c r="AC88" s="331">
        <f>Commodity!AA47*(1+$C$36+$C$37)*$C$23</f>
        <v>0.95741246972655403</v>
      </c>
      <c r="AD88" s="331">
        <f>Commodity!AB47*(1+$C$36+$C$37)*$C$23</f>
        <v>0.9786615713496476</v>
      </c>
      <c r="AE88" s="331">
        <f>Commodity!AC47*(1+$C$36+$C$37)*$C$23</f>
        <v>1.0003801507694532</v>
      </c>
      <c r="AF88" s="331">
        <f>Commodity!AD47*(1+$C$36+$C$37)*$C$23</f>
        <v>1.0225175247540343</v>
      </c>
      <c r="AG88" s="331">
        <f>Commodity!AE47*(1+$C$36+$C$37)*$C$23</f>
        <v>1.0429685666498274</v>
      </c>
      <c r="AH88" s="331">
        <f>Commodity!AF47*(1+$C$36+$C$37)*$C$23</f>
        <v>1.0646147085626885</v>
      </c>
      <c r="AI88" s="331">
        <f>Commodity!AG47*(1+$C$36+$C$37)*$C$23</f>
        <v>1.0863142687007115</v>
      </c>
      <c r="AJ88" s="331">
        <f>Commodity!AH47*(1+$C$36+$C$37)*$C$23</f>
        <v>1.1079031641474058</v>
      </c>
    </row>
    <row r="89" spans="2:36" ht="15" customHeight="1">
      <c r="E89" s="56"/>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2:36" ht="15" customHeight="1">
      <c r="B90" s="330" t="s">
        <v>41</v>
      </c>
      <c r="C90" s="29" t="s">
        <v>75</v>
      </c>
      <c r="E90" s="29">
        <f>E$47</f>
        <v>2023</v>
      </c>
      <c r="F90" s="29">
        <f t="shared" ref="F90:AJ90" si="5">F$47</f>
        <v>2024</v>
      </c>
      <c r="G90" s="29">
        <f t="shared" si="5"/>
        <v>2025</v>
      </c>
      <c r="H90" s="29">
        <f t="shared" si="5"/>
        <v>2026</v>
      </c>
      <c r="I90" s="29">
        <f t="shared" si="5"/>
        <v>2027</v>
      </c>
      <c r="J90" s="29">
        <f t="shared" si="5"/>
        <v>2028</v>
      </c>
      <c r="K90" s="29">
        <f t="shared" si="5"/>
        <v>2029</v>
      </c>
      <c r="L90" s="29">
        <f t="shared" si="5"/>
        <v>2030</v>
      </c>
      <c r="M90" s="29">
        <f t="shared" si="5"/>
        <v>2031</v>
      </c>
      <c r="N90" s="29">
        <f t="shared" si="5"/>
        <v>2032</v>
      </c>
      <c r="O90" s="29">
        <f t="shared" si="5"/>
        <v>2033</v>
      </c>
      <c r="P90" s="29">
        <f t="shared" si="5"/>
        <v>2034</v>
      </c>
      <c r="Q90" s="29">
        <f t="shared" si="5"/>
        <v>2035</v>
      </c>
      <c r="R90" s="29">
        <f t="shared" si="5"/>
        <v>2036</v>
      </c>
      <c r="S90" s="29">
        <f t="shared" si="5"/>
        <v>2037</v>
      </c>
      <c r="T90" s="29">
        <f t="shared" si="5"/>
        <v>2038</v>
      </c>
      <c r="U90" s="29">
        <f t="shared" si="5"/>
        <v>2039</v>
      </c>
      <c r="V90" s="29">
        <f t="shared" si="5"/>
        <v>2040</v>
      </c>
      <c r="W90" s="29">
        <f t="shared" si="5"/>
        <v>2041</v>
      </c>
      <c r="X90" s="29">
        <f t="shared" si="5"/>
        <v>2042</v>
      </c>
      <c r="Y90" s="29">
        <f t="shared" si="5"/>
        <v>2043</v>
      </c>
      <c r="Z90" s="29">
        <f t="shared" si="5"/>
        <v>2044</v>
      </c>
      <c r="AA90" s="29">
        <f t="shared" si="5"/>
        <v>2045</v>
      </c>
      <c r="AB90" s="29">
        <f t="shared" si="5"/>
        <v>2046</v>
      </c>
      <c r="AC90" s="29">
        <f t="shared" si="5"/>
        <v>2047</v>
      </c>
      <c r="AD90" s="29">
        <f t="shared" si="5"/>
        <v>2048</v>
      </c>
      <c r="AE90" s="29">
        <f t="shared" si="5"/>
        <v>2049</v>
      </c>
      <c r="AF90" s="29">
        <f t="shared" si="5"/>
        <v>2050</v>
      </c>
      <c r="AG90" s="29">
        <f t="shared" si="5"/>
        <v>2051</v>
      </c>
      <c r="AH90" s="29">
        <f t="shared" si="5"/>
        <v>2052</v>
      </c>
      <c r="AI90" s="29">
        <f t="shared" si="5"/>
        <v>2053</v>
      </c>
      <c r="AJ90" s="29">
        <f t="shared" si="5"/>
        <v>2054</v>
      </c>
    </row>
    <row r="91" spans="2:36" ht="15" customHeight="1">
      <c r="B91" s="230" t="s">
        <v>53</v>
      </c>
      <c r="C91" s="331">
        <f ca="1">-PMT($C$17,$C$15,NPV($C$17,OFFSET(E91,0,$C$72,1,$C$15))) * (1+$C$20)^($C$19-$C$14)</f>
        <v>0.49868852459016405</v>
      </c>
      <c r="E91" s="331">
        <f>$G34*E$48*$C$24*(1+$C$36+$C$37)</f>
        <v>0.49868852459016405</v>
      </c>
      <c r="F91" s="331">
        <f t="shared" ref="F91:AJ91" si="6">$G34*F$48*$C$24*(1+$C$36+$C$37)</f>
        <v>0.49868852459016405</v>
      </c>
      <c r="G91" s="331">
        <f t="shared" si="6"/>
        <v>0.51890336262295089</v>
      </c>
      <c r="H91" s="331">
        <f t="shared" si="6"/>
        <v>0.52928142987540983</v>
      </c>
      <c r="I91" s="331">
        <f t="shared" si="6"/>
        <v>0.53986705847291805</v>
      </c>
      <c r="J91" s="331">
        <f t="shared" si="6"/>
        <v>0.55066439964237646</v>
      </c>
      <c r="K91" s="331">
        <f t="shared" si="6"/>
        <v>0.56167768763522385</v>
      </c>
      <c r="L91" s="331">
        <f t="shared" si="6"/>
        <v>0.57291124138792837</v>
      </c>
      <c r="M91" s="331">
        <f t="shared" si="6"/>
        <v>0.58436946621568686</v>
      </c>
      <c r="N91" s="331">
        <f t="shared" si="6"/>
        <v>0.59605685554000076</v>
      </c>
      <c r="O91" s="331">
        <f t="shared" si="6"/>
        <v>0.60797799265080066</v>
      </c>
      <c r="P91" s="331">
        <f t="shared" si="6"/>
        <v>0.62013755250381675</v>
      </c>
      <c r="Q91" s="331">
        <f t="shared" si="6"/>
        <v>0.63254030355389301</v>
      </c>
      <c r="R91" s="331">
        <f t="shared" si="6"/>
        <v>0.64519110962497095</v>
      </c>
      <c r="S91" s="331">
        <f t="shared" si="6"/>
        <v>0.65809493181747014</v>
      </c>
      <c r="T91" s="331">
        <f t="shared" si="6"/>
        <v>0.67125683045381968</v>
      </c>
      <c r="U91" s="331">
        <f t="shared" si="6"/>
        <v>0.68468196706289619</v>
      </c>
      <c r="V91" s="331">
        <f t="shared" si="6"/>
        <v>0.69837560640415397</v>
      </c>
      <c r="W91" s="331">
        <f t="shared" si="6"/>
        <v>0.7123431185322372</v>
      </c>
      <c r="X91" s="331">
        <f t="shared" si="6"/>
        <v>0.72658998090288185</v>
      </c>
      <c r="Y91" s="331">
        <f t="shared" si="6"/>
        <v>0.74112178052093947</v>
      </c>
      <c r="Z91" s="331">
        <f t="shared" si="6"/>
        <v>0.7559442161313582</v>
      </c>
      <c r="AA91" s="331">
        <f t="shared" si="6"/>
        <v>0.7710631004539853</v>
      </c>
      <c r="AB91" s="331">
        <f t="shared" si="6"/>
        <v>0.78648436246306508</v>
      </c>
      <c r="AC91" s="331">
        <f t="shared" si="6"/>
        <v>0.80221404971232646</v>
      </c>
      <c r="AD91" s="331">
        <f t="shared" si="6"/>
        <v>0.81825833070657294</v>
      </c>
      <c r="AE91" s="331">
        <f t="shared" si="6"/>
        <v>0.83462349732070429</v>
      </c>
      <c r="AF91" s="331">
        <f t="shared" si="6"/>
        <v>0.85131596726711845</v>
      </c>
      <c r="AG91" s="331">
        <f t="shared" si="6"/>
        <v>0.86834228661246082</v>
      </c>
      <c r="AH91" s="331">
        <f t="shared" si="6"/>
        <v>0.88570913234471016</v>
      </c>
      <c r="AI91" s="331">
        <f t="shared" si="6"/>
        <v>0.90342331499160411</v>
      </c>
      <c r="AJ91" s="331">
        <f t="shared" si="6"/>
        <v>0.92149178129143627</v>
      </c>
    </row>
    <row r="92" spans="2:36" ht="15" customHeight="1">
      <c r="B92" s="230" t="s">
        <v>55</v>
      </c>
      <c r="C92" s="331">
        <f t="shared" ref="C92:C102" ca="1" si="7">-PMT($C$17,$C$15,NPV($C$17,OFFSET(E92,0,$C$72,1,$C$15))) * (1+$C$20)^($C$19-$C$14)</f>
        <v>0.49868852459016405</v>
      </c>
      <c r="E92" s="331">
        <f>$G35*E$48*$C$24*(1+$C$36+$C$37)</f>
        <v>0.49868852459016405</v>
      </c>
      <c r="F92" s="331">
        <f t="shared" ref="F92:AJ92" si="8">$G35*F$48*$C$24*(1+$C$36+$C$37)</f>
        <v>0.49868852459016405</v>
      </c>
      <c r="G92" s="331">
        <f t="shared" si="8"/>
        <v>0.51890336262295089</v>
      </c>
      <c r="H92" s="331">
        <f t="shared" si="8"/>
        <v>0.52928142987540983</v>
      </c>
      <c r="I92" s="331">
        <f t="shared" si="8"/>
        <v>0.53986705847291805</v>
      </c>
      <c r="J92" s="331">
        <f t="shared" si="8"/>
        <v>0.55066439964237646</v>
      </c>
      <c r="K92" s="331">
        <f t="shared" si="8"/>
        <v>0.56167768763522385</v>
      </c>
      <c r="L92" s="331">
        <f t="shared" si="8"/>
        <v>0.57291124138792837</v>
      </c>
      <c r="M92" s="331">
        <f t="shared" si="8"/>
        <v>0.58436946621568686</v>
      </c>
      <c r="N92" s="331">
        <f t="shared" si="8"/>
        <v>0.59605685554000076</v>
      </c>
      <c r="O92" s="331">
        <f t="shared" si="8"/>
        <v>0.60797799265080066</v>
      </c>
      <c r="P92" s="331">
        <f t="shared" si="8"/>
        <v>0.62013755250381675</v>
      </c>
      <c r="Q92" s="331">
        <f t="shared" si="8"/>
        <v>0.63254030355389301</v>
      </c>
      <c r="R92" s="331">
        <f t="shared" si="8"/>
        <v>0.64519110962497095</v>
      </c>
      <c r="S92" s="331">
        <f t="shared" si="8"/>
        <v>0.65809493181747014</v>
      </c>
      <c r="T92" s="331">
        <f t="shared" si="8"/>
        <v>0.67125683045381968</v>
      </c>
      <c r="U92" s="331">
        <f t="shared" si="8"/>
        <v>0.68468196706289619</v>
      </c>
      <c r="V92" s="331">
        <f t="shared" si="8"/>
        <v>0.69837560640415397</v>
      </c>
      <c r="W92" s="331">
        <f t="shared" si="8"/>
        <v>0.7123431185322372</v>
      </c>
      <c r="X92" s="331">
        <f t="shared" si="8"/>
        <v>0.72658998090288185</v>
      </c>
      <c r="Y92" s="331">
        <f t="shared" si="8"/>
        <v>0.74112178052093947</v>
      </c>
      <c r="Z92" s="331">
        <f t="shared" si="8"/>
        <v>0.7559442161313582</v>
      </c>
      <c r="AA92" s="331">
        <f t="shared" si="8"/>
        <v>0.7710631004539853</v>
      </c>
      <c r="AB92" s="331">
        <f t="shared" si="8"/>
        <v>0.78648436246306508</v>
      </c>
      <c r="AC92" s="331">
        <f t="shared" si="8"/>
        <v>0.80221404971232646</v>
      </c>
      <c r="AD92" s="331">
        <f t="shared" si="8"/>
        <v>0.81825833070657294</v>
      </c>
      <c r="AE92" s="331">
        <f t="shared" si="8"/>
        <v>0.83462349732070429</v>
      </c>
      <c r="AF92" s="331">
        <f t="shared" si="8"/>
        <v>0.85131596726711845</v>
      </c>
      <c r="AG92" s="331">
        <f t="shared" si="8"/>
        <v>0.86834228661246082</v>
      </c>
      <c r="AH92" s="331">
        <f t="shared" si="8"/>
        <v>0.88570913234471016</v>
      </c>
      <c r="AI92" s="331">
        <f t="shared" si="8"/>
        <v>0.90342331499160411</v>
      </c>
      <c r="AJ92" s="331">
        <f t="shared" si="8"/>
        <v>0.92149178129143627</v>
      </c>
    </row>
    <row r="93" spans="2:36" ht="15" customHeight="1">
      <c r="B93" s="230" t="s">
        <v>57</v>
      </c>
      <c r="C93" s="331">
        <f t="shared" ca="1" si="7"/>
        <v>0.49868852459016405</v>
      </c>
      <c r="E93" s="331">
        <f t="shared" ref="E93:AJ93" si="9">$G36*E$48*$C$24*(1+$C$36+$C$37)</f>
        <v>0.49868852459016405</v>
      </c>
      <c r="F93" s="331">
        <f>$G36*F$48*$C$24*(1+$C$36+$C$37)</f>
        <v>0.49868852459016405</v>
      </c>
      <c r="G93" s="331">
        <f t="shared" si="9"/>
        <v>0.51890336262295089</v>
      </c>
      <c r="H93" s="331">
        <f t="shared" si="9"/>
        <v>0.52928142987540983</v>
      </c>
      <c r="I93" s="331">
        <f t="shared" si="9"/>
        <v>0.53986705847291805</v>
      </c>
      <c r="J93" s="331">
        <f t="shared" si="9"/>
        <v>0.55066439964237646</v>
      </c>
      <c r="K93" s="331">
        <f t="shared" si="9"/>
        <v>0.56167768763522385</v>
      </c>
      <c r="L93" s="331">
        <f t="shared" si="9"/>
        <v>0.57291124138792837</v>
      </c>
      <c r="M93" s="331">
        <f t="shared" si="9"/>
        <v>0.58436946621568686</v>
      </c>
      <c r="N93" s="331">
        <f t="shared" si="9"/>
        <v>0.59605685554000076</v>
      </c>
      <c r="O93" s="331">
        <f t="shared" si="9"/>
        <v>0.60797799265080066</v>
      </c>
      <c r="P93" s="331">
        <f t="shared" si="9"/>
        <v>0.62013755250381675</v>
      </c>
      <c r="Q93" s="331">
        <f t="shared" si="9"/>
        <v>0.63254030355389301</v>
      </c>
      <c r="R93" s="331">
        <f t="shared" si="9"/>
        <v>0.64519110962497095</v>
      </c>
      <c r="S93" s="331">
        <f t="shared" si="9"/>
        <v>0.65809493181747014</v>
      </c>
      <c r="T93" s="331">
        <f t="shared" si="9"/>
        <v>0.67125683045381968</v>
      </c>
      <c r="U93" s="331">
        <f t="shared" si="9"/>
        <v>0.68468196706289619</v>
      </c>
      <c r="V93" s="331">
        <f t="shared" si="9"/>
        <v>0.69837560640415397</v>
      </c>
      <c r="W93" s="331">
        <f t="shared" si="9"/>
        <v>0.7123431185322372</v>
      </c>
      <c r="X93" s="331">
        <f t="shared" si="9"/>
        <v>0.72658998090288185</v>
      </c>
      <c r="Y93" s="331">
        <f t="shared" si="9"/>
        <v>0.74112178052093947</v>
      </c>
      <c r="Z93" s="331">
        <f t="shared" si="9"/>
        <v>0.7559442161313582</v>
      </c>
      <c r="AA93" s="331">
        <f t="shared" si="9"/>
        <v>0.7710631004539853</v>
      </c>
      <c r="AB93" s="331">
        <f t="shared" si="9"/>
        <v>0.78648436246306508</v>
      </c>
      <c r="AC93" s="331">
        <f t="shared" si="9"/>
        <v>0.80221404971232646</v>
      </c>
      <c r="AD93" s="331">
        <f t="shared" si="9"/>
        <v>0.81825833070657294</v>
      </c>
      <c r="AE93" s="331">
        <f t="shared" si="9"/>
        <v>0.83462349732070429</v>
      </c>
      <c r="AF93" s="331">
        <f t="shared" si="9"/>
        <v>0.85131596726711845</v>
      </c>
      <c r="AG93" s="331">
        <f t="shared" si="9"/>
        <v>0.86834228661246082</v>
      </c>
      <c r="AH93" s="331">
        <f t="shared" si="9"/>
        <v>0.88570913234471016</v>
      </c>
      <c r="AI93" s="331">
        <f t="shared" si="9"/>
        <v>0.90342331499160411</v>
      </c>
      <c r="AJ93" s="331">
        <f t="shared" si="9"/>
        <v>0.92149178129143627</v>
      </c>
    </row>
    <row r="94" spans="2:36" ht="15" customHeight="1">
      <c r="B94" s="230" t="s">
        <v>59</v>
      </c>
      <c r="C94" s="331">
        <f t="shared" ca="1" si="7"/>
        <v>0</v>
      </c>
      <c r="E94" s="331">
        <f t="shared" ref="E94:AJ94" si="10">$G37*E$48*$C$24*(1+$C$36+$C$37)</f>
        <v>0</v>
      </c>
      <c r="F94" s="331">
        <f t="shared" si="10"/>
        <v>0</v>
      </c>
      <c r="G94" s="331">
        <f t="shared" si="10"/>
        <v>0</v>
      </c>
      <c r="H94" s="331">
        <f t="shared" si="10"/>
        <v>0</v>
      </c>
      <c r="I94" s="331">
        <f t="shared" si="10"/>
        <v>0</v>
      </c>
      <c r="J94" s="331">
        <f t="shared" si="10"/>
        <v>0</v>
      </c>
      <c r="K94" s="331">
        <f t="shared" si="10"/>
        <v>0</v>
      </c>
      <c r="L94" s="331">
        <f t="shared" si="10"/>
        <v>0</v>
      </c>
      <c r="M94" s="331">
        <f t="shared" si="10"/>
        <v>0</v>
      </c>
      <c r="N94" s="331">
        <f t="shared" si="10"/>
        <v>0</v>
      </c>
      <c r="O94" s="331">
        <f t="shared" si="10"/>
        <v>0</v>
      </c>
      <c r="P94" s="331">
        <f t="shared" si="10"/>
        <v>0</v>
      </c>
      <c r="Q94" s="331">
        <f t="shared" si="10"/>
        <v>0</v>
      </c>
      <c r="R94" s="331">
        <f t="shared" si="10"/>
        <v>0</v>
      </c>
      <c r="S94" s="331">
        <f t="shared" si="10"/>
        <v>0</v>
      </c>
      <c r="T94" s="331">
        <f t="shared" si="10"/>
        <v>0</v>
      </c>
      <c r="U94" s="331">
        <f t="shared" si="10"/>
        <v>0</v>
      </c>
      <c r="V94" s="331">
        <f t="shared" si="10"/>
        <v>0</v>
      </c>
      <c r="W94" s="331">
        <f t="shared" si="10"/>
        <v>0</v>
      </c>
      <c r="X94" s="331">
        <f t="shared" si="10"/>
        <v>0</v>
      </c>
      <c r="Y94" s="331">
        <f t="shared" si="10"/>
        <v>0</v>
      </c>
      <c r="Z94" s="331">
        <f t="shared" si="10"/>
        <v>0</v>
      </c>
      <c r="AA94" s="331">
        <f t="shared" si="10"/>
        <v>0</v>
      </c>
      <c r="AB94" s="331">
        <f t="shared" si="10"/>
        <v>0</v>
      </c>
      <c r="AC94" s="331">
        <f t="shared" si="10"/>
        <v>0</v>
      </c>
      <c r="AD94" s="331">
        <f t="shared" si="10"/>
        <v>0</v>
      </c>
      <c r="AE94" s="331">
        <f t="shared" si="10"/>
        <v>0</v>
      </c>
      <c r="AF94" s="331">
        <f t="shared" si="10"/>
        <v>0</v>
      </c>
      <c r="AG94" s="331">
        <f t="shared" si="10"/>
        <v>0</v>
      </c>
      <c r="AH94" s="331">
        <f t="shared" si="10"/>
        <v>0</v>
      </c>
      <c r="AI94" s="331">
        <f t="shared" si="10"/>
        <v>0</v>
      </c>
      <c r="AJ94" s="331">
        <f t="shared" si="10"/>
        <v>0</v>
      </c>
    </row>
    <row r="95" spans="2:36" ht="15" customHeight="1">
      <c r="B95" s="230" t="s">
        <v>60</v>
      </c>
      <c r="C95" s="331">
        <f t="shared" ca="1" si="7"/>
        <v>0</v>
      </c>
      <c r="E95" s="331">
        <f t="shared" ref="E95:AJ95" si="11">$G38*E$48*$C$24*(1+$C$36+$C$37)</f>
        <v>0</v>
      </c>
      <c r="F95" s="331">
        <f t="shared" si="11"/>
        <v>0</v>
      </c>
      <c r="G95" s="331">
        <f t="shared" si="11"/>
        <v>0</v>
      </c>
      <c r="H95" s="331">
        <f t="shared" si="11"/>
        <v>0</v>
      </c>
      <c r="I95" s="331">
        <f t="shared" si="11"/>
        <v>0</v>
      </c>
      <c r="J95" s="331">
        <f t="shared" si="11"/>
        <v>0</v>
      </c>
      <c r="K95" s="331">
        <f t="shared" si="11"/>
        <v>0</v>
      </c>
      <c r="L95" s="331">
        <f t="shared" si="11"/>
        <v>0</v>
      </c>
      <c r="M95" s="331">
        <f t="shared" si="11"/>
        <v>0</v>
      </c>
      <c r="N95" s="331">
        <f t="shared" si="11"/>
        <v>0</v>
      </c>
      <c r="O95" s="331">
        <f t="shared" si="11"/>
        <v>0</v>
      </c>
      <c r="P95" s="331">
        <f t="shared" si="11"/>
        <v>0</v>
      </c>
      <c r="Q95" s="331">
        <f t="shared" si="11"/>
        <v>0</v>
      </c>
      <c r="R95" s="331">
        <f t="shared" si="11"/>
        <v>0</v>
      </c>
      <c r="S95" s="331">
        <f t="shared" si="11"/>
        <v>0</v>
      </c>
      <c r="T95" s="331">
        <f t="shared" si="11"/>
        <v>0</v>
      </c>
      <c r="U95" s="331">
        <f t="shared" si="11"/>
        <v>0</v>
      </c>
      <c r="V95" s="331">
        <f t="shared" si="11"/>
        <v>0</v>
      </c>
      <c r="W95" s="331">
        <f t="shared" si="11"/>
        <v>0</v>
      </c>
      <c r="X95" s="331">
        <f t="shared" si="11"/>
        <v>0</v>
      </c>
      <c r="Y95" s="331">
        <f t="shared" si="11"/>
        <v>0</v>
      </c>
      <c r="Z95" s="331">
        <f t="shared" si="11"/>
        <v>0</v>
      </c>
      <c r="AA95" s="331">
        <f t="shared" si="11"/>
        <v>0</v>
      </c>
      <c r="AB95" s="331">
        <f t="shared" si="11"/>
        <v>0</v>
      </c>
      <c r="AC95" s="331">
        <f t="shared" si="11"/>
        <v>0</v>
      </c>
      <c r="AD95" s="331">
        <f t="shared" si="11"/>
        <v>0</v>
      </c>
      <c r="AE95" s="331">
        <f t="shared" si="11"/>
        <v>0</v>
      </c>
      <c r="AF95" s="331">
        <f t="shared" si="11"/>
        <v>0</v>
      </c>
      <c r="AG95" s="331">
        <f t="shared" si="11"/>
        <v>0</v>
      </c>
      <c r="AH95" s="331">
        <f t="shared" si="11"/>
        <v>0</v>
      </c>
      <c r="AI95" s="331">
        <f t="shared" si="11"/>
        <v>0</v>
      </c>
      <c r="AJ95" s="331">
        <f t="shared" si="11"/>
        <v>0</v>
      </c>
    </row>
    <row r="96" spans="2:36" ht="15" customHeight="1">
      <c r="B96" s="230" t="s">
        <v>61</v>
      </c>
      <c r="C96" s="331">
        <f t="shared" ca="1" si="7"/>
        <v>0</v>
      </c>
      <c r="E96" s="331">
        <f t="shared" ref="E96:AJ96" si="12">$G39*E$48*$C$24*(1+$C$36+$C$37)</f>
        <v>0</v>
      </c>
      <c r="F96" s="331">
        <f t="shared" si="12"/>
        <v>0</v>
      </c>
      <c r="G96" s="331">
        <f t="shared" si="12"/>
        <v>0</v>
      </c>
      <c r="H96" s="331">
        <f t="shared" si="12"/>
        <v>0</v>
      </c>
      <c r="I96" s="331">
        <f t="shared" si="12"/>
        <v>0</v>
      </c>
      <c r="J96" s="331">
        <f t="shared" si="12"/>
        <v>0</v>
      </c>
      <c r="K96" s="331">
        <f t="shared" si="12"/>
        <v>0</v>
      </c>
      <c r="L96" s="331">
        <f t="shared" si="12"/>
        <v>0</v>
      </c>
      <c r="M96" s="331">
        <f t="shared" si="12"/>
        <v>0</v>
      </c>
      <c r="N96" s="331">
        <f t="shared" si="12"/>
        <v>0</v>
      </c>
      <c r="O96" s="331">
        <f t="shared" si="12"/>
        <v>0</v>
      </c>
      <c r="P96" s="331">
        <f t="shared" si="12"/>
        <v>0</v>
      </c>
      <c r="Q96" s="331">
        <f t="shared" si="12"/>
        <v>0</v>
      </c>
      <c r="R96" s="331">
        <f t="shared" si="12"/>
        <v>0</v>
      </c>
      <c r="S96" s="331">
        <f t="shared" si="12"/>
        <v>0</v>
      </c>
      <c r="T96" s="331">
        <f t="shared" si="12"/>
        <v>0</v>
      </c>
      <c r="U96" s="331">
        <f t="shared" si="12"/>
        <v>0</v>
      </c>
      <c r="V96" s="331">
        <f t="shared" si="12"/>
        <v>0</v>
      </c>
      <c r="W96" s="331">
        <f t="shared" si="12"/>
        <v>0</v>
      </c>
      <c r="X96" s="331">
        <f t="shared" si="12"/>
        <v>0</v>
      </c>
      <c r="Y96" s="331">
        <f t="shared" si="12"/>
        <v>0</v>
      </c>
      <c r="Z96" s="331">
        <f t="shared" si="12"/>
        <v>0</v>
      </c>
      <c r="AA96" s="331">
        <f t="shared" si="12"/>
        <v>0</v>
      </c>
      <c r="AB96" s="331">
        <f t="shared" si="12"/>
        <v>0</v>
      </c>
      <c r="AC96" s="331">
        <f t="shared" si="12"/>
        <v>0</v>
      </c>
      <c r="AD96" s="331">
        <f t="shared" si="12"/>
        <v>0</v>
      </c>
      <c r="AE96" s="331">
        <f t="shared" si="12"/>
        <v>0</v>
      </c>
      <c r="AF96" s="331">
        <f t="shared" si="12"/>
        <v>0</v>
      </c>
      <c r="AG96" s="331">
        <f t="shared" si="12"/>
        <v>0</v>
      </c>
      <c r="AH96" s="331">
        <f t="shared" si="12"/>
        <v>0</v>
      </c>
      <c r="AI96" s="331">
        <f t="shared" si="12"/>
        <v>0</v>
      </c>
      <c r="AJ96" s="331">
        <f t="shared" si="12"/>
        <v>0</v>
      </c>
    </row>
    <row r="97" spans="2:36" ht="15" customHeight="1">
      <c r="B97" s="230" t="s">
        <v>62</v>
      </c>
      <c r="C97" s="331">
        <f t="shared" ca="1" si="7"/>
        <v>0</v>
      </c>
      <c r="E97" s="331">
        <f t="shared" ref="E97:AJ97" si="13">$G40*E$48*$C$24*(1+$C$36+$C$37)</f>
        <v>0</v>
      </c>
      <c r="F97" s="331">
        <f t="shared" si="13"/>
        <v>0</v>
      </c>
      <c r="G97" s="331">
        <f t="shared" si="13"/>
        <v>0</v>
      </c>
      <c r="H97" s="331">
        <f t="shared" si="13"/>
        <v>0</v>
      </c>
      <c r="I97" s="331">
        <f t="shared" si="13"/>
        <v>0</v>
      </c>
      <c r="J97" s="331">
        <f t="shared" si="13"/>
        <v>0</v>
      </c>
      <c r="K97" s="331">
        <f t="shared" si="13"/>
        <v>0</v>
      </c>
      <c r="L97" s="331">
        <f t="shared" si="13"/>
        <v>0</v>
      </c>
      <c r="M97" s="331">
        <f t="shared" si="13"/>
        <v>0</v>
      </c>
      <c r="N97" s="331">
        <f t="shared" si="13"/>
        <v>0</v>
      </c>
      <c r="O97" s="331">
        <f t="shared" si="13"/>
        <v>0</v>
      </c>
      <c r="P97" s="331">
        <f t="shared" si="13"/>
        <v>0</v>
      </c>
      <c r="Q97" s="331">
        <f t="shared" si="13"/>
        <v>0</v>
      </c>
      <c r="R97" s="331">
        <f t="shared" si="13"/>
        <v>0</v>
      </c>
      <c r="S97" s="331">
        <f t="shared" si="13"/>
        <v>0</v>
      </c>
      <c r="T97" s="331">
        <f t="shared" si="13"/>
        <v>0</v>
      </c>
      <c r="U97" s="331">
        <f t="shared" si="13"/>
        <v>0</v>
      </c>
      <c r="V97" s="331">
        <f t="shared" si="13"/>
        <v>0</v>
      </c>
      <c r="W97" s="331">
        <f t="shared" si="13"/>
        <v>0</v>
      </c>
      <c r="X97" s="331">
        <f t="shared" si="13"/>
        <v>0</v>
      </c>
      <c r="Y97" s="331">
        <f t="shared" si="13"/>
        <v>0</v>
      </c>
      <c r="Z97" s="331">
        <f t="shared" si="13"/>
        <v>0</v>
      </c>
      <c r="AA97" s="331">
        <f t="shared" si="13"/>
        <v>0</v>
      </c>
      <c r="AB97" s="331">
        <f t="shared" si="13"/>
        <v>0</v>
      </c>
      <c r="AC97" s="331">
        <f t="shared" si="13"/>
        <v>0</v>
      </c>
      <c r="AD97" s="331">
        <f t="shared" si="13"/>
        <v>0</v>
      </c>
      <c r="AE97" s="331">
        <f t="shared" si="13"/>
        <v>0</v>
      </c>
      <c r="AF97" s="331">
        <f t="shared" si="13"/>
        <v>0</v>
      </c>
      <c r="AG97" s="331">
        <f t="shared" si="13"/>
        <v>0</v>
      </c>
      <c r="AH97" s="331">
        <f t="shared" si="13"/>
        <v>0</v>
      </c>
      <c r="AI97" s="331">
        <f t="shared" si="13"/>
        <v>0</v>
      </c>
      <c r="AJ97" s="331">
        <f t="shared" si="13"/>
        <v>0</v>
      </c>
    </row>
    <row r="98" spans="2:36" ht="15" customHeight="1">
      <c r="B98" s="230" t="s">
        <v>63</v>
      </c>
      <c r="C98" s="331">
        <f t="shared" ca="1" si="7"/>
        <v>0</v>
      </c>
      <c r="E98" s="331">
        <f t="shared" ref="E98:AJ98" si="14">$G41*E$48*$C$24*(1+$C$36+$C$37)</f>
        <v>0</v>
      </c>
      <c r="F98" s="331">
        <f t="shared" si="14"/>
        <v>0</v>
      </c>
      <c r="G98" s="331">
        <f t="shared" si="14"/>
        <v>0</v>
      </c>
      <c r="H98" s="331">
        <f t="shared" si="14"/>
        <v>0</v>
      </c>
      <c r="I98" s="331">
        <f t="shared" si="14"/>
        <v>0</v>
      </c>
      <c r="J98" s="331">
        <f t="shared" si="14"/>
        <v>0</v>
      </c>
      <c r="K98" s="331">
        <f t="shared" si="14"/>
        <v>0</v>
      </c>
      <c r="L98" s="331">
        <f t="shared" si="14"/>
        <v>0</v>
      </c>
      <c r="M98" s="331">
        <f t="shared" si="14"/>
        <v>0</v>
      </c>
      <c r="N98" s="331">
        <f t="shared" si="14"/>
        <v>0</v>
      </c>
      <c r="O98" s="331">
        <f t="shared" si="14"/>
        <v>0</v>
      </c>
      <c r="P98" s="331">
        <f t="shared" si="14"/>
        <v>0</v>
      </c>
      <c r="Q98" s="331">
        <f t="shared" si="14"/>
        <v>0</v>
      </c>
      <c r="R98" s="331">
        <f t="shared" si="14"/>
        <v>0</v>
      </c>
      <c r="S98" s="331">
        <f t="shared" si="14"/>
        <v>0</v>
      </c>
      <c r="T98" s="331">
        <f t="shared" si="14"/>
        <v>0</v>
      </c>
      <c r="U98" s="331">
        <f t="shared" si="14"/>
        <v>0</v>
      </c>
      <c r="V98" s="331">
        <f t="shared" si="14"/>
        <v>0</v>
      </c>
      <c r="W98" s="331">
        <f t="shared" si="14"/>
        <v>0</v>
      </c>
      <c r="X98" s="331">
        <f t="shared" si="14"/>
        <v>0</v>
      </c>
      <c r="Y98" s="331">
        <f t="shared" si="14"/>
        <v>0</v>
      </c>
      <c r="Z98" s="331">
        <f t="shared" si="14"/>
        <v>0</v>
      </c>
      <c r="AA98" s="331">
        <f t="shared" si="14"/>
        <v>0</v>
      </c>
      <c r="AB98" s="331">
        <f t="shared" si="14"/>
        <v>0</v>
      </c>
      <c r="AC98" s="331">
        <f t="shared" si="14"/>
        <v>0</v>
      </c>
      <c r="AD98" s="331">
        <f t="shared" si="14"/>
        <v>0</v>
      </c>
      <c r="AE98" s="331">
        <f t="shared" si="14"/>
        <v>0</v>
      </c>
      <c r="AF98" s="331">
        <f t="shared" si="14"/>
        <v>0</v>
      </c>
      <c r="AG98" s="331">
        <f t="shared" si="14"/>
        <v>0</v>
      </c>
      <c r="AH98" s="331">
        <f t="shared" si="14"/>
        <v>0</v>
      </c>
      <c r="AI98" s="331">
        <f t="shared" si="14"/>
        <v>0</v>
      </c>
      <c r="AJ98" s="331">
        <f t="shared" si="14"/>
        <v>0</v>
      </c>
    </row>
    <row r="99" spans="2:36" ht="15" customHeight="1">
      <c r="B99" s="230" t="s">
        <v>64</v>
      </c>
      <c r="C99" s="331">
        <f t="shared" ca="1" si="7"/>
        <v>0</v>
      </c>
      <c r="E99" s="331">
        <f t="shared" ref="E99:AJ99" si="15">$G42*E$48*$C$24*(1+$C$36+$C$37)</f>
        <v>0</v>
      </c>
      <c r="F99" s="331">
        <f t="shared" si="15"/>
        <v>0</v>
      </c>
      <c r="G99" s="331">
        <f t="shared" si="15"/>
        <v>0</v>
      </c>
      <c r="H99" s="331">
        <f t="shared" si="15"/>
        <v>0</v>
      </c>
      <c r="I99" s="331">
        <f t="shared" si="15"/>
        <v>0</v>
      </c>
      <c r="J99" s="331">
        <f t="shared" si="15"/>
        <v>0</v>
      </c>
      <c r="K99" s="331">
        <f t="shared" si="15"/>
        <v>0</v>
      </c>
      <c r="L99" s="331">
        <f t="shared" si="15"/>
        <v>0</v>
      </c>
      <c r="M99" s="331">
        <f t="shared" si="15"/>
        <v>0</v>
      </c>
      <c r="N99" s="331">
        <f t="shared" si="15"/>
        <v>0</v>
      </c>
      <c r="O99" s="331">
        <f t="shared" si="15"/>
        <v>0</v>
      </c>
      <c r="P99" s="331">
        <f t="shared" si="15"/>
        <v>0</v>
      </c>
      <c r="Q99" s="331">
        <f t="shared" si="15"/>
        <v>0</v>
      </c>
      <c r="R99" s="331">
        <f t="shared" si="15"/>
        <v>0</v>
      </c>
      <c r="S99" s="331">
        <f t="shared" si="15"/>
        <v>0</v>
      </c>
      <c r="T99" s="331">
        <f t="shared" si="15"/>
        <v>0</v>
      </c>
      <c r="U99" s="331">
        <f t="shared" si="15"/>
        <v>0</v>
      </c>
      <c r="V99" s="331">
        <f t="shared" si="15"/>
        <v>0</v>
      </c>
      <c r="W99" s="331">
        <f t="shared" si="15"/>
        <v>0</v>
      </c>
      <c r="X99" s="331">
        <f t="shared" si="15"/>
        <v>0</v>
      </c>
      <c r="Y99" s="331">
        <f t="shared" si="15"/>
        <v>0</v>
      </c>
      <c r="Z99" s="331">
        <f t="shared" si="15"/>
        <v>0</v>
      </c>
      <c r="AA99" s="331">
        <f t="shared" si="15"/>
        <v>0</v>
      </c>
      <c r="AB99" s="331">
        <f t="shared" si="15"/>
        <v>0</v>
      </c>
      <c r="AC99" s="331">
        <f t="shared" si="15"/>
        <v>0</v>
      </c>
      <c r="AD99" s="331">
        <f t="shared" si="15"/>
        <v>0</v>
      </c>
      <c r="AE99" s="331">
        <f t="shared" si="15"/>
        <v>0</v>
      </c>
      <c r="AF99" s="331">
        <f t="shared" si="15"/>
        <v>0</v>
      </c>
      <c r="AG99" s="331">
        <f t="shared" si="15"/>
        <v>0</v>
      </c>
      <c r="AH99" s="331">
        <f t="shared" si="15"/>
        <v>0</v>
      </c>
      <c r="AI99" s="331">
        <f t="shared" si="15"/>
        <v>0</v>
      </c>
      <c r="AJ99" s="331">
        <f t="shared" si="15"/>
        <v>0</v>
      </c>
    </row>
    <row r="100" spans="2:36" ht="15" customHeight="1">
      <c r="B100" s="230" t="s">
        <v>65</v>
      </c>
      <c r="C100" s="331">
        <f t="shared" ca="1" si="7"/>
        <v>0</v>
      </c>
      <c r="E100" s="331">
        <f>$G43*E$48*$C$24*(1+$C$36+$C$37)</f>
        <v>0</v>
      </c>
      <c r="F100" s="331">
        <f t="shared" ref="F100:AJ100" si="16">$G43*F$48*$C$24*(1+$C$36+$C$37)</f>
        <v>0</v>
      </c>
      <c r="G100" s="331">
        <f t="shared" si="16"/>
        <v>0</v>
      </c>
      <c r="H100" s="331">
        <f t="shared" si="16"/>
        <v>0</v>
      </c>
      <c r="I100" s="331">
        <f t="shared" si="16"/>
        <v>0</v>
      </c>
      <c r="J100" s="331">
        <f t="shared" si="16"/>
        <v>0</v>
      </c>
      <c r="K100" s="331">
        <f t="shared" si="16"/>
        <v>0</v>
      </c>
      <c r="L100" s="331">
        <f t="shared" si="16"/>
        <v>0</v>
      </c>
      <c r="M100" s="331">
        <f t="shared" si="16"/>
        <v>0</v>
      </c>
      <c r="N100" s="331">
        <f t="shared" si="16"/>
        <v>0</v>
      </c>
      <c r="O100" s="331">
        <f t="shared" si="16"/>
        <v>0</v>
      </c>
      <c r="P100" s="331">
        <f t="shared" si="16"/>
        <v>0</v>
      </c>
      <c r="Q100" s="331">
        <f t="shared" si="16"/>
        <v>0</v>
      </c>
      <c r="R100" s="331">
        <f t="shared" si="16"/>
        <v>0</v>
      </c>
      <c r="S100" s="331">
        <f t="shared" si="16"/>
        <v>0</v>
      </c>
      <c r="T100" s="331">
        <f t="shared" si="16"/>
        <v>0</v>
      </c>
      <c r="U100" s="331">
        <f t="shared" si="16"/>
        <v>0</v>
      </c>
      <c r="V100" s="331">
        <f t="shared" si="16"/>
        <v>0</v>
      </c>
      <c r="W100" s="331">
        <f t="shared" si="16"/>
        <v>0</v>
      </c>
      <c r="X100" s="331">
        <f t="shared" si="16"/>
        <v>0</v>
      </c>
      <c r="Y100" s="331">
        <f t="shared" si="16"/>
        <v>0</v>
      </c>
      <c r="Z100" s="331">
        <f t="shared" si="16"/>
        <v>0</v>
      </c>
      <c r="AA100" s="331">
        <f t="shared" si="16"/>
        <v>0</v>
      </c>
      <c r="AB100" s="331">
        <f t="shared" si="16"/>
        <v>0</v>
      </c>
      <c r="AC100" s="331">
        <f t="shared" si="16"/>
        <v>0</v>
      </c>
      <c r="AD100" s="331">
        <f t="shared" si="16"/>
        <v>0</v>
      </c>
      <c r="AE100" s="331">
        <f t="shared" si="16"/>
        <v>0</v>
      </c>
      <c r="AF100" s="331">
        <f t="shared" si="16"/>
        <v>0</v>
      </c>
      <c r="AG100" s="331">
        <f t="shared" si="16"/>
        <v>0</v>
      </c>
      <c r="AH100" s="331">
        <f t="shared" si="16"/>
        <v>0</v>
      </c>
      <c r="AI100" s="331">
        <f t="shared" si="16"/>
        <v>0</v>
      </c>
      <c r="AJ100" s="331">
        <f t="shared" si="16"/>
        <v>0</v>
      </c>
    </row>
    <row r="101" spans="2:36" ht="15" customHeight="1">
      <c r="B101" s="230" t="s">
        <v>66</v>
      </c>
      <c r="C101" s="331">
        <f t="shared" ca="1" si="7"/>
        <v>0.49868852459016405</v>
      </c>
      <c r="E101" s="331">
        <f t="shared" ref="E101:AJ101" si="17">$G44*E$48*$C$24*(1+$C$36+$C$37)</f>
        <v>0.49868852459016405</v>
      </c>
      <c r="F101" s="331">
        <f t="shared" si="17"/>
        <v>0.49868852459016405</v>
      </c>
      <c r="G101" s="331">
        <f t="shared" si="17"/>
        <v>0.51890336262295089</v>
      </c>
      <c r="H101" s="331">
        <f t="shared" si="17"/>
        <v>0.52928142987540983</v>
      </c>
      <c r="I101" s="331">
        <f t="shared" si="17"/>
        <v>0.53986705847291805</v>
      </c>
      <c r="J101" s="331">
        <f t="shared" si="17"/>
        <v>0.55066439964237646</v>
      </c>
      <c r="K101" s="331">
        <f t="shared" si="17"/>
        <v>0.56167768763522385</v>
      </c>
      <c r="L101" s="331">
        <f t="shared" si="17"/>
        <v>0.57291124138792837</v>
      </c>
      <c r="M101" s="331">
        <f t="shared" si="17"/>
        <v>0.58436946621568686</v>
      </c>
      <c r="N101" s="331">
        <f t="shared" si="17"/>
        <v>0.59605685554000076</v>
      </c>
      <c r="O101" s="331">
        <f t="shared" si="17"/>
        <v>0.60797799265080066</v>
      </c>
      <c r="P101" s="331">
        <f t="shared" si="17"/>
        <v>0.62013755250381675</v>
      </c>
      <c r="Q101" s="331">
        <f t="shared" si="17"/>
        <v>0.63254030355389301</v>
      </c>
      <c r="R101" s="331">
        <f t="shared" si="17"/>
        <v>0.64519110962497095</v>
      </c>
      <c r="S101" s="331">
        <f t="shared" si="17"/>
        <v>0.65809493181747014</v>
      </c>
      <c r="T101" s="331">
        <f t="shared" si="17"/>
        <v>0.67125683045381968</v>
      </c>
      <c r="U101" s="331">
        <f t="shared" si="17"/>
        <v>0.68468196706289619</v>
      </c>
      <c r="V101" s="331">
        <f t="shared" si="17"/>
        <v>0.69837560640415397</v>
      </c>
      <c r="W101" s="331">
        <f t="shared" si="17"/>
        <v>0.7123431185322372</v>
      </c>
      <c r="X101" s="331">
        <f t="shared" si="17"/>
        <v>0.72658998090288185</v>
      </c>
      <c r="Y101" s="331">
        <f t="shared" si="17"/>
        <v>0.74112178052093947</v>
      </c>
      <c r="Z101" s="331">
        <f t="shared" si="17"/>
        <v>0.7559442161313582</v>
      </c>
      <c r="AA101" s="331">
        <f t="shared" si="17"/>
        <v>0.7710631004539853</v>
      </c>
      <c r="AB101" s="331">
        <f t="shared" si="17"/>
        <v>0.78648436246306508</v>
      </c>
      <c r="AC101" s="331">
        <f t="shared" si="17"/>
        <v>0.80221404971232646</v>
      </c>
      <c r="AD101" s="331">
        <f t="shared" si="17"/>
        <v>0.81825833070657294</v>
      </c>
      <c r="AE101" s="331">
        <f t="shared" si="17"/>
        <v>0.83462349732070429</v>
      </c>
      <c r="AF101" s="331">
        <f t="shared" si="17"/>
        <v>0.85131596726711845</v>
      </c>
      <c r="AG101" s="331">
        <f t="shared" si="17"/>
        <v>0.86834228661246082</v>
      </c>
      <c r="AH101" s="331">
        <f t="shared" si="17"/>
        <v>0.88570913234471016</v>
      </c>
      <c r="AI101" s="331">
        <f t="shared" si="17"/>
        <v>0.90342331499160411</v>
      </c>
      <c r="AJ101" s="331">
        <f t="shared" si="17"/>
        <v>0.92149178129143627</v>
      </c>
    </row>
    <row r="102" spans="2:36" ht="15" customHeight="1">
      <c r="B102" s="231" t="s">
        <v>67</v>
      </c>
      <c r="C102" s="331">
        <f t="shared" ca="1" si="7"/>
        <v>0.49868852459016405</v>
      </c>
      <c r="E102" s="331">
        <f t="shared" ref="E102:AJ102" si="18">$G45*E$48*$C$24*(1+$C$36+$C$37)</f>
        <v>0.49868852459016405</v>
      </c>
      <c r="F102" s="331">
        <f t="shared" si="18"/>
        <v>0.49868852459016405</v>
      </c>
      <c r="G102" s="331">
        <f t="shared" si="18"/>
        <v>0.51890336262295089</v>
      </c>
      <c r="H102" s="331">
        <f t="shared" si="18"/>
        <v>0.52928142987540983</v>
      </c>
      <c r="I102" s="331">
        <f t="shared" si="18"/>
        <v>0.53986705847291805</v>
      </c>
      <c r="J102" s="331">
        <f t="shared" si="18"/>
        <v>0.55066439964237646</v>
      </c>
      <c r="K102" s="331">
        <f t="shared" si="18"/>
        <v>0.56167768763522385</v>
      </c>
      <c r="L102" s="331">
        <f t="shared" si="18"/>
        <v>0.57291124138792837</v>
      </c>
      <c r="M102" s="331">
        <f t="shared" si="18"/>
        <v>0.58436946621568686</v>
      </c>
      <c r="N102" s="331">
        <f t="shared" si="18"/>
        <v>0.59605685554000076</v>
      </c>
      <c r="O102" s="331">
        <f t="shared" si="18"/>
        <v>0.60797799265080066</v>
      </c>
      <c r="P102" s="331">
        <f t="shared" si="18"/>
        <v>0.62013755250381675</v>
      </c>
      <c r="Q102" s="331">
        <f t="shared" si="18"/>
        <v>0.63254030355389301</v>
      </c>
      <c r="R102" s="331">
        <f t="shared" si="18"/>
        <v>0.64519110962497095</v>
      </c>
      <c r="S102" s="331">
        <f t="shared" si="18"/>
        <v>0.65809493181747014</v>
      </c>
      <c r="T102" s="331">
        <f t="shared" si="18"/>
        <v>0.67125683045381968</v>
      </c>
      <c r="U102" s="331">
        <f t="shared" si="18"/>
        <v>0.68468196706289619</v>
      </c>
      <c r="V102" s="331">
        <f t="shared" si="18"/>
        <v>0.69837560640415397</v>
      </c>
      <c r="W102" s="331">
        <f t="shared" si="18"/>
        <v>0.7123431185322372</v>
      </c>
      <c r="X102" s="331">
        <f t="shared" si="18"/>
        <v>0.72658998090288185</v>
      </c>
      <c r="Y102" s="331">
        <f t="shared" si="18"/>
        <v>0.74112178052093947</v>
      </c>
      <c r="Z102" s="331">
        <f t="shared" si="18"/>
        <v>0.7559442161313582</v>
      </c>
      <c r="AA102" s="331">
        <f t="shared" si="18"/>
        <v>0.7710631004539853</v>
      </c>
      <c r="AB102" s="331">
        <f t="shared" si="18"/>
        <v>0.78648436246306508</v>
      </c>
      <c r="AC102" s="331">
        <f t="shared" si="18"/>
        <v>0.80221404971232646</v>
      </c>
      <c r="AD102" s="331">
        <f t="shared" si="18"/>
        <v>0.81825833070657294</v>
      </c>
      <c r="AE102" s="331">
        <f t="shared" si="18"/>
        <v>0.83462349732070429</v>
      </c>
      <c r="AF102" s="331">
        <f t="shared" si="18"/>
        <v>0.85131596726711845</v>
      </c>
      <c r="AG102" s="331">
        <f t="shared" si="18"/>
        <v>0.86834228661246082</v>
      </c>
      <c r="AH102" s="331">
        <f t="shared" si="18"/>
        <v>0.88570913234471016</v>
      </c>
      <c r="AI102" s="331">
        <f t="shared" si="18"/>
        <v>0.90342331499160411</v>
      </c>
      <c r="AJ102" s="331">
        <f t="shared" si="18"/>
        <v>0.92149178129143627</v>
      </c>
    </row>
    <row r="103" spans="2:36">
      <c r="E103" s="56"/>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2:36" ht="15" customHeight="1">
      <c r="B104" s="330" t="s">
        <v>79</v>
      </c>
      <c r="C104" s="29" t="s">
        <v>75</v>
      </c>
      <c r="E104" s="29">
        <f>E$47</f>
        <v>2023</v>
      </c>
      <c r="F104" s="29">
        <f t="shared" ref="F104:AJ104" si="19">F$47</f>
        <v>2024</v>
      </c>
      <c r="G104" s="29">
        <f t="shared" si="19"/>
        <v>2025</v>
      </c>
      <c r="H104" s="29">
        <f t="shared" si="19"/>
        <v>2026</v>
      </c>
      <c r="I104" s="29">
        <f t="shared" si="19"/>
        <v>2027</v>
      </c>
      <c r="J104" s="29">
        <f t="shared" si="19"/>
        <v>2028</v>
      </c>
      <c r="K104" s="29">
        <f t="shared" si="19"/>
        <v>2029</v>
      </c>
      <c r="L104" s="29">
        <f t="shared" si="19"/>
        <v>2030</v>
      </c>
      <c r="M104" s="29">
        <f t="shared" si="19"/>
        <v>2031</v>
      </c>
      <c r="N104" s="29">
        <f t="shared" si="19"/>
        <v>2032</v>
      </c>
      <c r="O104" s="29">
        <f t="shared" si="19"/>
        <v>2033</v>
      </c>
      <c r="P104" s="29">
        <f t="shared" si="19"/>
        <v>2034</v>
      </c>
      <c r="Q104" s="29">
        <f t="shared" si="19"/>
        <v>2035</v>
      </c>
      <c r="R104" s="29">
        <f t="shared" si="19"/>
        <v>2036</v>
      </c>
      <c r="S104" s="29">
        <f t="shared" si="19"/>
        <v>2037</v>
      </c>
      <c r="T104" s="29">
        <f t="shared" si="19"/>
        <v>2038</v>
      </c>
      <c r="U104" s="29">
        <f t="shared" si="19"/>
        <v>2039</v>
      </c>
      <c r="V104" s="29">
        <f t="shared" si="19"/>
        <v>2040</v>
      </c>
      <c r="W104" s="29">
        <f t="shared" si="19"/>
        <v>2041</v>
      </c>
      <c r="X104" s="29">
        <f t="shared" si="19"/>
        <v>2042</v>
      </c>
      <c r="Y104" s="29">
        <f t="shared" si="19"/>
        <v>2043</v>
      </c>
      <c r="Z104" s="29">
        <f t="shared" si="19"/>
        <v>2044</v>
      </c>
      <c r="AA104" s="29">
        <f t="shared" si="19"/>
        <v>2045</v>
      </c>
      <c r="AB104" s="29">
        <f t="shared" si="19"/>
        <v>2046</v>
      </c>
      <c r="AC104" s="29">
        <f t="shared" si="19"/>
        <v>2047</v>
      </c>
      <c r="AD104" s="29">
        <f t="shared" si="19"/>
        <v>2048</v>
      </c>
      <c r="AE104" s="29">
        <f t="shared" si="19"/>
        <v>2049</v>
      </c>
      <c r="AF104" s="29">
        <f t="shared" si="19"/>
        <v>2050</v>
      </c>
      <c r="AG104" s="29">
        <f t="shared" si="19"/>
        <v>2051</v>
      </c>
      <c r="AH104" s="29">
        <f t="shared" si="19"/>
        <v>2052</v>
      </c>
      <c r="AI104" s="29">
        <f t="shared" si="19"/>
        <v>2053</v>
      </c>
      <c r="AJ104" s="29">
        <f t="shared" si="19"/>
        <v>2054</v>
      </c>
    </row>
    <row r="105" spans="2:36" ht="15" customHeight="1">
      <c r="B105" s="230" t="s">
        <v>53</v>
      </c>
      <c r="C105" s="331">
        <f ca="1">-PMT($C$17,$C$15,NPV($C$17,OFFSET(E105,0,$C$72,1,$C$15))) * (1+$C$20)^($C$19-$C$14)</f>
        <v>0.77933749833752342</v>
      </c>
      <c r="E105" s="331">
        <f>(E$49+E$50)*$C$25</f>
        <v>0.76770462651122651</v>
      </c>
      <c r="F105" s="331">
        <f t="shared" ref="F105:AJ112" si="20">(F$49+F$50)*$C$25</f>
        <v>0.77933749833752342</v>
      </c>
      <c r="G105" s="331">
        <f>(G$49+G$50)*$C$25</f>
        <v>0.79221944810924738</v>
      </c>
      <c r="H105" s="331">
        <f t="shared" si="20"/>
        <v>0.80510139788096691</v>
      </c>
      <c r="I105" s="331">
        <f t="shared" si="20"/>
        <v>0.81798334765269087</v>
      </c>
      <c r="J105" s="331">
        <f t="shared" si="20"/>
        <v>0.83086529742441484</v>
      </c>
      <c r="K105" s="331">
        <f t="shared" si="20"/>
        <v>0.84374724719613881</v>
      </c>
      <c r="L105" s="331">
        <f t="shared" si="20"/>
        <v>0.85662919696786277</v>
      </c>
      <c r="M105" s="331">
        <f t="shared" si="20"/>
        <v>0.86951114673958674</v>
      </c>
      <c r="N105" s="331">
        <f t="shared" si="20"/>
        <v>0.88239309651130626</v>
      </c>
      <c r="O105" s="331">
        <f t="shared" si="20"/>
        <v>0.89527504628303023</v>
      </c>
      <c r="P105" s="331">
        <f t="shared" si="20"/>
        <v>0.9081569960547542</v>
      </c>
      <c r="Q105" s="331">
        <f t="shared" si="20"/>
        <v>0.92103894582647816</v>
      </c>
      <c r="R105" s="331">
        <f t="shared" si="20"/>
        <v>0.93392089559820213</v>
      </c>
      <c r="S105" s="331">
        <f t="shared" si="20"/>
        <v>0.9468028453699262</v>
      </c>
      <c r="T105" s="331">
        <f t="shared" si="20"/>
        <v>0.95968479514165006</v>
      </c>
      <c r="U105" s="331">
        <f t="shared" si="20"/>
        <v>0.9725667449133697</v>
      </c>
      <c r="V105" s="331">
        <f t="shared" si="20"/>
        <v>0.98544869468509355</v>
      </c>
      <c r="W105" s="331">
        <f t="shared" si="20"/>
        <v>0.99833064445681763</v>
      </c>
      <c r="X105" s="331">
        <f t="shared" si="20"/>
        <v>1.0112125942285415</v>
      </c>
      <c r="Y105" s="331">
        <f t="shared" si="20"/>
        <v>1.0240945440002656</v>
      </c>
      <c r="Z105" s="331">
        <f t="shared" si="20"/>
        <v>1.0369764937719896</v>
      </c>
      <c r="AA105" s="331">
        <f t="shared" si="20"/>
        <v>1.0498584435437091</v>
      </c>
      <c r="AB105" s="331">
        <f t="shared" si="20"/>
        <v>1.0627403933154329</v>
      </c>
      <c r="AC105" s="331">
        <f t="shared" si="20"/>
        <v>1.075622343087157</v>
      </c>
      <c r="AD105" s="331">
        <f t="shared" si="20"/>
        <v>1.0885042928588811</v>
      </c>
      <c r="AE105" s="331">
        <f t="shared" si="20"/>
        <v>1.1013862426306049</v>
      </c>
      <c r="AF105" s="331">
        <f t="shared" si="20"/>
        <v>1.1142681924023288</v>
      </c>
      <c r="AG105" s="331">
        <f t="shared" si="20"/>
        <v>1.1271501421740528</v>
      </c>
      <c r="AH105" s="331">
        <f t="shared" si="20"/>
        <v>1.1400320919457725</v>
      </c>
      <c r="AI105" s="331">
        <f t="shared" si="20"/>
        <v>1.1529140417174963</v>
      </c>
      <c r="AJ105" s="331">
        <f t="shared" si="20"/>
        <v>1.1657959914892202</v>
      </c>
    </row>
    <row r="106" spans="2:36" ht="15" customHeight="1">
      <c r="B106" s="230" t="s">
        <v>55</v>
      </c>
      <c r="C106" s="331">
        <f t="shared" ref="C106:C116" ca="1" si="21">-PMT($C$17,$C$15,NPV($C$17,OFFSET(E106,0,$C$72,1,$C$15))) * (1+$C$20)^($C$19-$C$14)</f>
        <v>0.77933749833752342</v>
      </c>
      <c r="E106" s="331">
        <f t="shared" ref="E106:E116" si="22">(E$49+E$50)*$C$25</f>
        <v>0.76770462651122651</v>
      </c>
      <c r="F106" s="331">
        <f t="shared" si="20"/>
        <v>0.77933749833752342</v>
      </c>
      <c r="G106" s="331">
        <f t="shared" si="20"/>
        <v>0.79221944810924738</v>
      </c>
      <c r="H106" s="331">
        <f t="shared" si="20"/>
        <v>0.80510139788096691</v>
      </c>
      <c r="I106" s="331">
        <f t="shared" si="20"/>
        <v>0.81798334765269087</v>
      </c>
      <c r="J106" s="331">
        <f t="shared" si="20"/>
        <v>0.83086529742441484</v>
      </c>
      <c r="K106" s="331">
        <f t="shared" si="20"/>
        <v>0.84374724719613881</v>
      </c>
      <c r="L106" s="331">
        <f t="shared" si="20"/>
        <v>0.85662919696786277</v>
      </c>
      <c r="M106" s="331">
        <f t="shared" si="20"/>
        <v>0.86951114673958674</v>
      </c>
      <c r="N106" s="331">
        <f t="shared" si="20"/>
        <v>0.88239309651130626</v>
      </c>
      <c r="O106" s="331">
        <f t="shared" si="20"/>
        <v>0.89527504628303023</v>
      </c>
      <c r="P106" s="331">
        <f t="shared" si="20"/>
        <v>0.9081569960547542</v>
      </c>
      <c r="Q106" s="331">
        <f t="shared" si="20"/>
        <v>0.92103894582647816</v>
      </c>
      <c r="R106" s="331">
        <f t="shared" si="20"/>
        <v>0.93392089559820213</v>
      </c>
      <c r="S106" s="331">
        <f t="shared" si="20"/>
        <v>0.9468028453699262</v>
      </c>
      <c r="T106" s="331">
        <f t="shared" si="20"/>
        <v>0.95968479514165006</v>
      </c>
      <c r="U106" s="331">
        <f t="shared" si="20"/>
        <v>0.9725667449133697</v>
      </c>
      <c r="V106" s="331">
        <f t="shared" si="20"/>
        <v>0.98544869468509355</v>
      </c>
      <c r="W106" s="331">
        <f t="shared" si="20"/>
        <v>0.99833064445681763</v>
      </c>
      <c r="X106" s="331">
        <f t="shared" si="20"/>
        <v>1.0112125942285415</v>
      </c>
      <c r="Y106" s="331">
        <f t="shared" si="20"/>
        <v>1.0240945440002656</v>
      </c>
      <c r="Z106" s="331">
        <f t="shared" si="20"/>
        <v>1.0369764937719896</v>
      </c>
      <c r="AA106" s="331">
        <f t="shared" si="20"/>
        <v>1.0498584435437091</v>
      </c>
      <c r="AB106" s="331">
        <f t="shared" si="20"/>
        <v>1.0627403933154329</v>
      </c>
      <c r="AC106" s="331">
        <f t="shared" si="20"/>
        <v>1.075622343087157</v>
      </c>
      <c r="AD106" s="331">
        <f t="shared" si="20"/>
        <v>1.0885042928588811</v>
      </c>
      <c r="AE106" s="331">
        <f t="shared" si="20"/>
        <v>1.1013862426306049</v>
      </c>
      <c r="AF106" s="331">
        <f t="shared" si="20"/>
        <v>1.1142681924023288</v>
      </c>
      <c r="AG106" s="331">
        <f t="shared" si="20"/>
        <v>1.1271501421740528</v>
      </c>
      <c r="AH106" s="331">
        <f t="shared" si="20"/>
        <v>1.1400320919457725</v>
      </c>
      <c r="AI106" s="331">
        <f t="shared" si="20"/>
        <v>1.1529140417174963</v>
      </c>
      <c r="AJ106" s="331">
        <f t="shared" si="20"/>
        <v>1.1657959914892202</v>
      </c>
    </row>
    <row r="107" spans="2:36" ht="15" customHeight="1">
      <c r="B107" s="230" t="s">
        <v>57</v>
      </c>
      <c r="C107" s="331">
        <f t="shared" ca="1" si="21"/>
        <v>0.77933749833752342</v>
      </c>
      <c r="E107" s="331">
        <f t="shared" si="22"/>
        <v>0.76770462651122651</v>
      </c>
      <c r="F107" s="331">
        <f>(F$49+F$50)*$C$25</f>
        <v>0.77933749833752342</v>
      </c>
      <c r="G107" s="331">
        <f t="shared" si="20"/>
        <v>0.79221944810924738</v>
      </c>
      <c r="H107" s="331">
        <f>(H$49+H$50)*$C$25</f>
        <v>0.80510139788096691</v>
      </c>
      <c r="I107" s="331">
        <f t="shared" si="20"/>
        <v>0.81798334765269087</v>
      </c>
      <c r="J107" s="331">
        <f t="shared" si="20"/>
        <v>0.83086529742441484</v>
      </c>
      <c r="K107" s="331">
        <f t="shared" si="20"/>
        <v>0.84374724719613881</v>
      </c>
      <c r="L107" s="331">
        <f t="shared" si="20"/>
        <v>0.85662919696786277</v>
      </c>
      <c r="M107" s="331">
        <f t="shared" si="20"/>
        <v>0.86951114673958674</v>
      </c>
      <c r="N107" s="331">
        <f t="shared" si="20"/>
        <v>0.88239309651130626</v>
      </c>
      <c r="O107" s="331">
        <f t="shared" si="20"/>
        <v>0.89527504628303023</v>
      </c>
      <c r="P107" s="331">
        <f t="shared" si="20"/>
        <v>0.9081569960547542</v>
      </c>
      <c r="Q107" s="331">
        <f t="shared" si="20"/>
        <v>0.92103894582647816</v>
      </c>
      <c r="R107" s="331">
        <f t="shared" si="20"/>
        <v>0.93392089559820213</v>
      </c>
      <c r="S107" s="331">
        <f t="shared" si="20"/>
        <v>0.9468028453699262</v>
      </c>
      <c r="T107" s="331">
        <f t="shared" si="20"/>
        <v>0.95968479514165006</v>
      </c>
      <c r="U107" s="331">
        <f t="shared" si="20"/>
        <v>0.9725667449133697</v>
      </c>
      <c r="V107" s="331">
        <f t="shared" si="20"/>
        <v>0.98544869468509355</v>
      </c>
      <c r="W107" s="331">
        <f t="shared" si="20"/>
        <v>0.99833064445681763</v>
      </c>
      <c r="X107" s="331">
        <f t="shared" si="20"/>
        <v>1.0112125942285415</v>
      </c>
      <c r="Y107" s="331">
        <f t="shared" si="20"/>
        <v>1.0240945440002656</v>
      </c>
      <c r="Z107" s="331">
        <f t="shared" si="20"/>
        <v>1.0369764937719896</v>
      </c>
      <c r="AA107" s="331">
        <f t="shared" si="20"/>
        <v>1.0498584435437091</v>
      </c>
      <c r="AB107" s="331">
        <f t="shared" si="20"/>
        <v>1.0627403933154329</v>
      </c>
      <c r="AC107" s="331">
        <f t="shared" si="20"/>
        <v>1.075622343087157</v>
      </c>
      <c r="AD107" s="331">
        <f t="shared" si="20"/>
        <v>1.0885042928588811</v>
      </c>
      <c r="AE107" s="331">
        <f t="shared" si="20"/>
        <v>1.1013862426306049</v>
      </c>
      <c r="AF107" s="331">
        <f t="shared" si="20"/>
        <v>1.1142681924023288</v>
      </c>
      <c r="AG107" s="331">
        <f t="shared" si="20"/>
        <v>1.1271501421740528</v>
      </c>
      <c r="AH107" s="331">
        <f t="shared" si="20"/>
        <v>1.1400320919457725</v>
      </c>
      <c r="AI107" s="331">
        <f t="shared" si="20"/>
        <v>1.1529140417174963</v>
      </c>
      <c r="AJ107" s="331">
        <f t="shared" si="20"/>
        <v>1.1657959914892202</v>
      </c>
    </row>
    <row r="108" spans="2:36" ht="15" customHeight="1">
      <c r="B108" s="230" t="s">
        <v>59</v>
      </c>
      <c r="C108" s="331">
        <f t="shared" ca="1" si="21"/>
        <v>0.77933749833752342</v>
      </c>
      <c r="E108" s="331">
        <f t="shared" si="22"/>
        <v>0.76770462651122651</v>
      </c>
      <c r="F108" s="331">
        <f>(F$49+F$50)*$C$25</f>
        <v>0.77933749833752342</v>
      </c>
      <c r="G108" s="331">
        <f t="shared" si="20"/>
        <v>0.79221944810924738</v>
      </c>
      <c r="H108" s="331">
        <f t="shared" si="20"/>
        <v>0.80510139788096691</v>
      </c>
      <c r="I108" s="331">
        <f t="shared" si="20"/>
        <v>0.81798334765269087</v>
      </c>
      <c r="J108" s="331">
        <f t="shared" si="20"/>
        <v>0.83086529742441484</v>
      </c>
      <c r="K108" s="331">
        <f t="shared" si="20"/>
        <v>0.84374724719613881</v>
      </c>
      <c r="L108" s="331">
        <f t="shared" si="20"/>
        <v>0.85662919696786277</v>
      </c>
      <c r="M108" s="331">
        <f t="shared" si="20"/>
        <v>0.86951114673958674</v>
      </c>
      <c r="N108" s="331">
        <f t="shared" si="20"/>
        <v>0.88239309651130626</v>
      </c>
      <c r="O108" s="331">
        <f t="shared" si="20"/>
        <v>0.89527504628303023</v>
      </c>
      <c r="P108" s="331">
        <f t="shared" si="20"/>
        <v>0.9081569960547542</v>
      </c>
      <c r="Q108" s="331">
        <f t="shared" si="20"/>
        <v>0.92103894582647816</v>
      </c>
      <c r="R108" s="331">
        <f t="shared" si="20"/>
        <v>0.93392089559820213</v>
      </c>
      <c r="S108" s="331">
        <f t="shared" si="20"/>
        <v>0.9468028453699262</v>
      </c>
      <c r="T108" s="331">
        <f t="shared" si="20"/>
        <v>0.95968479514165006</v>
      </c>
      <c r="U108" s="331">
        <f t="shared" si="20"/>
        <v>0.9725667449133697</v>
      </c>
      <c r="V108" s="331">
        <f t="shared" si="20"/>
        <v>0.98544869468509355</v>
      </c>
      <c r="W108" s="331">
        <f t="shared" si="20"/>
        <v>0.99833064445681763</v>
      </c>
      <c r="X108" s="331">
        <f t="shared" si="20"/>
        <v>1.0112125942285415</v>
      </c>
      <c r="Y108" s="331">
        <f t="shared" si="20"/>
        <v>1.0240945440002656</v>
      </c>
      <c r="Z108" s="331">
        <f t="shared" si="20"/>
        <v>1.0369764937719896</v>
      </c>
      <c r="AA108" s="331">
        <f t="shared" si="20"/>
        <v>1.0498584435437091</v>
      </c>
      <c r="AB108" s="331">
        <f t="shared" si="20"/>
        <v>1.0627403933154329</v>
      </c>
      <c r="AC108" s="331">
        <f t="shared" si="20"/>
        <v>1.075622343087157</v>
      </c>
      <c r="AD108" s="331">
        <f t="shared" si="20"/>
        <v>1.0885042928588811</v>
      </c>
      <c r="AE108" s="331">
        <f t="shared" si="20"/>
        <v>1.1013862426306049</v>
      </c>
      <c r="AF108" s="331">
        <f t="shared" si="20"/>
        <v>1.1142681924023288</v>
      </c>
      <c r="AG108" s="331">
        <f t="shared" si="20"/>
        <v>1.1271501421740528</v>
      </c>
      <c r="AH108" s="331">
        <f t="shared" si="20"/>
        <v>1.1400320919457725</v>
      </c>
      <c r="AI108" s="331">
        <f t="shared" si="20"/>
        <v>1.1529140417174963</v>
      </c>
      <c r="AJ108" s="331">
        <f t="shared" si="20"/>
        <v>1.1657959914892202</v>
      </c>
    </row>
    <row r="109" spans="2:36" ht="15" customHeight="1">
      <c r="B109" s="230" t="s">
        <v>60</v>
      </c>
      <c r="C109" s="331">
        <f t="shared" ca="1" si="21"/>
        <v>0.77933749833752342</v>
      </c>
      <c r="E109" s="331">
        <f t="shared" si="22"/>
        <v>0.76770462651122651</v>
      </c>
      <c r="F109" s="331">
        <f>(F$49+F$50)*$C$25</f>
        <v>0.77933749833752342</v>
      </c>
      <c r="G109" s="331">
        <f t="shared" si="20"/>
        <v>0.79221944810924738</v>
      </c>
      <c r="H109" s="331">
        <f t="shared" si="20"/>
        <v>0.80510139788096691</v>
      </c>
      <c r="I109" s="331">
        <f t="shared" si="20"/>
        <v>0.81798334765269087</v>
      </c>
      <c r="J109" s="331">
        <f t="shared" si="20"/>
        <v>0.83086529742441484</v>
      </c>
      <c r="K109" s="331">
        <f t="shared" si="20"/>
        <v>0.84374724719613881</v>
      </c>
      <c r="L109" s="331">
        <f t="shared" si="20"/>
        <v>0.85662919696786277</v>
      </c>
      <c r="M109" s="331">
        <f t="shared" si="20"/>
        <v>0.86951114673958674</v>
      </c>
      <c r="N109" s="331">
        <f t="shared" si="20"/>
        <v>0.88239309651130626</v>
      </c>
      <c r="O109" s="331">
        <f t="shared" si="20"/>
        <v>0.89527504628303023</v>
      </c>
      <c r="P109" s="331">
        <f t="shared" si="20"/>
        <v>0.9081569960547542</v>
      </c>
      <c r="Q109" s="331">
        <f t="shared" si="20"/>
        <v>0.92103894582647816</v>
      </c>
      <c r="R109" s="331">
        <f t="shared" si="20"/>
        <v>0.93392089559820213</v>
      </c>
      <c r="S109" s="331">
        <f t="shared" si="20"/>
        <v>0.9468028453699262</v>
      </c>
      <c r="T109" s="331">
        <f t="shared" si="20"/>
        <v>0.95968479514165006</v>
      </c>
      <c r="U109" s="331">
        <f t="shared" si="20"/>
        <v>0.9725667449133697</v>
      </c>
      <c r="V109" s="331">
        <f t="shared" si="20"/>
        <v>0.98544869468509355</v>
      </c>
      <c r="W109" s="331">
        <f t="shared" si="20"/>
        <v>0.99833064445681763</v>
      </c>
      <c r="X109" s="331">
        <f t="shared" si="20"/>
        <v>1.0112125942285415</v>
      </c>
      <c r="Y109" s="331">
        <f t="shared" si="20"/>
        <v>1.0240945440002656</v>
      </c>
      <c r="Z109" s="331">
        <f t="shared" si="20"/>
        <v>1.0369764937719896</v>
      </c>
      <c r="AA109" s="331">
        <f t="shared" si="20"/>
        <v>1.0498584435437091</v>
      </c>
      <c r="AB109" s="331">
        <f t="shared" si="20"/>
        <v>1.0627403933154329</v>
      </c>
      <c r="AC109" s="331">
        <f t="shared" si="20"/>
        <v>1.075622343087157</v>
      </c>
      <c r="AD109" s="331">
        <f t="shared" si="20"/>
        <v>1.0885042928588811</v>
      </c>
      <c r="AE109" s="331">
        <f t="shared" si="20"/>
        <v>1.1013862426306049</v>
      </c>
      <c r="AF109" s="331">
        <f t="shared" si="20"/>
        <v>1.1142681924023288</v>
      </c>
      <c r="AG109" s="331">
        <f t="shared" si="20"/>
        <v>1.1271501421740528</v>
      </c>
      <c r="AH109" s="331">
        <f t="shared" si="20"/>
        <v>1.1400320919457725</v>
      </c>
      <c r="AI109" s="331">
        <f t="shared" si="20"/>
        <v>1.1529140417174963</v>
      </c>
      <c r="AJ109" s="331">
        <f t="shared" si="20"/>
        <v>1.1657959914892202</v>
      </c>
    </row>
    <row r="110" spans="2:36" ht="15" customHeight="1">
      <c r="B110" s="230" t="s">
        <v>61</v>
      </c>
      <c r="C110" s="331">
        <f t="shared" ca="1" si="21"/>
        <v>0.77933749833752342</v>
      </c>
      <c r="E110" s="331">
        <f t="shared" si="22"/>
        <v>0.76770462651122651</v>
      </c>
      <c r="F110" s="331">
        <f t="shared" si="20"/>
        <v>0.77933749833752342</v>
      </c>
      <c r="G110" s="331">
        <f t="shared" si="20"/>
        <v>0.79221944810924738</v>
      </c>
      <c r="H110" s="331">
        <f t="shared" si="20"/>
        <v>0.80510139788096691</v>
      </c>
      <c r="I110" s="331">
        <f t="shared" si="20"/>
        <v>0.81798334765269087</v>
      </c>
      <c r="J110" s="331">
        <f t="shared" si="20"/>
        <v>0.83086529742441484</v>
      </c>
      <c r="K110" s="331">
        <f t="shared" si="20"/>
        <v>0.84374724719613881</v>
      </c>
      <c r="L110" s="331">
        <f t="shared" si="20"/>
        <v>0.85662919696786277</v>
      </c>
      <c r="M110" s="331">
        <f t="shared" si="20"/>
        <v>0.86951114673958674</v>
      </c>
      <c r="N110" s="331">
        <f t="shared" si="20"/>
        <v>0.88239309651130626</v>
      </c>
      <c r="O110" s="331">
        <f t="shared" si="20"/>
        <v>0.89527504628303023</v>
      </c>
      <c r="P110" s="331">
        <f t="shared" si="20"/>
        <v>0.9081569960547542</v>
      </c>
      <c r="Q110" s="331">
        <f t="shared" si="20"/>
        <v>0.92103894582647816</v>
      </c>
      <c r="R110" s="331">
        <f t="shared" si="20"/>
        <v>0.93392089559820213</v>
      </c>
      <c r="S110" s="331">
        <f t="shared" si="20"/>
        <v>0.9468028453699262</v>
      </c>
      <c r="T110" s="331">
        <f t="shared" si="20"/>
        <v>0.95968479514165006</v>
      </c>
      <c r="U110" s="331">
        <f t="shared" si="20"/>
        <v>0.9725667449133697</v>
      </c>
      <c r="V110" s="331">
        <f t="shared" si="20"/>
        <v>0.98544869468509355</v>
      </c>
      <c r="W110" s="331">
        <f t="shared" si="20"/>
        <v>0.99833064445681763</v>
      </c>
      <c r="X110" s="331">
        <f t="shared" si="20"/>
        <v>1.0112125942285415</v>
      </c>
      <c r="Y110" s="331">
        <f t="shared" si="20"/>
        <v>1.0240945440002656</v>
      </c>
      <c r="Z110" s="331">
        <f t="shared" si="20"/>
        <v>1.0369764937719896</v>
      </c>
      <c r="AA110" s="331">
        <f t="shared" si="20"/>
        <v>1.0498584435437091</v>
      </c>
      <c r="AB110" s="331">
        <f t="shared" si="20"/>
        <v>1.0627403933154329</v>
      </c>
      <c r="AC110" s="331">
        <f t="shared" si="20"/>
        <v>1.075622343087157</v>
      </c>
      <c r="AD110" s="331">
        <f t="shared" si="20"/>
        <v>1.0885042928588811</v>
      </c>
      <c r="AE110" s="331">
        <f t="shared" si="20"/>
        <v>1.1013862426306049</v>
      </c>
      <c r="AF110" s="331">
        <f t="shared" si="20"/>
        <v>1.1142681924023288</v>
      </c>
      <c r="AG110" s="331">
        <f t="shared" si="20"/>
        <v>1.1271501421740528</v>
      </c>
      <c r="AH110" s="331">
        <f t="shared" si="20"/>
        <v>1.1400320919457725</v>
      </c>
      <c r="AI110" s="331">
        <f t="shared" si="20"/>
        <v>1.1529140417174963</v>
      </c>
      <c r="AJ110" s="331">
        <f t="shared" si="20"/>
        <v>1.1657959914892202</v>
      </c>
    </row>
    <row r="111" spans="2:36" ht="15" customHeight="1">
      <c r="B111" s="230" t="s">
        <v>62</v>
      </c>
      <c r="C111" s="331">
        <f t="shared" ca="1" si="21"/>
        <v>0.77933749833752342</v>
      </c>
      <c r="E111" s="331">
        <f>(E$49+E$50)*$C$25</f>
        <v>0.76770462651122651</v>
      </c>
      <c r="F111" s="331">
        <f t="shared" si="20"/>
        <v>0.77933749833752342</v>
      </c>
      <c r="G111" s="331">
        <f t="shared" si="20"/>
        <v>0.79221944810924738</v>
      </c>
      <c r="H111" s="331">
        <f t="shared" si="20"/>
        <v>0.80510139788096691</v>
      </c>
      <c r="I111" s="331">
        <f t="shared" si="20"/>
        <v>0.81798334765269087</v>
      </c>
      <c r="J111" s="331">
        <f t="shared" si="20"/>
        <v>0.83086529742441484</v>
      </c>
      <c r="K111" s="331">
        <f t="shared" si="20"/>
        <v>0.84374724719613881</v>
      </c>
      <c r="L111" s="331">
        <f t="shared" si="20"/>
        <v>0.85662919696786277</v>
      </c>
      <c r="M111" s="331">
        <f t="shared" si="20"/>
        <v>0.86951114673958674</v>
      </c>
      <c r="N111" s="331">
        <f t="shared" si="20"/>
        <v>0.88239309651130626</v>
      </c>
      <c r="O111" s="331">
        <f t="shared" si="20"/>
        <v>0.89527504628303023</v>
      </c>
      <c r="P111" s="331">
        <f t="shared" si="20"/>
        <v>0.9081569960547542</v>
      </c>
      <c r="Q111" s="331">
        <f t="shared" si="20"/>
        <v>0.92103894582647816</v>
      </c>
      <c r="R111" s="331">
        <f t="shared" si="20"/>
        <v>0.93392089559820213</v>
      </c>
      <c r="S111" s="331">
        <f t="shared" si="20"/>
        <v>0.9468028453699262</v>
      </c>
      <c r="T111" s="331">
        <f t="shared" si="20"/>
        <v>0.95968479514165006</v>
      </c>
      <c r="U111" s="331">
        <f t="shared" si="20"/>
        <v>0.9725667449133697</v>
      </c>
      <c r="V111" s="331">
        <f t="shared" si="20"/>
        <v>0.98544869468509355</v>
      </c>
      <c r="W111" s="331">
        <f t="shared" si="20"/>
        <v>0.99833064445681763</v>
      </c>
      <c r="X111" s="331">
        <f t="shared" si="20"/>
        <v>1.0112125942285415</v>
      </c>
      <c r="Y111" s="331">
        <f t="shared" si="20"/>
        <v>1.0240945440002656</v>
      </c>
      <c r="Z111" s="331">
        <f t="shared" si="20"/>
        <v>1.0369764937719896</v>
      </c>
      <c r="AA111" s="331">
        <f t="shared" si="20"/>
        <v>1.0498584435437091</v>
      </c>
      <c r="AB111" s="331">
        <f t="shared" si="20"/>
        <v>1.0627403933154329</v>
      </c>
      <c r="AC111" s="331">
        <f t="shared" si="20"/>
        <v>1.075622343087157</v>
      </c>
      <c r="AD111" s="331">
        <f t="shared" si="20"/>
        <v>1.0885042928588811</v>
      </c>
      <c r="AE111" s="331">
        <f t="shared" si="20"/>
        <v>1.1013862426306049</v>
      </c>
      <c r="AF111" s="331">
        <f t="shared" si="20"/>
        <v>1.1142681924023288</v>
      </c>
      <c r="AG111" s="331">
        <f t="shared" si="20"/>
        <v>1.1271501421740528</v>
      </c>
      <c r="AH111" s="331">
        <f t="shared" si="20"/>
        <v>1.1400320919457725</v>
      </c>
      <c r="AI111" s="331">
        <f t="shared" si="20"/>
        <v>1.1529140417174963</v>
      </c>
      <c r="AJ111" s="331">
        <f t="shared" si="20"/>
        <v>1.1657959914892202</v>
      </c>
    </row>
    <row r="112" spans="2:36" ht="15" customHeight="1">
      <c r="B112" s="230" t="s">
        <v>63</v>
      </c>
      <c r="C112" s="331">
        <f t="shared" ca="1" si="21"/>
        <v>0.77933749833752342</v>
      </c>
      <c r="E112" s="331">
        <f t="shared" si="22"/>
        <v>0.76770462651122651</v>
      </c>
      <c r="F112" s="331">
        <f t="shared" si="20"/>
        <v>0.77933749833752342</v>
      </c>
      <c r="G112" s="331">
        <f t="shared" si="20"/>
        <v>0.79221944810924738</v>
      </c>
      <c r="H112" s="331">
        <f t="shared" si="20"/>
        <v>0.80510139788096691</v>
      </c>
      <c r="I112" s="331">
        <f t="shared" si="20"/>
        <v>0.81798334765269087</v>
      </c>
      <c r="J112" s="331">
        <f t="shared" si="20"/>
        <v>0.83086529742441484</v>
      </c>
      <c r="K112" s="331">
        <f t="shared" si="20"/>
        <v>0.84374724719613881</v>
      </c>
      <c r="L112" s="331">
        <f t="shared" si="20"/>
        <v>0.85662919696786277</v>
      </c>
      <c r="M112" s="331">
        <f t="shared" si="20"/>
        <v>0.86951114673958674</v>
      </c>
      <c r="N112" s="331">
        <f t="shared" si="20"/>
        <v>0.88239309651130626</v>
      </c>
      <c r="O112" s="331">
        <f t="shared" si="20"/>
        <v>0.89527504628303023</v>
      </c>
      <c r="P112" s="331">
        <f t="shared" si="20"/>
        <v>0.9081569960547542</v>
      </c>
      <c r="Q112" s="331">
        <f t="shared" si="20"/>
        <v>0.92103894582647816</v>
      </c>
      <c r="R112" s="331">
        <f t="shared" si="20"/>
        <v>0.93392089559820213</v>
      </c>
      <c r="S112" s="331">
        <f t="shared" si="20"/>
        <v>0.9468028453699262</v>
      </c>
      <c r="T112" s="331">
        <f t="shared" si="20"/>
        <v>0.95968479514165006</v>
      </c>
      <c r="U112" s="331">
        <f t="shared" si="20"/>
        <v>0.9725667449133697</v>
      </c>
      <c r="V112" s="331">
        <f t="shared" si="20"/>
        <v>0.98544869468509355</v>
      </c>
      <c r="W112" s="331">
        <f t="shared" si="20"/>
        <v>0.99833064445681763</v>
      </c>
      <c r="X112" s="331">
        <f t="shared" si="20"/>
        <v>1.0112125942285415</v>
      </c>
      <c r="Y112" s="331">
        <f t="shared" si="20"/>
        <v>1.0240945440002656</v>
      </c>
      <c r="Z112" s="331">
        <f t="shared" si="20"/>
        <v>1.0369764937719896</v>
      </c>
      <c r="AA112" s="331">
        <f t="shared" si="20"/>
        <v>1.0498584435437091</v>
      </c>
      <c r="AB112" s="331">
        <f t="shared" si="20"/>
        <v>1.0627403933154329</v>
      </c>
      <c r="AC112" s="331">
        <f t="shared" si="20"/>
        <v>1.075622343087157</v>
      </c>
      <c r="AD112" s="331">
        <f t="shared" si="20"/>
        <v>1.0885042928588811</v>
      </c>
      <c r="AE112" s="331">
        <f t="shared" si="20"/>
        <v>1.1013862426306049</v>
      </c>
      <c r="AF112" s="331">
        <f t="shared" si="20"/>
        <v>1.1142681924023288</v>
      </c>
      <c r="AG112" s="331">
        <f t="shared" si="20"/>
        <v>1.1271501421740528</v>
      </c>
      <c r="AH112" s="331">
        <f t="shared" si="20"/>
        <v>1.1400320919457725</v>
      </c>
      <c r="AI112" s="331">
        <f t="shared" si="20"/>
        <v>1.1529140417174963</v>
      </c>
      <c r="AJ112" s="331">
        <f t="shared" si="20"/>
        <v>1.1657959914892202</v>
      </c>
    </row>
    <row r="113" spans="2:36" ht="15" customHeight="1">
      <c r="B113" s="230" t="s">
        <v>64</v>
      </c>
      <c r="C113" s="331">
        <f t="shared" ca="1" si="21"/>
        <v>0.77933749833752342</v>
      </c>
      <c r="E113" s="331">
        <f t="shared" si="22"/>
        <v>0.76770462651122651</v>
      </c>
      <c r="F113" s="331">
        <f t="shared" ref="F113:AJ116" si="23">(F$49+F$50)*$C$25</f>
        <v>0.77933749833752342</v>
      </c>
      <c r="G113" s="331">
        <f t="shared" si="23"/>
        <v>0.79221944810924738</v>
      </c>
      <c r="H113" s="331">
        <f t="shared" si="23"/>
        <v>0.80510139788096691</v>
      </c>
      <c r="I113" s="331">
        <f t="shared" si="23"/>
        <v>0.81798334765269087</v>
      </c>
      <c r="J113" s="331">
        <f t="shared" si="23"/>
        <v>0.83086529742441484</v>
      </c>
      <c r="K113" s="331">
        <f t="shared" si="23"/>
        <v>0.84374724719613881</v>
      </c>
      <c r="L113" s="331">
        <f t="shared" si="23"/>
        <v>0.85662919696786277</v>
      </c>
      <c r="M113" s="331">
        <f t="shared" si="23"/>
        <v>0.86951114673958674</v>
      </c>
      <c r="N113" s="331">
        <f t="shared" si="23"/>
        <v>0.88239309651130626</v>
      </c>
      <c r="O113" s="331">
        <f t="shared" si="23"/>
        <v>0.89527504628303023</v>
      </c>
      <c r="P113" s="331">
        <f t="shared" si="23"/>
        <v>0.9081569960547542</v>
      </c>
      <c r="Q113" s="331">
        <f t="shared" si="23"/>
        <v>0.92103894582647816</v>
      </c>
      <c r="R113" s="331">
        <f t="shared" si="23"/>
        <v>0.93392089559820213</v>
      </c>
      <c r="S113" s="331">
        <f t="shared" si="23"/>
        <v>0.9468028453699262</v>
      </c>
      <c r="T113" s="331">
        <f t="shared" si="23"/>
        <v>0.95968479514165006</v>
      </c>
      <c r="U113" s="331">
        <f t="shared" si="23"/>
        <v>0.9725667449133697</v>
      </c>
      <c r="V113" s="331">
        <f t="shared" si="23"/>
        <v>0.98544869468509355</v>
      </c>
      <c r="W113" s="331">
        <f t="shared" si="23"/>
        <v>0.99833064445681763</v>
      </c>
      <c r="X113" s="331">
        <f t="shared" si="23"/>
        <v>1.0112125942285415</v>
      </c>
      <c r="Y113" s="331">
        <f t="shared" si="23"/>
        <v>1.0240945440002656</v>
      </c>
      <c r="Z113" s="331">
        <f t="shared" si="23"/>
        <v>1.0369764937719896</v>
      </c>
      <c r="AA113" s="331">
        <f t="shared" si="23"/>
        <v>1.0498584435437091</v>
      </c>
      <c r="AB113" s="331">
        <f t="shared" si="23"/>
        <v>1.0627403933154329</v>
      </c>
      <c r="AC113" s="331">
        <f t="shared" si="23"/>
        <v>1.075622343087157</v>
      </c>
      <c r="AD113" s="331">
        <f t="shared" si="23"/>
        <v>1.0885042928588811</v>
      </c>
      <c r="AE113" s="331">
        <f t="shared" si="23"/>
        <v>1.1013862426306049</v>
      </c>
      <c r="AF113" s="331">
        <f t="shared" si="23"/>
        <v>1.1142681924023288</v>
      </c>
      <c r="AG113" s="331">
        <f t="shared" si="23"/>
        <v>1.1271501421740528</v>
      </c>
      <c r="AH113" s="331">
        <f t="shared" si="23"/>
        <v>1.1400320919457725</v>
      </c>
      <c r="AI113" s="331">
        <f t="shared" si="23"/>
        <v>1.1529140417174963</v>
      </c>
      <c r="AJ113" s="331">
        <f t="shared" si="23"/>
        <v>1.1657959914892202</v>
      </c>
    </row>
    <row r="114" spans="2:36" ht="15" customHeight="1">
      <c r="B114" s="230" t="s">
        <v>65</v>
      </c>
      <c r="C114" s="331">
        <f t="shared" ca="1" si="21"/>
        <v>0.77933749833752342</v>
      </c>
      <c r="E114" s="331">
        <f t="shared" si="22"/>
        <v>0.76770462651122651</v>
      </c>
      <c r="F114" s="331">
        <f t="shared" si="23"/>
        <v>0.77933749833752342</v>
      </c>
      <c r="G114" s="331">
        <f t="shared" si="23"/>
        <v>0.79221944810924738</v>
      </c>
      <c r="H114" s="331">
        <f t="shared" si="23"/>
        <v>0.80510139788096691</v>
      </c>
      <c r="I114" s="331">
        <f t="shared" si="23"/>
        <v>0.81798334765269087</v>
      </c>
      <c r="J114" s="331">
        <f t="shared" si="23"/>
        <v>0.83086529742441484</v>
      </c>
      <c r="K114" s="331">
        <f t="shared" si="23"/>
        <v>0.84374724719613881</v>
      </c>
      <c r="L114" s="331">
        <f t="shared" si="23"/>
        <v>0.85662919696786277</v>
      </c>
      <c r="M114" s="331">
        <f t="shared" si="23"/>
        <v>0.86951114673958674</v>
      </c>
      <c r="N114" s="331">
        <f t="shared" si="23"/>
        <v>0.88239309651130626</v>
      </c>
      <c r="O114" s="331">
        <f t="shared" si="23"/>
        <v>0.89527504628303023</v>
      </c>
      <c r="P114" s="331">
        <f t="shared" si="23"/>
        <v>0.9081569960547542</v>
      </c>
      <c r="Q114" s="331">
        <f t="shared" si="23"/>
        <v>0.92103894582647816</v>
      </c>
      <c r="R114" s="331">
        <f t="shared" si="23"/>
        <v>0.93392089559820213</v>
      </c>
      <c r="S114" s="331">
        <f t="shared" si="23"/>
        <v>0.9468028453699262</v>
      </c>
      <c r="T114" s="331">
        <f t="shared" si="23"/>
        <v>0.95968479514165006</v>
      </c>
      <c r="U114" s="331">
        <f t="shared" si="23"/>
        <v>0.9725667449133697</v>
      </c>
      <c r="V114" s="331">
        <f t="shared" si="23"/>
        <v>0.98544869468509355</v>
      </c>
      <c r="W114" s="331">
        <f t="shared" si="23"/>
        <v>0.99833064445681763</v>
      </c>
      <c r="X114" s="331">
        <f t="shared" si="23"/>
        <v>1.0112125942285415</v>
      </c>
      <c r="Y114" s="331">
        <f t="shared" si="23"/>
        <v>1.0240945440002656</v>
      </c>
      <c r="Z114" s="331">
        <f t="shared" si="23"/>
        <v>1.0369764937719896</v>
      </c>
      <c r="AA114" s="331">
        <f t="shared" si="23"/>
        <v>1.0498584435437091</v>
      </c>
      <c r="AB114" s="331">
        <f t="shared" si="23"/>
        <v>1.0627403933154329</v>
      </c>
      <c r="AC114" s="331">
        <f t="shared" si="23"/>
        <v>1.075622343087157</v>
      </c>
      <c r="AD114" s="331">
        <f t="shared" si="23"/>
        <v>1.0885042928588811</v>
      </c>
      <c r="AE114" s="331">
        <f t="shared" si="23"/>
        <v>1.1013862426306049</v>
      </c>
      <c r="AF114" s="331">
        <f t="shared" si="23"/>
        <v>1.1142681924023288</v>
      </c>
      <c r="AG114" s="331">
        <f t="shared" si="23"/>
        <v>1.1271501421740528</v>
      </c>
      <c r="AH114" s="331">
        <f t="shared" si="23"/>
        <v>1.1400320919457725</v>
      </c>
      <c r="AI114" s="331">
        <f t="shared" si="23"/>
        <v>1.1529140417174963</v>
      </c>
      <c r="AJ114" s="331">
        <f t="shared" si="23"/>
        <v>1.1657959914892202</v>
      </c>
    </row>
    <row r="115" spans="2:36" ht="15" customHeight="1">
      <c r="B115" s="230" t="s">
        <v>66</v>
      </c>
      <c r="C115" s="331">
        <f t="shared" ca="1" si="21"/>
        <v>0.77933749833752342</v>
      </c>
      <c r="E115" s="331">
        <f t="shared" si="22"/>
        <v>0.76770462651122651</v>
      </c>
      <c r="F115" s="331">
        <f t="shared" si="23"/>
        <v>0.77933749833752342</v>
      </c>
      <c r="G115" s="331">
        <f t="shared" si="23"/>
        <v>0.79221944810924738</v>
      </c>
      <c r="H115" s="331">
        <f t="shared" si="23"/>
        <v>0.80510139788096691</v>
      </c>
      <c r="I115" s="331">
        <f t="shared" si="23"/>
        <v>0.81798334765269087</v>
      </c>
      <c r="J115" s="331">
        <f t="shared" si="23"/>
        <v>0.83086529742441484</v>
      </c>
      <c r="K115" s="331">
        <f t="shared" si="23"/>
        <v>0.84374724719613881</v>
      </c>
      <c r="L115" s="331">
        <f t="shared" si="23"/>
        <v>0.85662919696786277</v>
      </c>
      <c r="M115" s="331">
        <f t="shared" si="23"/>
        <v>0.86951114673958674</v>
      </c>
      <c r="N115" s="331">
        <f t="shared" si="23"/>
        <v>0.88239309651130626</v>
      </c>
      <c r="O115" s="331">
        <f t="shared" si="23"/>
        <v>0.89527504628303023</v>
      </c>
      <c r="P115" s="331">
        <f t="shared" si="23"/>
        <v>0.9081569960547542</v>
      </c>
      <c r="Q115" s="331">
        <f t="shared" si="23"/>
        <v>0.92103894582647816</v>
      </c>
      <c r="R115" s="331">
        <f t="shared" si="23"/>
        <v>0.93392089559820213</v>
      </c>
      <c r="S115" s="331">
        <f t="shared" si="23"/>
        <v>0.9468028453699262</v>
      </c>
      <c r="T115" s="331">
        <f t="shared" si="23"/>
        <v>0.95968479514165006</v>
      </c>
      <c r="U115" s="331">
        <f t="shared" si="23"/>
        <v>0.9725667449133697</v>
      </c>
      <c r="V115" s="331">
        <f t="shared" si="23"/>
        <v>0.98544869468509355</v>
      </c>
      <c r="W115" s="331">
        <f t="shared" si="23"/>
        <v>0.99833064445681763</v>
      </c>
      <c r="X115" s="331">
        <f t="shared" si="23"/>
        <v>1.0112125942285415</v>
      </c>
      <c r="Y115" s="331">
        <f t="shared" si="23"/>
        <v>1.0240945440002656</v>
      </c>
      <c r="Z115" s="331">
        <f t="shared" si="23"/>
        <v>1.0369764937719896</v>
      </c>
      <c r="AA115" s="331">
        <f t="shared" si="23"/>
        <v>1.0498584435437091</v>
      </c>
      <c r="AB115" s="331">
        <f t="shared" si="23"/>
        <v>1.0627403933154329</v>
      </c>
      <c r="AC115" s="331">
        <f t="shared" si="23"/>
        <v>1.075622343087157</v>
      </c>
      <c r="AD115" s="331">
        <f t="shared" si="23"/>
        <v>1.0885042928588811</v>
      </c>
      <c r="AE115" s="331">
        <f t="shared" si="23"/>
        <v>1.1013862426306049</v>
      </c>
      <c r="AF115" s="331">
        <f t="shared" si="23"/>
        <v>1.1142681924023288</v>
      </c>
      <c r="AG115" s="331">
        <f t="shared" si="23"/>
        <v>1.1271501421740528</v>
      </c>
      <c r="AH115" s="331">
        <f t="shared" si="23"/>
        <v>1.1400320919457725</v>
      </c>
      <c r="AI115" s="331">
        <f t="shared" si="23"/>
        <v>1.1529140417174963</v>
      </c>
      <c r="AJ115" s="331">
        <f t="shared" si="23"/>
        <v>1.1657959914892202</v>
      </c>
    </row>
    <row r="116" spans="2:36" ht="15" customHeight="1">
      <c r="B116" s="231" t="s">
        <v>67</v>
      </c>
      <c r="C116" s="331">
        <f t="shared" ca="1" si="21"/>
        <v>0.77933749833752342</v>
      </c>
      <c r="E116" s="331">
        <f t="shared" si="22"/>
        <v>0.76770462651122651</v>
      </c>
      <c r="F116" s="331">
        <f t="shared" si="23"/>
        <v>0.77933749833752342</v>
      </c>
      <c r="G116" s="331">
        <f t="shared" si="23"/>
        <v>0.79221944810924738</v>
      </c>
      <c r="H116" s="331">
        <f t="shared" si="23"/>
        <v>0.80510139788096691</v>
      </c>
      <c r="I116" s="331">
        <f t="shared" si="23"/>
        <v>0.81798334765269087</v>
      </c>
      <c r="J116" s="331">
        <f t="shared" si="23"/>
        <v>0.83086529742441484</v>
      </c>
      <c r="K116" s="331">
        <f t="shared" si="23"/>
        <v>0.84374724719613881</v>
      </c>
      <c r="L116" s="331">
        <f t="shared" si="23"/>
        <v>0.85662919696786277</v>
      </c>
      <c r="M116" s="331">
        <f t="shared" si="23"/>
        <v>0.86951114673958674</v>
      </c>
      <c r="N116" s="331">
        <f t="shared" si="23"/>
        <v>0.88239309651130626</v>
      </c>
      <c r="O116" s="331">
        <f t="shared" si="23"/>
        <v>0.89527504628303023</v>
      </c>
      <c r="P116" s="331">
        <f t="shared" si="23"/>
        <v>0.9081569960547542</v>
      </c>
      <c r="Q116" s="331">
        <f t="shared" si="23"/>
        <v>0.92103894582647816</v>
      </c>
      <c r="R116" s="331">
        <f t="shared" si="23"/>
        <v>0.93392089559820213</v>
      </c>
      <c r="S116" s="331">
        <f t="shared" si="23"/>
        <v>0.9468028453699262</v>
      </c>
      <c r="T116" s="331">
        <f t="shared" si="23"/>
        <v>0.95968479514165006</v>
      </c>
      <c r="U116" s="331">
        <f t="shared" si="23"/>
        <v>0.9725667449133697</v>
      </c>
      <c r="V116" s="331">
        <f t="shared" si="23"/>
        <v>0.98544869468509355</v>
      </c>
      <c r="W116" s="331">
        <f t="shared" si="23"/>
        <v>0.99833064445681763</v>
      </c>
      <c r="X116" s="331">
        <f t="shared" si="23"/>
        <v>1.0112125942285415</v>
      </c>
      <c r="Y116" s="331">
        <f t="shared" si="23"/>
        <v>1.0240945440002656</v>
      </c>
      <c r="Z116" s="331">
        <f t="shared" si="23"/>
        <v>1.0369764937719896</v>
      </c>
      <c r="AA116" s="331">
        <f t="shared" si="23"/>
        <v>1.0498584435437091</v>
      </c>
      <c r="AB116" s="331">
        <f t="shared" si="23"/>
        <v>1.0627403933154329</v>
      </c>
      <c r="AC116" s="331">
        <f t="shared" si="23"/>
        <v>1.075622343087157</v>
      </c>
      <c r="AD116" s="331">
        <f t="shared" si="23"/>
        <v>1.0885042928588811</v>
      </c>
      <c r="AE116" s="331">
        <f t="shared" si="23"/>
        <v>1.1013862426306049</v>
      </c>
      <c r="AF116" s="331">
        <f t="shared" si="23"/>
        <v>1.1142681924023288</v>
      </c>
      <c r="AG116" s="331">
        <f t="shared" si="23"/>
        <v>1.1271501421740528</v>
      </c>
      <c r="AH116" s="331">
        <f t="shared" si="23"/>
        <v>1.1400320919457725</v>
      </c>
      <c r="AI116" s="331">
        <f t="shared" si="23"/>
        <v>1.1529140417174963</v>
      </c>
      <c r="AJ116" s="331">
        <f t="shared" si="23"/>
        <v>1.1657959914892202</v>
      </c>
    </row>
    <row r="117" spans="2:36" ht="15" customHeight="1">
      <c r="E117" s="56"/>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row>
    <row r="118" spans="2:36" ht="15" customHeight="1">
      <c r="B118" s="330" t="s">
        <v>43</v>
      </c>
      <c r="C118" s="29" t="s">
        <v>75</v>
      </c>
      <c r="E118" s="29">
        <f>E$47</f>
        <v>2023</v>
      </c>
      <c r="F118" s="29">
        <f t="shared" ref="F118:AJ118" si="24">F$47</f>
        <v>2024</v>
      </c>
      <c r="G118" s="29">
        <f t="shared" si="24"/>
        <v>2025</v>
      </c>
      <c r="H118" s="29">
        <f t="shared" si="24"/>
        <v>2026</v>
      </c>
      <c r="I118" s="29">
        <f t="shared" si="24"/>
        <v>2027</v>
      </c>
      <c r="J118" s="29">
        <f t="shared" si="24"/>
        <v>2028</v>
      </c>
      <c r="K118" s="29">
        <f t="shared" si="24"/>
        <v>2029</v>
      </c>
      <c r="L118" s="29">
        <f t="shared" si="24"/>
        <v>2030</v>
      </c>
      <c r="M118" s="29">
        <f t="shared" si="24"/>
        <v>2031</v>
      </c>
      <c r="N118" s="29">
        <f t="shared" si="24"/>
        <v>2032</v>
      </c>
      <c r="O118" s="29">
        <f t="shared" si="24"/>
        <v>2033</v>
      </c>
      <c r="P118" s="29">
        <f t="shared" si="24"/>
        <v>2034</v>
      </c>
      <c r="Q118" s="29">
        <f t="shared" si="24"/>
        <v>2035</v>
      </c>
      <c r="R118" s="29">
        <f t="shared" si="24"/>
        <v>2036</v>
      </c>
      <c r="S118" s="29">
        <f t="shared" si="24"/>
        <v>2037</v>
      </c>
      <c r="T118" s="29">
        <f t="shared" si="24"/>
        <v>2038</v>
      </c>
      <c r="U118" s="29">
        <f t="shared" si="24"/>
        <v>2039</v>
      </c>
      <c r="V118" s="29">
        <f t="shared" si="24"/>
        <v>2040</v>
      </c>
      <c r="W118" s="29">
        <f t="shared" si="24"/>
        <v>2041</v>
      </c>
      <c r="X118" s="29">
        <f t="shared" si="24"/>
        <v>2042</v>
      </c>
      <c r="Y118" s="29">
        <f t="shared" si="24"/>
        <v>2043</v>
      </c>
      <c r="Z118" s="29">
        <f t="shared" si="24"/>
        <v>2044</v>
      </c>
      <c r="AA118" s="29">
        <f t="shared" si="24"/>
        <v>2045</v>
      </c>
      <c r="AB118" s="29">
        <f t="shared" si="24"/>
        <v>2046</v>
      </c>
      <c r="AC118" s="29">
        <f t="shared" si="24"/>
        <v>2047</v>
      </c>
      <c r="AD118" s="29">
        <f t="shared" si="24"/>
        <v>2048</v>
      </c>
      <c r="AE118" s="29">
        <f t="shared" si="24"/>
        <v>2049</v>
      </c>
      <c r="AF118" s="29">
        <f t="shared" si="24"/>
        <v>2050</v>
      </c>
      <c r="AG118" s="29">
        <f t="shared" si="24"/>
        <v>2051</v>
      </c>
      <c r="AH118" s="29">
        <f t="shared" si="24"/>
        <v>2052</v>
      </c>
      <c r="AI118" s="29">
        <f t="shared" si="24"/>
        <v>2053</v>
      </c>
      <c r="AJ118" s="29">
        <f t="shared" si="24"/>
        <v>2054</v>
      </c>
    </row>
    <row r="119" spans="2:36" ht="15" customHeight="1">
      <c r="B119" s="230" t="s">
        <v>53</v>
      </c>
      <c r="C119" s="331">
        <f ca="1">-PMT($C$17,$C$15,NPV($C$17,OFFSET(E119,0,$C$72,1,$C$15))) * (1+$C$20)^($C$19-$C$14)</f>
        <v>3.3698623799112773E-2</v>
      </c>
      <c r="E119" s="331">
        <f>E$51*$C$26</f>
        <v>3.3698623799112773E-2</v>
      </c>
      <c r="F119" s="331">
        <f t="shared" ref="F119:AJ126" si="25">F$51*$C$26</f>
        <v>3.3698623799112773E-2</v>
      </c>
      <c r="G119" s="331">
        <f t="shared" si="25"/>
        <v>3.3698623799112773E-2</v>
      </c>
      <c r="H119" s="331">
        <f t="shared" si="25"/>
        <v>3.3698623799112773E-2</v>
      </c>
      <c r="I119" s="331">
        <f t="shared" si="25"/>
        <v>3.3698623799112773E-2</v>
      </c>
      <c r="J119" s="331">
        <f t="shared" si="25"/>
        <v>3.3698623799112773E-2</v>
      </c>
      <c r="K119" s="331">
        <f t="shared" si="25"/>
        <v>3.3698623799112773E-2</v>
      </c>
      <c r="L119" s="331">
        <f t="shared" si="25"/>
        <v>3.3698623799112773E-2</v>
      </c>
      <c r="M119" s="331">
        <f t="shared" si="25"/>
        <v>3.3698623799112773E-2</v>
      </c>
      <c r="N119" s="331">
        <f t="shared" si="25"/>
        <v>3.3698623799112773E-2</v>
      </c>
      <c r="O119" s="331">
        <f t="shared" si="25"/>
        <v>3.3698623799112773E-2</v>
      </c>
      <c r="P119" s="331">
        <f t="shared" si="25"/>
        <v>3.3698623799112773E-2</v>
      </c>
      <c r="Q119" s="331">
        <f t="shared" si="25"/>
        <v>3.3698623799112773E-2</v>
      </c>
      <c r="R119" s="331">
        <f t="shared" si="25"/>
        <v>3.3698623799112773E-2</v>
      </c>
      <c r="S119" s="331">
        <f t="shared" si="25"/>
        <v>3.3698623799112773E-2</v>
      </c>
      <c r="T119" s="331">
        <f t="shared" si="25"/>
        <v>3.3698623799112773E-2</v>
      </c>
      <c r="U119" s="331">
        <f t="shared" si="25"/>
        <v>3.3698623799112773E-2</v>
      </c>
      <c r="V119" s="331">
        <f t="shared" si="25"/>
        <v>3.3698623799112773E-2</v>
      </c>
      <c r="W119" s="331">
        <f t="shared" si="25"/>
        <v>3.3698623799112773E-2</v>
      </c>
      <c r="X119" s="331">
        <f t="shared" si="25"/>
        <v>3.3698623799112773E-2</v>
      </c>
      <c r="Y119" s="331">
        <f t="shared" si="25"/>
        <v>3.3698623799112773E-2</v>
      </c>
      <c r="Z119" s="331">
        <f t="shared" si="25"/>
        <v>3.3698623799112773E-2</v>
      </c>
      <c r="AA119" s="331">
        <f t="shared" si="25"/>
        <v>3.3698623799112773E-2</v>
      </c>
      <c r="AB119" s="331">
        <f t="shared" si="25"/>
        <v>3.3698623799112773E-2</v>
      </c>
      <c r="AC119" s="331">
        <f t="shared" si="25"/>
        <v>3.3698623799112773E-2</v>
      </c>
      <c r="AD119" s="331">
        <f t="shared" si="25"/>
        <v>3.3698623799112773E-2</v>
      </c>
      <c r="AE119" s="331">
        <f t="shared" si="25"/>
        <v>3.3698623799112773E-2</v>
      </c>
      <c r="AF119" s="331">
        <f t="shared" si="25"/>
        <v>3.3698623799112773E-2</v>
      </c>
      <c r="AG119" s="331">
        <f t="shared" si="25"/>
        <v>3.3698623799112773E-2</v>
      </c>
      <c r="AH119" s="331">
        <f t="shared" si="25"/>
        <v>3.3698623799112773E-2</v>
      </c>
      <c r="AI119" s="331">
        <f t="shared" si="25"/>
        <v>3.3698623799112773E-2</v>
      </c>
      <c r="AJ119" s="331">
        <f t="shared" si="25"/>
        <v>3.3698623799112773E-2</v>
      </c>
    </row>
    <row r="120" spans="2:36" ht="15" customHeight="1">
      <c r="B120" s="230" t="s">
        <v>55</v>
      </c>
      <c r="C120" s="331">
        <f t="shared" ref="C120:C130" ca="1" si="26">-PMT($C$17,$C$15,NPV($C$17,OFFSET(E120,0,$C$72,1,$C$15))) * (1+$C$20)^($C$19-$C$14)</f>
        <v>3.3698623799112773E-2</v>
      </c>
      <c r="E120" s="331">
        <f t="shared" ref="E120:E130" si="27">E$51*$C$26</f>
        <v>3.3698623799112773E-2</v>
      </c>
      <c r="F120" s="331">
        <f t="shared" si="25"/>
        <v>3.3698623799112773E-2</v>
      </c>
      <c r="G120" s="331">
        <f t="shared" si="25"/>
        <v>3.3698623799112773E-2</v>
      </c>
      <c r="H120" s="331">
        <f t="shared" si="25"/>
        <v>3.3698623799112773E-2</v>
      </c>
      <c r="I120" s="331">
        <f t="shared" si="25"/>
        <v>3.3698623799112773E-2</v>
      </c>
      <c r="J120" s="331">
        <f t="shared" si="25"/>
        <v>3.3698623799112773E-2</v>
      </c>
      <c r="K120" s="331">
        <f t="shared" si="25"/>
        <v>3.3698623799112773E-2</v>
      </c>
      <c r="L120" s="331">
        <f t="shared" si="25"/>
        <v>3.3698623799112773E-2</v>
      </c>
      <c r="M120" s="331">
        <f t="shared" si="25"/>
        <v>3.3698623799112773E-2</v>
      </c>
      <c r="N120" s="331">
        <f t="shared" si="25"/>
        <v>3.3698623799112773E-2</v>
      </c>
      <c r="O120" s="331">
        <f t="shared" si="25"/>
        <v>3.3698623799112773E-2</v>
      </c>
      <c r="P120" s="331">
        <f t="shared" si="25"/>
        <v>3.3698623799112773E-2</v>
      </c>
      <c r="Q120" s="331">
        <f t="shared" si="25"/>
        <v>3.3698623799112773E-2</v>
      </c>
      <c r="R120" s="331">
        <f t="shared" si="25"/>
        <v>3.3698623799112773E-2</v>
      </c>
      <c r="S120" s="331">
        <f t="shared" si="25"/>
        <v>3.3698623799112773E-2</v>
      </c>
      <c r="T120" s="331">
        <f t="shared" si="25"/>
        <v>3.3698623799112773E-2</v>
      </c>
      <c r="U120" s="331">
        <f t="shared" si="25"/>
        <v>3.3698623799112773E-2</v>
      </c>
      <c r="V120" s="331">
        <f t="shared" si="25"/>
        <v>3.3698623799112773E-2</v>
      </c>
      <c r="W120" s="331">
        <f t="shared" si="25"/>
        <v>3.3698623799112773E-2</v>
      </c>
      <c r="X120" s="331">
        <f t="shared" si="25"/>
        <v>3.3698623799112773E-2</v>
      </c>
      <c r="Y120" s="331">
        <f t="shared" si="25"/>
        <v>3.3698623799112773E-2</v>
      </c>
      <c r="Z120" s="331">
        <f t="shared" si="25"/>
        <v>3.3698623799112773E-2</v>
      </c>
      <c r="AA120" s="331">
        <f t="shared" si="25"/>
        <v>3.3698623799112773E-2</v>
      </c>
      <c r="AB120" s="331">
        <f t="shared" si="25"/>
        <v>3.3698623799112773E-2</v>
      </c>
      <c r="AC120" s="331">
        <f t="shared" si="25"/>
        <v>3.3698623799112773E-2</v>
      </c>
      <c r="AD120" s="331">
        <f t="shared" si="25"/>
        <v>3.3698623799112773E-2</v>
      </c>
      <c r="AE120" s="331">
        <f t="shared" si="25"/>
        <v>3.3698623799112773E-2</v>
      </c>
      <c r="AF120" s="331">
        <f t="shared" si="25"/>
        <v>3.3698623799112773E-2</v>
      </c>
      <c r="AG120" s="331">
        <f t="shared" si="25"/>
        <v>3.3698623799112773E-2</v>
      </c>
      <c r="AH120" s="331">
        <f t="shared" si="25"/>
        <v>3.3698623799112773E-2</v>
      </c>
      <c r="AI120" s="331">
        <f t="shared" si="25"/>
        <v>3.3698623799112773E-2</v>
      </c>
      <c r="AJ120" s="331">
        <f t="shared" si="25"/>
        <v>3.3698623799112773E-2</v>
      </c>
    </row>
    <row r="121" spans="2:36" ht="15" customHeight="1">
      <c r="B121" s="230" t="s">
        <v>57</v>
      </c>
      <c r="C121" s="331">
        <f t="shared" ca="1" si="26"/>
        <v>3.3698623799112773E-2</v>
      </c>
      <c r="E121" s="331">
        <f t="shared" si="27"/>
        <v>3.3698623799112773E-2</v>
      </c>
      <c r="F121" s="331">
        <f t="shared" si="25"/>
        <v>3.3698623799112773E-2</v>
      </c>
      <c r="G121" s="331">
        <f t="shared" si="25"/>
        <v>3.3698623799112773E-2</v>
      </c>
      <c r="H121" s="331">
        <f t="shared" si="25"/>
        <v>3.3698623799112773E-2</v>
      </c>
      <c r="I121" s="331">
        <f t="shared" si="25"/>
        <v>3.3698623799112773E-2</v>
      </c>
      <c r="J121" s="331">
        <f t="shared" si="25"/>
        <v>3.3698623799112773E-2</v>
      </c>
      <c r="K121" s="331">
        <f t="shared" si="25"/>
        <v>3.3698623799112773E-2</v>
      </c>
      <c r="L121" s="331">
        <f t="shared" si="25"/>
        <v>3.3698623799112773E-2</v>
      </c>
      <c r="M121" s="331">
        <f t="shared" si="25"/>
        <v>3.3698623799112773E-2</v>
      </c>
      <c r="N121" s="331">
        <f t="shared" si="25"/>
        <v>3.3698623799112773E-2</v>
      </c>
      <c r="O121" s="331">
        <f t="shared" si="25"/>
        <v>3.3698623799112773E-2</v>
      </c>
      <c r="P121" s="331">
        <f t="shared" si="25"/>
        <v>3.3698623799112773E-2</v>
      </c>
      <c r="Q121" s="331">
        <f t="shared" si="25"/>
        <v>3.3698623799112773E-2</v>
      </c>
      <c r="R121" s="331">
        <f t="shared" si="25"/>
        <v>3.3698623799112773E-2</v>
      </c>
      <c r="S121" s="331">
        <f t="shared" si="25"/>
        <v>3.3698623799112773E-2</v>
      </c>
      <c r="T121" s="331">
        <f t="shared" si="25"/>
        <v>3.3698623799112773E-2</v>
      </c>
      <c r="U121" s="331">
        <f t="shared" si="25"/>
        <v>3.3698623799112773E-2</v>
      </c>
      <c r="V121" s="331">
        <f t="shared" si="25"/>
        <v>3.3698623799112773E-2</v>
      </c>
      <c r="W121" s="331">
        <f t="shared" si="25"/>
        <v>3.3698623799112773E-2</v>
      </c>
      <c r="X121" s="331">
        <f t="shared" si="25"/>
        <v>3.3698623799112773E-2</v>
      </c>
      <c r="Y121" s="331">
        <f t="shared" si="25"/>
        <v>3.3698623799112773E-2</v>
      </c>
      <c r="Z121" s="331">
        <f t="shared" si="25"/>
        <v>3.3698623799112773E-2</v>
      </c>
      <c r="AA121" s="331">
        <f t="shared" si="25"/>
        <v>3.3698623799112773E-2</v>
      </c>
      <c r="AB121" s="331">
        <f t="shared" si="25"/>
        <v>3.3698623799112773E-2</v>
      </c>
      <c r="AC121" s="331">
        <f t="shared" si="25"/>
        <v>3.3698623799112773E-2</v>
      </c>
      <c r="AD121" s="331">
        <f t="shared" si="25"/>
        <v>3.3698623799112773E-2</v>
      </c>
      <c r="AE121" s="331">
        <f t="shared" si="25"/>
        <v>3.3698623799112773E-2</v>
      </c>
      <c r="AF121" s="331">
        <f t="shared" si="25"/>
        <v>3.3698623799112773E-2</v>
      </c>
      <c r="AG121" s="331">
        <f t="shared" si="25"/>
        <v>3.3698623799112773E-2</v>
      </c>
      <c r="AH121" s="331">
        <f t="shared" si="25"/>
        <v>3.3698623799112773E-2</v>
      </c>
      <c r="AI121" s="331">
        <f t="shared" si="25"/>
        <v>3.3698623799112773E-2</v>
      </c>
      <c r="AJ121" s="331">
        <f t="shared" si="25"/>
        <v>3.3698623799112773E-2</v>
      </c>
    </row>
    <row r="122" spans="2:36" ht="15" customHeight="1">
      <c r="B122" s="230" t="s">
        <v>59</v>
      </c>
      <c r="C122" s="331">
        <f t="shared" ca="1" si="26"/>
        <v>3.3698623799112773E-2</v>
      </c>
      <c r="E122" s="331">
        <f t="shared" si="27"/>
        <v>3.3698623799112773E-2</v>
      </c>
      <c r="F122" s="331">
        <f t="shared" si="25"/>
        <v>3.3698623799112773E-2</v>
      </c>
      <c r="G122" s="331">
        <f t="shared" si="25"/>
        <v>3.3698623799112773E-2</v>
      </c>
      <c r="H122" s="331">
        <f t="shared" si="25"/>
        <v>3.3698623799112773E-2</v>
      </c>
      <c r="I122" s="331">
        <f t="shared" si="25"/>
        <v>3.3698623799112773E-2</v>
      </c>
      <c r="J122" s="331">
        <f t="shared" si="25"/>
        <v>3.3698623799112773E-2</v>
      </c>
      <c r="K122" s="331">
        <f t="shared" si="25"/>
        <v>3.3698623799112773E-2</v>
      </c>
      <c r="L122" s="331">
        <f t="shared" si="25"/>
        <v>3.3698623799112773E-2</v>
      </c>
      <c r="M122" s="331">
        <f t="shared" si="25"/>
        <v>3.3698623799112773E-2</v>
      </c>
      <c r="N122" s="331">
        <f t="shared" si="25"/>
        <v>3.3698623799112773E-2</v>
      </c>
      <c r="O122" s="331">
        <f t="shared" si="25"/>
        <v>3.3698623799112773E-2</v>
      </c>
      <c r="P122" s="331">
        <f t="shared" si="25"/>
        <v>3.3698623799112773E-2</v>
      </c>
      <c r="Q122" s="331">
        <f t="shared" si="25"/>
        <v>3.3698623799112773E-2</v>
      </c>
      <c r="R122" s="331">
        <f t="shared" si="25"/>
        <v>3.3698623799112773E-2</v>
      </c>
      <c r="S122" s="331">
        <f t="shared" si="25"/>
        <v>3.3698623799112773E-2</v>
      </c>
      <c r="T122" s="331">
        <f t="shared" si="25"/>
        <v>3.3698623799112773E-2</v>
      </c>
      <c r="U122" s="331">
        <f t="shared" si="25"/>
        <v>3.3698623799112773E-2</v>
      </c>
      <c r="V122" s="331">
        <f t="shared" si="25"/>
        <v>3.3698623799112773E-2</v>
      </c>
      <c r="W122" s="331">
        <f t="shared" si="25"/>
        <v>3.3698623799112773E-2</v>
      </c>
      <c r="X122" s="331">
        <f t="shared" si="25"/>
        <v>3.3698623799112773E-2</v>
      </c>
      <c r="Y122" s="331">
        <f t="shared" si="25"/>
        <v>3.3698623799112773E-2</v>
      </c>
      <c r="Z122" s="331">
        <f t="shared" si="25"/>
        <v>3.3698623799112773E-2</v>
      </c>
      <c r="AA122" s="331">
        <f t="shared" si="25"/>
        <v>3.3698623799112773E-2</v>
      </c>
      <c r="AB122" s="331">
        <f t="shared" si="25"/>
        <v>3.3698623799112773E-2</v>
      </c>
      <c r="AC122" s="331">
        <f t="shared" si="25"/>
        <v>3.3698623799112773E-2</v>
      </c>
      <c r="AD122" s="331">
        <f t="shared" si="25"/>
        <v>3.3698623799112773E-2</v>
      </c>
      <c r="AE122" s="331">
        <f t="shared" si="25"/>
        <v>3.3698623799112773E-2</v>
      </c>
      <c r="AF122" s="331">
        <f t="shared" si="25"/>
        <v>3.3698623799112773E-2</v>
      </c>
      <c r="AG122" s="331">
        <f t="shared" si="25"/>
        <v>3.3698623799112773E-2</v>
      </c>
      <c r="AH122" s="331">
        <f t="shared" si="25"/>
        <v>3.3698623799112773E-2</v>
      </c>
      <c r="AI122" s="331">
        <f t="shared" si="25"/>
        <v>3.3698623799112773E-2</v>
      </c>
      <c r="AJ122" s="331">
        <f t="shared" si="25"/>
        <v>3.3698623799112773E-2</v>
      </c>
    </row>
    <row r="123" spans="2:36" ht="15" customHeight="1">
      <c r="B123" s="230" t="s">
        <v>60</v>
      </c>
      <c r="C123" s="331">
        <f t="shared" ca="1" si="26"/>
        <v>3.3698623799112773E-2</v>
      </c>
      <c r="E123" s="331">
        <f t="shared" si="27"/>
        <v>3.3698623799112773E-2</v>
      </c>
      <c r="F123" s="331">
        <f t="shared" si="25"/>
        <v>3.3698623799112773E-2</v>
      </c>
      <c r="G123" s="331">
        <f t="shared" si="25"/>
        <v>3.3698623799112773E-2</v>
      </c>
      <c r="H123" s="331">
        <f t="shared" si="25"/>
        <v>3.3698623799112773E-2</v>
      </c>
      <c r="I123" s="331">
        <f t="shared" si="25"/>
        <v>3.3698623799112773E-2</v>
      </c>
      <c r="J123" s="331">
        <f t="shared" si="25"/>
        <v>3.3698623799112773E-2</v>
      </c>
      <c r="K123" s="331">
        <f t="shared" si="25"/>
        <v>3.3698623799112773E-2</v>
      </c>
      <c r="L123" s="331">
        <f t="shared" si="25"/>
        <v>3.3698623799112773E-2</v>
      </c>
      <c r="M123" s="331">
        <f t="shared" si="25"/>
        <v>3.3698623799112773E-2</v>
      </c>
      <c r="N123" s="331">
        <f t="shared" si="25"/>
        <v>3.3698623799112773E-2</v>
      </c>
      <c r="O123" s="331">
        <f t="shared" si="25"/>
        <v>3.3698623799112773E-2</v>
      </c>
      <c r="P123" s="331">
        <f t="shared" si="25"/>
        <v>3.3698623799112773E-2</v>
      </c>
      <c r="Q123" s="331">
        <f t="shared" si="25"/>
        <v>3.3698623799112773E-2</v>
      </c>
      <c r="R123" s="331">
        <f t="shared" si="25"/>
        <v>3.3698623799112773E-2</v>
      </c>
      <c r="S123" s="331">
        <f t="shared" si="25"/>
        <v>3.3698623799112773E-2</v>
      </c>
      <c r="T123" s="331">
        <f t="shared" si="25"/>
        <v>3.3698623799112773E-2</v>
      </c>
      <c r="U123" s="331">
        <f t="shared" si="25"/>
        <v>3.3698623799112773E-2</v>
      </c>
      <c r="V123" s="331">
        <f t="shared" si="25"/>
        <v>3.3698623799112773E-2</v>
      </c>
      <c r="W123" s="331">
        <f t="shared" si="25"/>
        <v>3.3698623799112773E-2</v>
      </c>
      <c r="X123" s="331">
        <f t="shared" si="25"/>
        <v>3.3698623799112773E-2</v>
      </c>
      <c r="Y123" s="331">
        <f t="shared" si="25"/>
        <v>3.3698623799112773E-2</v>
      </c>
      <c r="Z123" s="331">
        <f t="shared" si="25"/>
        <v>3.3698623799112773E-2</v>
      </c>
      <c r="AA123" s="331">
        <f t="shared" si="25"/>
        <v>3.3698623799112773E-2</v>
      </c>
      <c r="AB123" s="331">
        <f t="shared" si="25"/>
        <v>3.3698623799112773E-2</v>
      </c>
      <c r="AC123" s="331">
        <f t="shared" si="25"/>
        <v>3.3698623799112773E-2</v>
      </c>
      <c r="AD123" s="331">
        <f t="shared" si="25"/>
        <v>3.3698623799112773E-2</v>
      </c>
      <c r="AE123" s="331">
        <f t="shared" si="25"/>
        <v>3.3698623799112773E-2</v>
      </c>
      <c r="AF123" s="331">
        <f t="shared" si="25"/>
        <v>3.3698623799112773E-2</v>
      </c>
      <c r="AG123" s="331">
        <f t="shared" si="25"/>
        <v>3.3698623799112773E-2</v>
      </c>
      <c r="AH123" s="331">
        <f t="shared" si="25"/>
        <v>3.3698623799112773E-2</v>
      </c>
      <c r="AI123" s="331">
        <f t="shared" si="25"/>
        <v>3.3698623799112773E-2</v>
      </c>
      <c r="AJ123" s="331">
        <f t="shared" si="25"/>
        <v>3.3698623799112773E-2</v>
      </c>
    </row>
    <row r="124" spans="2:36" ht="15" customHeight="1">
      <c r="B124" s="230" t="s">
        <v>61</v>
      </c>
      <c r="C124" s="331">
        <f t="shared" ca="1" si="26"/>
        <v>3.3698623799112773E-2</v>
      </c>
      <c r="E124" s="331">
        <f t="shared" si="27"/>
        <v>3.3698623799112773E-2</v>
      </c>
      <c r="F124" s="331">
        <f t="shared" si="25"/>
        <v>3.3698623799112773E-2</v>
      </c>
      <c r="G124" s="331">
        <f t="shared" si="25"/>
        <v>3.3698623799112773E-2</v>
      </c>
      <c r="H124" s="331">
        <f t="shared" si="25"/>
        <v>3.3698623799112773E-2</v>
      </c>
      <c r="I124" s="331">
        <f t="shared" si="25"/>
        <v>3.3698623799112773E-2</v>
      </c>
      <c r="J124" s="331">
        <f t="shared" si="25"/>
        <v>3.3698623799112773E-2</v>
      </c>
      <c r="K124" s="331">
        <f t="shared" si="25"/>
        <v>3.3698623799112773E-2</v>
      </c>
      <c r="L124" s="331">
        <f t="shared" si="25"/>
        <v>3.3698623799112773E-2</v>
      </c>
      <c r="M124" s="331">
        <f t="shared" si="25"/>
        <v>3.3698623799112773E-2</v>
      </c>
      <c r="N124" s="331">
        <f t="shared" si="25"/>
        <v>3.3698623799112773E-2</v>
      </c>
      <c r="O124" s="331">
        <f t="shared" si="25"/>
        <v>3.3698623799112773E-2</v>
      </c>
      <c r="P124" s="331">
        <f t="shared" si="25"/>
        <v>3.3698623799112773E-2</v>
      </c>
      <c r="Q124" s="331">
        <f t="shared" si="25"/>
        <v>3.3698623799112773E-2</v>
      </c>
      <c r="R124" s="331">
        <f t="shared" si="25"/>
        <v>3.3698623799112773E-2</v>
      </c>
      <c r="S124" s="331">
        <f t="shared" si="25"/>
        <v>3.3698623799112773E-2</v>
      </c>
      <c r="T124" s="331">
        <f t="shared" si="25"/>
        <v>3.3698623799112773E-2</v>
      </c>
      <c r="U124" s="331">
        <f t="shared" si="25"/>
        <v>3.3698623799112773E-2</v>
      </c>
      <c r="V124" s="331">
        <f t="shared" si="25"/>
        <v>3.3698623799112773E-2</v>
      </c>
      <c r="W124" s="331">
        <f t="shared" si="25"/>
        <v>3.3698623799112773E-2</v>
      </c>
      <c r="X124" s="331">
        <f t="shared" si="25"/>
        <v>3.3698623799112773E-2</v>
      </c>
      <c r="Y124" s="331">
        <f t="shared" si="25"/>
        <v>3.3698623799112773E-2</v>
      </c>
      <c r="Z124" s="331">
        <f t="shared" si="25"/>
        <v>3.3698623799112773E-2</v>
      </c>
      <c r="AA124" s="331">
        <f t="shared" si="25"/>
        <v>3.3698623799112773E-2</v>
      </c>
      <c r="AB124" s="331">
        <f t="shared" si="25"/>
        <v>3.3698623799112773E-2</v>
      </c>
      <c r="AC124" s="331">
        <f t="shared" si="25"/>
        <v>3.3698623799112773E-2</v>
      </c>
      <c r="AD124" s="331">
        <f t="shared" si="25"/>
        <v>3.3698623799112773E-2</v>
      </c>
      <c r="AE124" s="331">
        <f t="shared" si="25"/>
        <v>3.3698623799112773E-2</v>
      </c>
      <c r="AF124" s="331">
        <f t="shared" si="25"/>
        <v>3.3698623799112773E-2</v>
      </c>
      <c r="AG124" s="331">
        <f t="shared" si="25"/>
        <v>3.3698623799112773E-2</v>
      </c>
      <c r="AH124" s="331">
        <f t="shared" si="25"/>
        <v>3.3698623799112773E-2</v>
      </c>
      <c r="AI124" s="331">
        <f t="shared" si="25"/>
        <v>3.3698623799112773E-2</v>
      </c>
      <c r="AJ124" s="331">
        <f t="shared" si="25"/>
        <v>3.3698623799112773E-2</v>
      </c>
    </row>
    <row r="125" spans="2:36" ht="15" customHeight="1">
      <c r="B125" s="230" t="s">
        <v>62</v>
      </c>
      <c r="C125" s="331">
        <f t="shared" ca="1" si="26"/>
        <v>3.3698623799112773E-2</v>
      </c>
      <c r="E125" s="331">
        <f t="shared" si="27"/>
        <v>3.3698623799112773E-2</v>
      </c>
      <c r="F125" s="331">
        <f t="shared" si="25"/>
        <v>3.3698623799112773E-2</v>
      </c>
      <c r="G125" s="331">
        <f t="shared" si="25"/>
        <v>3.3698623799112773E-2</v>
      </c>
      <c r="H125" s="331">
        <f t="shared" si="25"/>
        <v>3.3698623799112773E-2</v>
      </c>
      <c r="I125" s="331">
        <f t="shared" si="25"/>
        <v>3.3698623799112773E-2</v>
      </c>
      <c r="J125" s="331">
        <f t="shared" si="25"/>
        <v>3.3698623799112773E-2</v>
      </c>
      <c r="K125" s="331">
        <f t="shared" si="25"/>
        <v>3.3698623799112773E-2</v>
      </c>
      <c r="L125" s="331">
        <f t="shared" si="25"/>
        <v>3.3698623799112773E-2</v>
      </c>
      <c r="M125" s="331">
        <f t="shared" si="25"/>
        <v>3.3698623799112773E-2</v>
      </c>
      <c r="N125" s="331">
        <f t="shared" si="25"/>
        <v>3.3698623799112773E-2</v>
      </c>
      <c r="O125" s="331">
        <f t="shared" si="25"/>
        <v>3.3698623799112773E-2</v>
      </c>
      <c r="P125" s="331">
        <f t="shared" si="25"/>
        <v>3.3698623799112773E-2</v>
      </c>
      <c r="Q125" s="331">
        <f t="shared" si="25"/>
        <v>3.3698623799112773E-2</v>
      </c>
      <c r="R125" s="331">
        <f t="shared" si="25"/>
        <v>3.3698623799112773E-2</v>
      </c>
      <c r="S125" s="331">
        <f t="shared" si="25"/>
        <v>3.3698623799112773E-2</v>
      </c>
      <c r="T125" s="331">
        <f t="shared" si="25"/>
        <v>3.3698623799112773E-2</v>
      </c>
      <c r="U125" s="331">
        <f t="shared" si="25"/>
        <v>3.3698623799112773E-2</v>
      </c>
      <c r="V125" s="331">
        <f t="shared" si="25"/>
        <v>3.3698623799112773E-2</v>
      </c>
      <c r="W125" s="331">
        <f t="shared" si="25"/>
        <v>3.3698623799112773E-2</v>
      </c>
      <c r="X125" s="331">
        <f t="shared" si="25"/>
        <v>3.3698623799112773E-2</v>
      </c>
      <c r="Y125" s="331">
        <f t="shared" si="25"/>
        <v>3.3698623799112773E-2</v>
      </c>
      <c r="Z125" s="331">
        <f t="shared" si="25"/>
        <v>3.3698623799112773E-2</v>
      </c>
      <c r="AA125" s="331">
        <f t="shared" si="25"/>
        <v>3.3698623799112773E-2</v>
      </c>
      <c r="AB125" s="331">
        <f t="shared" si="25"/>
        <v>3.3698623799112773E-2</v>
      </c>
      <c r="AC125" s="331">
        <f t="shared" si="25"/>
        <v>3.3698623799112773E-2</v>
      </c>
      <c r="AD125" s="331">
        <f t="shared" si="25"/>
        <v>3.3698623799112773E-2</v>
      </c>
      <c r="AE125" s="331">
        <f t="shared" si="25"/>
        <v>3.3698623799112773E-2</v>
      </c>
      <c r="AF125" s="331">
        <f t="shared" si="25"/>
        <v>3.3698623799112773E-2</v>
      </c>
      <c r="AG125" s="331">
        <f t="shared" si="25"/>
        <v>3.3698623799112773E-2</v>
      </c>
      <c r="AH125" s="331">
        <f t="shared" si="25"/>
        <v>3.3698623799112773E-2</v>
      </c>
      <c r="AI125" s="331">
        <f t="shared" si="25"/>
        <v>3.3698623799112773E-2</v>
      </c>
      <c r="AJ125" s="331">
        <f t="shared" si="25"/>
        <v>3.3698623799112773E-2</v>
      </c>
    </row>
    <row r="126" spans="2:36" ht="15" customHeight="1">
      <c r="B126" s="230" t="s">
        <v>63</v>
      </c>
      <c r="C126" s="331">
        <f t="shared" ca="1" si="26"/>
        <v>3.3698623799112773E-2</v>
      </c>
      <c r="E126" s="331">
        <f t="shared" si="27"/>
        <v>3.3698623799112773E-2</v>
      </c>
      <c r="F126" s="331">
        <f t="shared" si="25"/>
        <v>3.3698623799112773E-2</v>
      </c>
      <c r="G126" s="331">
        <f t="shared" si="25"/>
        <v>3.3698623799112773E-2</v>
      </c>
      <c r="H126" s="331">
        <f t="shared" si="25"/>
        <v>3.3698623799112773E-2</v>
      </c>
      <c r="I126" s="331">
        <f t="shared" si="25"/>
        <v>3.3698623799112773E-2</v>
      </c>
      <c r="J126" s="331">
        <f t="shared" si="25"/>
        <v>3.3698623799112773E-2</v>
      </c>
      <c r="K126" s="331">
        <f t="shared" si="25"/>
        <v>3.3698623799112773E-2</v>
      </c>
      <c r="L126" s="331">
        <f t="shared" si="25"/>
        <v>3.3698623799112773E-2</v>
      </c>
      <c r="M126" s="331">
        <f t="shared" si="25"/>
        <v>3.3698623799112773E-2</v>
      </c>
      <c r="N126" s="331">
        <f t="shared" si="25"/>
        <v>3.3698623799112773E-2</v>
      </c>
      <c r="O126" s="331">
        <f t="shared" si="25"/>
        <v>3.3698623799112773E-2</v>
      </c>
      <c r="P126" s="331">
        <f t="shared" si="25"/>
        <v>3.3698623799112773E-2</v>
      </c>
      <c r="Q126" s="331">
        <f t="shared" si="25"/>
        <v>3.3698623799112773E-2</v>
      </c>
      <c r="R126" s="331">
        <f t="shared" si="25"/>
        <v>3.3698623799112773E-2</v>
      </c>
      <c r="S126" s="331">
        <f t="shared" si="25"/>
        <v>3.3698623799112773E-2</v>
      </c>
      <c r="T126" s="331">
        <f t="shared" si="25"/>
        <v>3.3698623799112773E-2</v>
      </c>
      <c r="U126" s="331">
        <f t="shared" si="25"/>
        <v>3.3698623799112773E-2</v>
      </c>
      <c r="V126" s="331">
        <f t="shared" si="25"/>
        <v>3.3698623799112773E-2</v>
      </c>
      <c r="W126" s="331">
        <f t="shared" si="25"/>
        <v>3.3698623799112773E-2</v>
      </c>
      <c r="X126" s="331">
        <f t="shared" si="25"/>
        <v>3.3698623799112773E-2</v>
      </c>
      <c r="Y126" s="331">
        <f t="shared" si="25"/>
        <v>3.3698623799112773E-2</v>
      </c>
      <c r="Z126" s="331">
        <f t="shared" si="25"/>
        <v>3.3698623799112773E-2</v>
      </c>
      <c r="AA126" s="331">
        <f t="shared" si="25"/>
        <v>3.3698623799112773E-2</v>
      </c>
      <c r="AB126" s="331">
        <f t="shared" si="25"/>
        <v>3.3698623799112773E-2</v>
      </c>
      <c r="AC126" s="331">
        <f t="shared" si="25"/>
        <v>3.3698623799112773E-2</v>
      </c>
      <c r="AD126" s="331">
        <f t="shared" si="25"/>
        <v>3.3698623799112773E-2</v>
      </c>
      <c r="AE126" s="331">
        <f t="shared" si="25"/>
        <v>3.3698623799112773E-2</v>
      </c>
      <c r="AF126" s="331">
        <f t="shared" si="25"/>
        <v>3.3698623799112773E-2</v>
      </c>
      <c r="AG126" s="331">
        <f t="shared" si="25"/>
        <v>3.3698623799112773E-2</v>
      </c>
      <c r="AH126" s="331">
        <f t="shared" si="25"/>
        <v>3.3698623799112773E-2</v>
      </c>
      <c r="AI126" s="331">
        <f t="shared" si="25"/>
        <v>3.3698623799112773E-2</v>
      </c>
      <c r="AJ126" s="331">
        <f t="shared" si="25"/>
        <v>3.3698623799112773E-2</v>
      </c>
    </row>
    <row r="127" spans="2:36" ht="15" customHeight="1">
      <c r="B127" s="230" t="s">
        <v>64</v>
      </c>
      <c r="C127" s="331">
        <f t="shared" ca="1" si="26"/>
        <v>3.3698623799112773E-2</v>
      </c>
      <c r="E127" s="331">
        <f>E$51*$C$26</f>
        <v>3.3698623799112773E-2</v>
      </c>
      <c r="F127" s="331">
        <f t="shared" ref="F127:AJ130" si="28">F$51*$C$26</f>
        <v>3.3698623799112773E-2</v>
      </c>
      <c r="G127" s="331">
        <f t="shared" si="28"/>
        <v>3.3698623799112773E-2</v>
      </c>
      <c r="H127" s="331">
        <f t="shared" si="28"/>
        <v>3.3698623799112773E-2</v>
      </c>
      <c r="I127" s="331">
        <f t="shared" si="28"/>
        <v>3.3698623799112773E-2</v>
      </c>
      <c r="J127" s="331">
        <f t="shared" si="28"/>
        <v>3.3698623799112773E-2</v>
      </c>
      <c r="K127" s="331">
        <f t="shared" si="28"/>
        <v>3.3698623799112773E-2</v>
      </c>
      <c r="L127" s="331">
        <f t="shared" si="28"/>
        <v>3.3698623799112773E-2</v>
      </c>
      <c r="M127" s="331">
        <f t="shared" si="28"/>
        <v>3.3698623799112773E-2</v>
      </c>
      <c r="N127" s="331">
        <f t="shared" si="28"/>
        <v>3.3698623799112773E-2</v>
      </c>
      <c r="O127" s="331">
        <f t="shared" si="28"/>
        <v>3.3698623799112773E-2</v>
      </c>
      <c r="P127" s="331">
        <f t="shared" si="28"/>
        <v>3.3698623799112773E-2</v>
      </c>
      <c r="Q127" s="331">
        <f t="shared" si="28"/>
        <v>3.3698623799112773E-2</v>
      </c>
      <c r="R127" s="331">
        <f t="shared" si="28"/>
        <v>3.3698623799112773E-2</v>
      </c>
      <c r="S127" s="331">
        <f t="shared" si="28"/>
        <v>3.3698623799112773E-2</v>
      </c>
      <c r="T127" s="331">
        <f t="shared" si="28"/>
        <v>3.3698623799112773E-2</v>
      </c>
      <c r="U127" s="331">
        <f t="shared" si="28"/>
        <v>3.3698623799112773E-2</v>
      </c>
      <c r="V127" s="331">
        <f t="shared" si="28"/>
        <v>3.3698623799112773E-2</v>
      </c>
      <c r="W127" s="331">
        <f t="shared" si="28"/>
        <v>3.3698623799112773E-2</v>
      </c>
      <c r="X127" s="331">
        <f t="shared" si="28"/>
        <v>3.3698623799112773E-2</v>
      </c>
      <c r="Y127" s="331">
        <f t="shared" si="28"/>
        <v>3.3698623799112773E-2</v>
      </c>
      <c r="Z127" s="331">
        <f t="shared" si="28"/>
        <v>3.3698623799112773E-2</v>
      </c>
      <c r="AA127" s="331">
        <f t="shared" si="28"/>
        <v>3.3698623799112773E-2</v>
      </c>
      <c r="AB127" s="331">
        <f t="shared" si="28"/>
        <v>3.3698623799112773E-2</v>
      </c>
      <c r="AC127" s="331">
        <f t="shared" si="28"/>
        <v>3.3698623799112773E-2</v>
      </c>
      <c r="AD127" s="331">
        <f t="shared" si="28"/>
        <v>3.3698623799112773E-2</v>
      </c>
      <c r="AE127" s="331">
        <f t="shared" si="28"/>
        <v>3.3698623799112773E-2</v>
      </c>
      <c r="AF127" s="331">
        <f t="shared" si="28"/>
        <v>3.3698623799112773E-2</v>
      </c>
      <c r="AG127" s="331">
        <f t="shared" si="28"/>
        <v>3.3698623799112773E-2</v>
      </c>
      <c r="AH127" s="331">
        <f t="shared" si="28"/>
        <v>3.3698623799112773E-2</v>
      </c>
      <c r="AI127" s="331">
        <f t="shared" si="28"/>
        <v>3.3698623799112773E-2</v>
      </c>
      <c r="AJ127" s="331">
        <f t="shared" si="28"/>
        <v>3.3698623799112773E-2</v>
      </c>
    </row>
    <row r="128" spans="2:36" ht="15" customHeight="1">
      <c r="B128" s="230" t="s">
        <v>65</v>
      </c>
      <c r="C128" s="331">
        <f t="shared" ca="1" si="26"/>
        <v>3.3698623799112773E-2</v>
      </c>
      <c r="E128" s="331">
        <f t="shared" si="27"/>
        <v>3.3698623799112773E-2</v>
      </c>
      <c r="F128" s="331">
        <f t="shared" si="28"/>
        <v>3.3698623799112773E-2</v>
      </c>
      <c r="G128" s="331">
        <f t="shared" si="28"/>
        <v>3.3698623799112773E-2</v>
      </c>
      <c r="H128" s="331">
        <f t="shared" si="28"/>
        <v>3.3698623799112773E-2</v>
      </c>
      <c r="I128" s="331">
        <f t="shared" si="28"/>
        <v>3.3698623799112773E-2</v>
      </c>
      <c r="J128" s="331">
        <f t="shared" si="28"/>
        <v>3.3698623799112773E-2</v>
      </c>
      <c r="K128" s="331">
        <f t="shared" si="28"/>
        <v>3.3698623799112773E-2</v>
      </c>
      <c r="L128" s="331">
        <f t="shared" si="28"/>
        <v>3.3698623799112773E-2</v>
      </c>
      <c r="M128" s="331">
        <f t="shared" si="28"/>
        <v>3.3698623799112773E-2</v>
      </c>
      <c r="N128" s="331">
        <f t="shared" si="28"/>
        <v>3.3698623799112773E-2</v>
      </c>
      <c r="O128" s="331">
        <f t="shared" si="28"/>
        <v>3.3698623799112773E-2</v>
      </c>
      <c r="P128" s="331">
        <f t="shared" si="28"/>
        <v>3.3698623799112773E-2</v>
      </c>
      <c r="Q128" s="331">
        <f t="shared" si="28"/>
        <v>3.3698623799112773E-2</v>
      </c>
      <c r="R128" s="331">
        <f t="shared" si="28"/>
        <v>3.3698623799112773E-2</v>
      </c>
      <c r="S128" s="331">
        <f t="shared" si="28"/>
        <v>3.3698623799112773E-2</v>
      </c>
      <c r="T128" s="331">
        <f t="shared" si="28"/>
        <v>3.3698623799112773E-2</v>
      </c>
      <c r="U128" s="331">
        <f t="shared" si="28"/>
        <v>3.3698623799112773E-2</v>
      </c>
      <c r="V128" s="331">
        <f t="shared" si="28"/>
        <v>3.3698623799112773E-2</v>
      </c>
      <c r="W128" s="331">
        <f t="shared" si="28"/>
        <v>3.3698623799112773E-2</v>
      </c>
      <c r="X128" s="331">
        <f t="shared" si="28"/>
        <v>3.3698623799112773E-2</v>
      </c>
      <c r="Y128" s="331">
        <f t="shared" si="28"/>
        <v>3.3698623799112773E-2</v>
      </c>
      <c r="Z128" s="331">
        <f t="shared" si="28"/>
        <v>3.3698623799112773E-2</v>
      </c>
      <c r="AA128" s="331">
        <f t="shared" si="28"/>
        <v>3.3698623799112773E-2</v>
      </c>
      <c r="AB128" s="331">
        <f t="shared" si="28"/>
        <v>3.3698623799112773E-2</v>
      </c>
      <c r="AC128" s="331">
        <f t="shared" si="28"/>
        <v>3.3698623799112773E-2</v>
      </c>
      <c r="AD128" s="331">
        <f t="shared" si="28"/>
        <v>3.3698623799112773E-2</v>
      </c>
      <c r="AE128" s="331">
        <f t="shared" si="28"/>
        <v>3.3698623799112773E-2</v>
      </c>
      <c r="AF128" s="331">
        <f t="shared" si="28"/>
        <v>3.3698623799112773E-2</v>
      </c>
      <c r="AG128" s="331">
        <f t="shared" si="28"/>
        <v>3.3698623799112773E-2</v>
      </c>
      <c r="AH128" s="331">
        <f t="shared" si="28"/>
        <v>3.3698623799112773E-2</v>
      </c>
      <c r="AI128" s="331">
        <f t="shared" si="28"/>
        <v>3.3698623799112773E-2</v>
      </c>
      <c r="AJ128" s="331">
        <f t="shared" si="28"/>
        <v>3.3698623799112773E-2</v>
      </c>
    </row>
    <row r="129" spans="2:36" ht="15" customHeight="1">
      <c r="B129" s="230" t="s">
        <v>66</v>
      </c>
      <c r="C129" s="331">
        <f t="shared" ca="1" si="26"/>
        <v>3.3698623799112773E-2</v>
      </c>
      <c r="E129" s="331">
        <f t="shared" si="27"/>
        <v>3.3698623799112773E-2</v>
      </c>
      <c r="F129" s="331">
        <f t="shared" si="28"/>
        <v>3.3698623799112773E-2</v>
      </c>
      <c r="G129" s="331">
        <f t="shared" si="28"/>
        <v>3.3698623799112773E-2</v>
      </c>
      <c r="H129" s="331">
        <f t="shared" si="28"/>
        <v>3.3698623799112773E-2</v>
      </c>
      <c r="I129" s="331">
        <f t="shared" si="28"/>
        <v>3.3698623799112773E-2</v>
      </c>
      <c r="J129" s="331">
        <f t="shared" si="28"/>
        <v>3.3698623799112773E-2</v>
      </c>
      <c r="K129" s="331">
        <f t="shared" si="28"/>
        <v>3.3698623799112773E-2</v>
      </c>
      <c r="L129" s="331">
        <f t="shared" si="28"/>
        <v>3.3698623799112773E-2</v>
      </c>
      <c r="M129" s="331">
        <f t="shared" si="28"/>
        <v>3.3698623799112773E-2</v>
      </c>
      <c r="N129" s="331">
        <f t="shared" si="28"/>
        <v>3.3698623799112773E-2</v>
      </c>
      <c r="O129" s="331">
        <f t="shared" si="28"/>
        <v>3.3698623799112773E-2</v>
      </c>
      <c r="P129" s="331">
        <f t="shared" si="28"/>
        <v>3.3698623799112773E-2</v>
      </c>
      <c r="Q129" s="331">
        <f t="shared" si="28"/>
        <v>3.3698623799112773E-2</v>
      </c>
      <c r="R129" s="331">
        <f t="shared" si="28"/>
        <v>3.3698623799112773E-2</v>
      </c>
      <c r="S129" s="331">
        <f t="shared" si="28"/>
        <v>3.3698623799112773E-2</v>
      </c>
      <c r="T129" s="331">
        <f t="shared" si="28"/>
        <v>3.3698623799112773E-2</v>
      </c>
      <c r="U129" s="331">
        <f t="shared" si="28"/>
        <v>3.3698623799112773E-2</v>
      </c>
      <c r="V129" s="331">
        <f t="shared" si="28"/>
        <v>3.3698623799112773E-2</v>
      </c>
      <c r="W129" s="331">
        <f t="shared" si="28"/>
        <v>3.3698623799112773E-2</v>
      </c>
      <c r="X129" s="331">
        <f t="shared" si="28"/>
        <v>3.3698623799112773E-2</v>
      </c>
      <c r="Y129" s="331">
        <f t="shared" si="28"/>
        <v>3.3698623799112773E-2</v>
      </c>
      <c r="Z129" s="331">
        <f t="shared" si="28"/>
        <v>3.3698623799112773E-2</v>
      </c>
      <c r="AA129" s="331">
        <f t="shared" si="28"/>
        <v>3.3698623799112773E-2</v>
      </c>
      <c r="AB129" s="331">
        <f t="shared" si="28"/>
        <v>3.3698623799112773E-2</v>
      </c>
      <c r="AC129" s="331">
        <f t="shared" si="28"/>
        <v>3.3698623799112773E-2</v>
      </c>
      <c r="AD129" s="331">
        <f t="shared" si="28"/>
        <v>3.3698623799112773E-2</v>
      </c>
      <c r="AE129" s="331">
        <f t="shared" si="28"/>
        <v>3.3698623799112773E-2</v>
      </c>
      <c r="AF129" s="331">
        <f t="shared" si="28"/>
        <v>3.3698623799112773E-2</v>
      </c>
      <c r="AG129" s="331">
        <f t="shared" si="28"/>
        <v>3.3698623799112773E-2</v>
      </c>
      <c r="AH129" s="331">
        <f t="shared" si="28"/>
        <v>3.3698623799112773E-2</v>
      </c>
      <c r="AI129" s="331">
        <f t="shared" si="28"/>
        <v>3.3698623799112773E-2</v>
      </c>
      <c r="AJ129" s="331">
        <f t="shared" si="28"/>
        <v>3.3698623799112773E-2</v>
      </c>
    </row>
    <row r="130" spans="2:36" ht="15" customHeight="1">
      <c r="B130" s="231" t="s">
        <v>67</v>
      </c>
      <c r="C130" s="331">
        <f t="shared" ca="1" si="26"/>
        <v>3.3698623799112773E-2</v>
      </c>
      <c r="E130" s="331">
        <f t="shared" si="27"/>
        <v>3.3698623799112773E-2</v>
      </c>
      <c r="F130" s="331">
        <f t="shared" si="28"/>
        <v>3.3698623799112773E-2</v>
      </c>
      <c r="G130" s="331">
        <f t="shared" si="28"/>
        <v>3.3698623799112773E-2</v>
      </c>
      <c r="H130" s="331">
        <f t="shared" si="28"/>
        <v>3.3698623799112773E-2</v>
      </c>
      <c r="I130" s="331">
        <f t="shared" si="28"/>
        <v>3.3698623799112773E-2</v>
      </c>
      <c r="J130" s="331">
        <f t="shared" si="28"/>
        <v>3.3698623799112773E-2</v>
      </c>
      <c r="K130" s="331">
        <f t="shared" si="28"/>
        <v>3.3698623799112773E-2</v>
      </c>
      <c r="L130" s="331">
        <f t="shared" si="28"/>
        <v>3.3698623799112773E-2</v>
      </c>
      <c r="M130" s="331">
        <f t="shared" si="28"/>
        <v>3.3698623799112773E-2</v>
      </c>
      <c r="N130" s="331">
        <f t="shared" si="28"/>
        <v>3.3698623799112773E-2</v>
      </c>
      <c r="O130" s="331">
        <f t="shared" si="28"/>
        <v>3.3698623799112773E-2</v>
      </c>
      <c r="P130" s="331">
        <f t="shared" si="28"/>
        <v>3.3698623799112773E-2</v>
      </c>
      <c r="Q130" s="331">
        <f t="shared" si="28"/>
        <v>3.3698623799112773E-2</v>
      </c>
      <c r="R130" s="331">
        <f t="shared" si="28"/>
        <v>3.3698623799112773E-2</v>
      </c>
      <c r="S130" s="331">
        <f t="shared" si="28"/>
        <v>3.3698623799112773E-2</v>
      </c>
      <c r="T130" s="331">
        <f t="shared" si="28"/>
        <v>3.3698623799112773E-2</v>
      </c>
      <c r="U130" s="331">
        <f t="shared" si="28"/>
        <v>3.3698623799112773E-2</v>
      </c>
      <c r="V130" s="331">
        <f t="shared" si="28"/>
        <v>3.3698623799112773E-2</v>
      </c>
      <c r="W130" s="331">
        <f t="shared" si="28"/>
        <v>3.3698623799112773E-2</v>
      </c>
      <c r="X130" s="331">
        <f t="shared" si="28"/>
        <v>3.3698623799112773E-2</v>
      </c>
      <c r="Y130" s="331">
        <f t="shared" si="28"/>
        <v>3.3698623799112773E-2</v>
      </c>
      <c r="Z130" s="331">
        <f t="shared" si="28"/>
        <v>3.3698623799112773E-2</v>
      </c>
      <c r="AA130" s="331">
        <f t="shared" si="28"/>
        <v>3.3698623799112773E-2</v>
      </c>
      <c r="AB130" s="331">
        <f t="shared" si="28"/>
        <v>3.3698623799112773E-2</v>
      </c>
      <c r="AC130" s="331">
        <f t="shared" si="28"/>
        <v>3.3698623799112773E-2</v>
      </c>
      <c r="AD130" s="331">
        <f t="shared" si="28"/>
        <v>3.3698623799112773E-2</v>
      </c>
      <c r="AE130" s="331">
        <f t="shared" si="28"/>
        <v>3.3698623799112773E-2</v>
      </c>
      <c r="AF130" s="331">
        <f t="shared" si="28"/>
        <v>3.3698623799112773E-2</v>
      </c>
      <c r="AG130" s="331">
        <f t="shared" si="28"/>
        <v>3.3698623799112773E-2</v>
      </c>
      <c r="AH130" s="331">
        <f t="shared" si="28"/>
        <v>3.3698623799112773E-2</v>
      </c>
      <c r="AI130" s="331">
        <f t="shared" si="28"/>
        <v>3.3698623799112773E-2</v>
      </c>
      <c r="AJ130" s="331">
        <f t="shared" si="28"/>
        <v>3.3698623799112773E-2</v>
      </c>
    </row>
    <row r="131" spans="2:36">
      <c r="E131" s="56"/>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row>
    <row r="132" spans="2:36" ht="15" customHeight="1">
      <c r="B132" s="330" t="s">
        <v>44</v>
      </c>
      <c r="C132" s="29" t="s">
        <v>75</v>
      </c>
      <c r="E132" s="29">
        <f>E$47</f>
        <v>2023</v>
      </c>
      <c r="F132" s="29">
        <f t="shared" ref="F132:AJ132" si="29">F$47</f>
        <v>2024</v>
      </c>
      <c r="G132" s="29">
        <f t="shared" si="29"/>
        <v>2025</v>
      </c>
      <c r="H132" s="29">
        <f t="shared" si="29"/>
        <v>2026</v>
      </c>
      <c r="I132" s="29">
        <f t="shared" si="29"/>
        <v>2027</v>
      </c>
      <c r="J132" s="29">
        <f t="shared" si="29"/>
        <v>2028</v>
      </c>
      <c r="K132" s="29">
        <f t="shared" si="29"/>
        <v>2029</v>
      </c>
      <c r="L132" s="29">
        <f t="shared" si="29"/>
        <v>2030</v>
      </c>
      <c r="M132" s="29">
        <f t="shared" si="29"/>
        <v>2031</v>
      </c>
      <c r="N132" s="29">
        <f t="shared" si="29"/>
        <v>2032</v>
      </c>
      <c r="O132" s="29">
        <f t="shared" si="29"/>
        <v>2033</v>
      </c>
      <c r="P132" s="29">
        <f t="shared" si="29"/>
        <v>2034</v>
      </c>
      <c r="Q132" s="29">
        <f t="shared" si="29"/>
        <v>2035</v>
      </c>
      <c r="R132" s="29">
        <f t="shared" si="29"/>
        <v>2036</v>
      </c>
      <c r="S132" s="29">
        <f t="shared" si="29"/>
        <v>2037</v>
      </c>
      <c r="T132" s="29">
        <f t="shared" si="29"/>
        <v>2038</v>
      </c>
      <c r="U132" s="29">
        <f t="shared" si="29"/>
        <v>2039</v>
      </c>
      <c r="V132" s="29">
        <f t="shared" si="29"/>
        <v>2040</v>
      </c>
      <c r="W132" s="29">
        <f t="shared" si="29"/>
        <v>2041</v>
      </c>
      <c r="X132" s="29">
        <f t="shared" si="29"/>
        <v>2042</v>
      </c>
      <c r="Y132" s="29">
        <f t="shared" si="29"/>
        <v>2043</v>
      </c>
      <c r="Z132" s="29">
        <f t="shared" si="29"/>
        <v>2044</v>
      </c>
      <c r="AA132" s="29">
        <f t="shared" si="29"/>
        <v>2045</v>
      </c>
      <c r="AB132" s="29">
        <f t="shared" si="29"/>
        <v>2046</v>
      </c>
      <c r="AC132" s="29">
        <f t="shared" si="29"/>
        <v>2047</v>
      </c>
      <c r="AD132" s="29">
        <f t="shared" si="29"/>
        <v>2048</v>
      </c>
      <c r="AE132" s="29">
        <f t="shared" si="29"/>
        <v>2049</v>
      </c>
      <c r="AF132" s="29">
        <f t="shared" si="29"/>
        <v>2050</v>
      </c>
      <c r="AG132" s="29">
        <f t="shared" si="29"/>
        <v>2051</v>
      </c>
      <c r="AH132" s="29">
        <f t="shared" si="29"/>
        <v>2052</v>
      </c>
      <c r="AI132" s="29">
        <f t="shared" si="29"/>
        <v>2053</v>
      </c>
      <c r="AJ132" s="29">
        <f t="shared" si="29"/>
        <v>2054</v>
      </c>
    </row>
    <row r="133" spans="2:36" ht="15" customHeight="1">
      <c r="B133" s="230" t="s">
        <v>53</v>
      </c>
      <c r="C133" s="331">
        <f ca="1">-PMT($C$17,$C$15,NPV($C$17,OFFSET(E133,0,$C$72,1,$C$15))) * (1+$C$20)^($C$19-$C$14)</f>
        <v>2.2908387078574937E-2</v>
      </c>
      <c r="E133" s="331">
        <f>E$52*$C$27</f>
        <v>2.2908387078574937E-2</v>
      </c>
      <c r="F133" s="331">
        <f t="shared" ref="F133:AJ140" si="30">F$52*$C$27</f>
        <v>2.2908387078574937E-2</v>
      </c>
      <c r="G133" s="331">
        <f t="shared" si="30"/>
        <v>2.2908387078574937E-2</v>
      </c>
      <c r="H133" s="331">
        <f t="shared" si="30"/>
        <v>2.2908387078574937E-2</v>
      </c>
      <c r="I133" s="331">
        <f t="shared" si="30"/>
        <v>2.2908387078574937E-2</v>
      </c>
      <c r="J133" s="331">
        <f t="shared" si="30"/>
        <v>2.2908387078574937E-2</v>
      </c>
      <c r="K133" s="331">
        <f t="shared" si="30"/>
        <v>2.2908387078574937E-2</v>
      </c>
      <c r="L133" s="331">
        <f t="shared" si="30"/>
        <v>2.2908387078574937E-2</v>
      </c>
      <c r="M133" s="331">
        <f t="shared" si="30"/>
        <v>2.2908387078574937E-2</v>
      </c>
      <c r="N133" s="331">
        <f t="shared" si="30"/>
        <v>2.2908387078574937E-2</v>
      </c>
      <c r="O133" s="331">
        <f t="shared" si="30"/>
        <v>2.2908387078574937E-2</v>
      </c>
      <c r="P133" s="331">
        <f t="shared" si="30"/>
        <v>2.2908387078574937E-2</v>
      </c>
      <c r="Q133" s="331">
        <f t="shared" si="30"/>
        <v>2.2908387078574937E-2</v>
      </c>
      <c r="R133" s="331">
        <f t="shared" si="30"/>
        <v>2.2908387078574937E-2</v>
      </c>
      <c r="S133" s="331">
        <f t="shared" si="30"/>
        <v>2.2908387078574937E-2</v>
      </c>
      <c r="T133" s="331">
        <f t="shared" si="30"/>
        <v>2.2908387078574937E-2</v>
      </c>
      <c r="U133" s="331">
        <f t="shared" si="30"/>
        <v>2.2908387078574937E-2</v>
      </c>
      <c r="V133" s="331">
        <f t="shared" si="30"/>
        <v>2.2908387078574937E-2</v>
      </c>
      <c r="W133" s="331">
        <f t="shared" si="30"/>
        <v>2.2908387078574937E-2</v>
      </c>
      <c r="X133" s="331">
        <f t="shared" si="30"/>
        <v>2.2908387078574937E-2</v>
      </c>
      <c r="Y133" s="331">
        <f t="shared" si="30"/>
        <v>2.2908387078574937E-2</v>
      </c>
      <c r="Z133" s="331">
        <f t="shared" si="30"/>
        <v>2.2908387078574937E-2</v>
      </c>
      <c r="AA133" s="331">
        <f t="shared" si="30"/>
        <v>2.2908387078574937E-2</v>
      </c>
      <c r="AB133" s="331">
        <f t="shared" si="30"/>
        <v>2.2908387078574937E-2</v>
      </c>
      <c r="AC133" s="331">
        <f t="shared" si="30"/>
        <v>2.2908387078574937E-2</v>
      </c>
      <c r="AD133" s="331">
        <f t="shared" si="30"/>
        <v>2.2908387078574937E-2</v>
      </c>
      <c r="AE133" s="331">
        <f t="shared" si="30"/>
        <v>2.2908387078574937E-2</v>
      </c>
      <c r="AF133" s="331">
        <f t="shared" si="30"/>
        <v>2.2908387078574937E-2</v>
      </c>
      <c r="AG133" s="331">
        <f t="shared" si="30"/>
        <v>2.2908387078574937E-2</v>
      </c>
      <c r="AH133" s="331">
        <f t="shared" si="30"/>
        <v>2.2908387078574937E-2</v>
      </c>
      <c r="AI133" s="331">
        <f t="shared" si="30"/>
        <v>2.2908387078574937E-2</v>
      </c>
      <c r="AJ133" s="331">
        <f t="shared" si="30"/>
        <v>2.2908387078574937E-2</v>
      </c>
    </row>
    <row r="134" spans="2:36" ht="15" customHeight="1">
      <c r="B134" s="230" t="s">
        <v>55</v>
      </c>
      <c r="C134" s="331">
        <f t="shared" ref="C134:C144" ca="1" si="31">-PMT($C$17,$C$15,NPV($C$17,OFFSET(E134,0,$C$72,1,$C$15))) * (1+$C$20)^($C$19-$C$14)</f>
        <v>2.2908387078574937E-2</v>
      </c>
      <c r="E134" s="331">
        <f t="shared" ref="E134:E144" si="32">E$52*$C$27</f>
        <v>2.2908387078574937E-2</v>
      </c>
      <c r="F134" s="331">
        <f t="shared" si="30"/>
        <v>2.2908387078574937E-2</v>
      </c>
      <c r="G134" s="331">
        <f t="shared" si="30"/>
        <v>2.2908387078574937E-2</v>
      </c>
      <c r="H134" s="331">
        <f t="shared" si="30"/>
        <v>2.2908387078574937E-2</v>
      </c>
      <c r="I134" s="331">
        <f t="shared" si="30"/>
        <v>2.2908387078574937E-2</v>
      </c>
      <c r="J134" s="331">
        <f t="shared" si="30"/>
        <v>2.2908387078574937E-2</v>
      </c>
      <c r="K134" s="331">
        <f t="shared" si="30"/>
        <v>2.2908387078574937E-2</v>
      </c>
      <c r="L134" s="331">
        <f t="shared" si="30"/>
        <v>2.2908387078574937E-2</v>
      </c>
      <c r="M134" s="331">
        <f t="shared" si="30"/>
        <v>2.2908387078574937E-2</v>
      </c>
      <c r="N134" s="331">
        <f t="shared" si="30"/>
        <v>2.2908387078574937E-2</v>
      </c>
      <c r="O134" s="331">
        <f t="shared" si="30"/>
        <v>2.2908387078574937E-2</v>
      </c>
      <c r="P134" s="331">
        <f t="shared" si="30"/>
        <v>2.2908387078574937E-2</v>
      </c>
      <c r="Q134" s="331">
        <f t="shared" si="30"/>
        <v>2.2908387078574937E-2</v>
      </c>
      <c r="R134" s="331">
        <f t="shared" si="30"/>
        <v>2.2908387078574937E-2</v>
      </c>
      <c r="S134" s="331">
        <f t="shared" si="30"/>
        <v>2.2908387078574937E-2</v>
      </c>
      <c r="T134" s="331">
        <f t="shared" si="30"/>
        <v>2.2908387078574937E-2</v>
      </c>
      <c r="U134" s="331">
        <f t="shared" si="30"/>
        <v>2.2908387078574937E-2</v>
      </c>
      <c r="V134" s="331">
        <f t="shared" si="30"/>
        <v>2.2908387078574937E-2</v>
      </c>
      <c r="W134" s="331">
        <f t="shared" si="30"/>
        <v>2.2908387078574937E-2</v>
      </c>
      <c r="X134" s="331">
        <f t="shared" si="30"/>
        <v>2.2908387078574937E-2</v>
      </c>
      <c r="Y134" s="331">
        <f t="shared" si="30"/>
        <v>2.2908387078574937E-2</v>
      </c>
      <c r="Z134" s="331">
        <f t="shared" si="30"/>
        <v>2.2908387078574937E-2</v>
      </c>
      <c r="AA134" s="331">
        <f t="shared" si="30"/>
        <v>2.2908387078574937E-2</v>
      </c>
      <c r="AB134" s="331">
        <f t="shared" si="30"/>
        <v>2.2908387078574937E-2</v>
      </c>
      <c r="AC134" s="331">
        <f t="shared" si="30"/>
        <v>2.2908387078574937E-2</v>
      </c>
      <c r="AD134" s="331">
        <f t="shared" si="30"/>
        <v>2.2908387078574937E-2</v>
      </c>
      <c r="AE134" s="331">
        <f t="shared" si="30"/>
        <v>2.2908387078574937E-2</v>
      </c>
      <c r="AF134" s="331">
        <f t="shared" si="30"/>
        <v>2.2908387078574937E-2</v>
      </c>
      <c r="AG134" s="331">
        <f t="shared" si="30"/>
        <v>2.2908387078574937E-2</v>
      </c>
      <c r="AH134" s="331">
        <f t="shared" si="30"/>
        <v>2.2908387078574937E-2</v>
      </c>
      <c r="AI134" s="331">
        <f t="shared" si="30"/>
        <v>2.2908387078574937E-2</v>
      </c>
      <c r="AJ134" s="331">
        <f t="shared" si="30"/>
        <v>2.2908387078574937E-2</v>
      </c>
    </row>
    <row r="135" spans="2:36" ht="15" customHeight="1">
      <c r="B135" s="230" t="s">
        <v>57</v>
      </c>
      <c r="C135" s="331">
        <f t="shared" ca="1" si="31"/>
        <v>2.2908387078574937E-2</v>
      </c>
      <c r="E135" s="331">
        <f t="shared" si="32"/>
        <v>2.2908387078574937E-2</v>
      </c>
      <c r="F135" s="331">
        <f>F$52*$C$27</f>
        <v>2.2908387078574937E-2</v>
      </c>
      <c r="G135" s="331">
        <f t="shared" si="30"/>
        <v>2.2908387078574937E-2</v>
      </c>
      <c r="H135" s="331">
        <f t="shared" si="30"/>
        <v>2.2908387078574937E-2</v>
      </c>
      <c r="I135" s="331">
        <f t="shared" si="30"/>
        <v>2.2908387078574937E-2</v>
      </c>
      <c r="J135" s="331">
        <f t="shared" si="30"/>
        <v>2.2908387078574937E-2</v>
      </c>
      <c r="K135" s="331">
        <f t="shared" si="30"/>
        <v>2.2908387078574937E-2</v>
      </c>
      <c r="L135" s="331">
        <f t="shared" si="30"/>
        <v>2.2908387078574937E-2</v>
      </c>
      <c r="M135" s="331">
        <f t="shared" si="30"/>
        <v>2.2908387078574937E-2</v>
      </c>
      <c r="N135" s="331">
        <f t="shared" si="30"/>
        <v>2.2908387078574937E-2</v>
      </c>
      <c r="O135" s="331">
        <f t="shared" si="30"/>
        <v>2.2908387078574937E-2</v>
      </c>
      <c r="P135" s="331">
        <f t="shared" si="30"/>
        <v>2.2908387078574937E-2</v>
      </c>
      <c r="Q135" s="331">
        <f t="shared" si="30"/>
        <v>2.2908387078574937E-2</v>
      </c>
      <c r="R135" s="331">
        <f t="shared" si="30"/>
        <v>2.2908387078574937E-2</v>
      </c>
      <c r="S135" s="331">
        <f t="shared" si="30"/>
        <v>2.2908387078574937E-2</v>
      </c>
      <c r="T135" s="331">
        <f t="shared" si="30"/>
        <v>2.2908387078574937E-2</v>
      </c>
      <c r="U135" s="331">
        <f t="shared" si="30"/>
        <v>2.2908387078574937E-2</v>
      </c>
      <c r="V135" s="331">
        <f t="shared" si="30"/>
        <v>2.2908387078574937E-2</v>
      </c>
      <c r="W135" s="331">
        <f t="shared" si="30"/>
        <v>2.2908387078574937E-2</v>
      </c>
      <c r="X135" s="331">
        <f t="shared" si="30"/>
        <v>2.2908387078574937E-2</v>
      </c>
      <c r="Y135" s="331">
        <f t="shared" si="30"/>
        <v>2.2908387078574937E-2</v>
      </c>
      <c r="Z135" s="331">
        <f t="shared" si="30"/>
        <v>2.2908387078574937E-2</v>
      </c>
      <c r="AA135" s="331">
        <f t="shared" si="30"/>
        <v>2.2908387078574937E-2</v>
      </c>
      <c r="AB135" s="331">
        <f t="shared" si="30"/>
        <v>2.2908387078574937E-2</v>
      </c>
      <c r="AC135" s="331">
        <f t="shared" si="30"/>
        <v>2.2908387078574937E-2</v>
      </c>
      <c r="AD135" s="331">
        <f t="shared" si="30"/>
        <v>2.2908387078574937E-2</v>
      </c>
      <c r="AE135" s="331">
        <f t="shared" si="30"/>
        <v>2.2908387078574937E-2</v>
      </c>
      <c r="AF135" s="331">
        <f t="shared" si="30"/>
        <v>2.2908387078574937E-2</v>
      </c>
      <c r="AG135" s="331">
        <f t="shared" si="30"/>
        <v>2.2908387078574937E-2</v>
      </c>
      <c r="AH135" s="331">
        <f t="shared" si="30"/>
        <v>2.2908387078574937E-2</v>
      </c>
      <c r="AI135" s="331">
        <f t="shared" si="30"/>
        <v>2.2908387078574937E-2</v>
      </c>
      <c r="AJ135" s="331">
        <f t="shared" si="30"/>
        <v>2.2908387078574937E-2</v>
      </c>
    </row>
    <row r="136" spans="2:36" ht="15" customHeight="1">
      <c r="B136" s="230" t="s">
        <v>59</v>
      </c>
      <c r="C136" s="331">
        <f t="shared" ca="1" si="31"/>
        <v>2.2908387078574937E-2</v>
      </c>
      <c r="E136" s="331">
        <f t="shared" si="32"/>
        <v>2.2908387078574937E-2</v>
      </c>
      <c r="F136" s="331">
        <f t="shared" si="30"/>
        <v>2.2908387078574937E-2</v>
      </c>
      <c r="G136" s="331">
        <f t="shared" si="30"/>
        <v>2.2908387078574937E-2</v>
      </c>
      <c r="H136" s="331">
        <f t="shared" si="30"/>
        <v>2.2908387078574937E-2</v>
      </c>
      <c r="I136" s="331">
        <f t="shared" si="30"/>
        <v>2.2908387078574937E-2</v>
      </c>
      <c r="J136" s="331">
        <f t="shared" si="30"/>
        <v>2.2908387078574937E-2</v>
      </c>
      <c r="K136" s="331">
        <f t="shared" si="30"/>
        <v>2.2908387078574937E-2</v>
      </c>
      <c r="L136" s="331">
        <f t="shared" si="30"/>
        <v>2.2908387078574937E-2</v>
      </c>
      <c r="M136" s="331">
        <f t="shared" si="30"/>
        <v>2.2908387078574937E-2</v>
      </c>
      <c r="N136" s="331">
        <f t="shared" si="30"/>
        <v>2.2908387078574937E-2</v>
      </c>
      <c r="O136" s="331">
        <f t="shared" si="30"/>
        <v>2.2908387078574937E-2</v>
      </c>
      <c r="P136" s="331">
        <f t="shared" si="30"/>
        <v>2.2908387078574937E-2</v>
      </c>
      <c r="Q136" s="331">
        <f t="shared" si="30"/>
        <v>2.2908387078574937E-2</v>
      </c>
      <c r="R136" s="331">
        <f t="shared" si="30"/>
        <v>2.2908387078574937E-2</v>
      </c>
      <c r="S136" s="331">
        <f t="shared" si="30"/>
        <v>2.2908387078574937E-2</v>
      </c>
      <c r="T136" s="331">
        <f t="shared" si="30"/>
        <v>2.2908387078574937E-2</v>
      </c>
      <c r="U136" s="331">
        <f t="shared" si="30"/>
        <v>2.2908387078574937E-2</v>
      </c>
      <c r="V136" s="331">
        <f t="shared" si="30"/>
        <v>2.2908387078574937E-2</v>
      </c>
      <c r="W136" s="331">
        <f t="shared" si="30"/>
        <v>2.2908387078574937E-2</v>
      </c>
      <c r="X136" s="331">
        <f t="shared" si="30"/>
        <v>2.2908387078574937E-2</v>
      </c>
      <c r="Y136" s="331">
        <f t="shared" si="30"/>
        <v>2.2908387078574937E-2</v>
      </c>
      <c r="Z136" s="331">
        <f t="shared" si="30"/>
        <v>2.2908387078574937E-2</v>
      </c>
      <c r="AA136" s="331">
        <f t="shared" si="30"/>
        <v>2.2908387078574937E-2</v>
      </c>
      <c r="AB136" s="331">
        <f t="shared" si="30"/>
        <v>2.2908387078574937E-2</v>
      </c>
      <c r="AC136" s="331">
        <f t="shared" si="30"/>
        <v>2.2908387078574937E-2</v>
      </c>
      <c r="AD136" s="331">
        <f t="shared" si="30"/>
        <v>2.2908387078574937E-2</v>
      </c>
      <c r="AE136" s="331">
        <f t="shared" si="30"/>
        <v>2.2908387078574937E-2</v>
      </c>
      <c r="AF136" s="331">
        <f t="shared" si="30"/>
        <v>2.2908387078574937E-2</v>
      </c>
      <c r="AG136" s="331">
        <f t="shared" si="30"/>
        <v>2.2908387078574937E-2</v>
      </c>
      <c r="AH136" s="331">
        <f t="shared" si="30"/>
        <v>2.2908387078574937E-2</v>
      </c>
      <c r="AI136" s="331">
        <f t="shared" si="30"/>
        <v>2.2908387078574937E-2</v>
      </c>
      <c r="AJ136" s="331">
        <f t="shared" si="30"/>
        <v>2.2908387078574937E-2</v>
      </c>
    </row>
    <row r="137" spans="2:36" ht="15" customHeight="1">
      <c r="B137" s="230" t="s">
        <v>60</v>
      </c>
      <c r="C137" s="331">
        <f t="shared" ca="1" si="31"/>
        <v>2.2908387078574937E-2</v>
      </c>
      <c r="E137" s="331">
        <f t="shared" si="32"/>
        <v>2.2908387078574937E-2</v>
      </c>
      <c r="F137" s="331">
        <f t="shared" si="30"/>
        <v>2.2908387078574937E-2</v>
      </c>
      <c r="G137" s="331">
        <f t="shared" si="30"/>
        <v>2.2908387078574937E-2</v>
      </c>
      <c r="H137" s="331">
        <f t="shared" si="30"/>
        <v>2.2908387078574937E-2</v>
      </c>
      <c r="I137" s="331">
        <f t="shared" si="30"/>
        <v>2.2908387078574937E-2</v>
      </c>
      <c r="J137" s="331">
        <f t="shared" si="30"/>
        <v>2.2908387078574937E-2</v>
      </c>
      <c r="K137" s="331">
        <f t="shared" si="30"/>
        <v>2.2908387078574937E-2</v>
      </c>
      <c r="L137" s="331">
        <f t="shared" si="30"/>
        <v>2.2908387078574937E-2</v>
      </c>
      <c r="M137" s="331">
        <f t="shared" si="30"/>
        <v>2.2908387078574937E-2</v>
      </c>
      <c r="N137" s="331">
        <f t="shared" si="30"/>
        <v>2.2908387078574937E-2</v>
      </c>
      <c r="O137" s="331">
        <f t="shared" si="30"/>
        <v>2.2908387078574937E-2</v>
      </c>
      <c r="P137" s="331">
        <f t="shared" si="30"/>
        <v>2.2908387078574937E-2</v>
      </c>
      <c r="Q137" s="331">
        <f t="shared" si="30"/>
        <v>2.2908387078574937E-2</v>
      </c>
      <c r="R137" s="331">
        <f t="shared" si="30"/>
        <v>2.2908387078574937E-2</v>
      </c>
      <c r="S137" s="331">
        <f t="shared" si="30"/>
        <v>2.2908387078574937E-2</v>
      </c>
      <c r="T137" s="331">
        <f t="shared" si="30"/>
        <v>2.2908387078574937E-2</v>
      </c>
      <c r="U137" s="331">
        <f t="shared" si="30"/>
        <v>2.2908387078574937E-2</v>
      </c>
      <c r="V137" s="331">
        <f t="shared" si="30"/>
        <v>2.2908387078574937E-2</v>
      </c>
      <c r="W137" s="331">
        <f t="shared" si="30"/>
        <v>2.2908387078574937E-2</v>
      </c>
      <c r="X137" s="331">
        <f t="shared" si="30"/>
        <v>2.2908387078574937E-2</v>
      </c>
      <c r="Y137" s="331">
        <f t="shared" si="30"/>
        <v>2.2908387078574937E-2</v>
      </c>
      <c r="Z137" s="331">
        <f t="shared" si="30"/>
        <v>2.2908387078574937E-2</v>
      </c>
      <c r="AA137" s="331">
        <f t="shared" si="30"/>
        <v>2.2908387078574937E-2</v>
      </c>
      <c r="AB137" s="331">
        <f t="shared" si="30"/>
        <v>2.2908387078574937E-2</v>
      </c>
      <c r="AC137" s="331">
        <f t="shared" si="30"/>
        <v>2.2908387078574937E-2</v>
      </c>
      <c r="AD137" s="331">
        <f t="shared" si="30"/>
        <v>2.2908387078574937E-2</v>
      </c>
      <c r="AE137" s="331">
        <f t="shared" si="30"/>
        <v>2.2908387078574937E-2</v>
      </c>
      <c r="AF137" s="331">
        <f t="shared" si="30"/>
        <v>2.2908387078574937E-2</v>
      </c>
      <c r="AG137" s="331">
        <f t="shared" si="30"/>
        <v>2.2908387078574937E-2</v>
      </c>
      <c r="AH137" s="331">
        <f t="shared" si="30"/>
        <v>2.2908387078574937E-2</v>
      </c>
      <c r="AI137" s="331">
        <f t="shared" si="30"/>
        <v>2.2908387078574937E-2</v>
      </c>
      <c r="AJ137" s="331">
        <f t="shared" si="30"/>
        <v>2.2908387078574937E-2</v>
      </c>
    </row>
    <row r="138" spans="2:36" ht="15" customHeight="1">
      <c r="B138" s="230" t="s">
        <v>61</v>
      </c>
      <c r="C138" s="331">
        <f t="shared" ca="1" si="31"/>
        <v>2.2908387078574937E-2</v>
      </c>
      <c r="E138" s="331">
        <f t="shared" si="32"/>
        <v>2.2908387078574937E-2</v>
      </c>
      <c r="F138" s="331">
        <f t="shared" si="30"/>
        <v>2.2908387078574937E-2</v>
      </c>
      <c r="G138" s="331">
        <f t="shared" si="30"/>
        <v>2.2908387078574937E-2</v>
      </c>
      <c r="H138" s="331">
        <f t="shared" si="30"/>
        <v>2.2908387078574937E-2</v>
      </c>
      <c r="I138" s="331">
        <f t="shared" si="30"/>
        <v>2.2908387078574937E-2</v>
      </c>
      <c r="J138" s="331">
        <f t="shared" si="30"/>
        <v>2.2908387078574937E-2</v>
      </c>
      <c r="K138" s="331">
        <f t="shared" si="30"/>
        <v>2.2908387078574937E-2</v>
      </c>
      <c r="L138" s="331">
        <f t="shared" si="30"/>
        <v>2.2908387078574937E-2</v>
      </c>
      <c r="M138" s="331">
        <f t="shared" si="30"/>
        <v>2.2908387078574937E-2</v>
      </c>
      <c r="N138" s="331">
        <f t="shared" si="30"/>
        <v>2.2908387078574937E-2</v>
      </c>
      <c r="O138" s="331">
        <f t="shared" si="30"/>
        <v>2.2908387078574937E-2</v>
      </c>
      <c r="P138" s="331">
        <f t="shared" si="30"/>
        <v>2.2908387078574937E-2</v>
      </c>
      <c r="Q138" s="331">
        <f t="shared" si="30"/>
        <v>2.2908387078574937E-2</v>
      </c>
      <c r="R138" s="331">
        <f t="shared" si="30"/>
        <v>2.2908387078574937E-2</v>
      </c>
      <c r="S138" s="331">
        <f t="shared" si="30"/>
        <v>2.2908387078574937E-2</v>
      </c>
      <c r="T138" s="331">
        <f t="shared" si="30"/>
        <v>2.2908387078574937E-2</v>
      </c>
      <c r="U138" s="331">
        <f t="shared" si="30"/>
        <v>2.2908387078574937E-2</v>
      </c>
      <c r="V138" s="331">
        <f t="shared" si="30"/>
        <v>2.2908387078574937E-2</v>
      </c>
      <c r="W138" s="331">
        <f t="shared" si="30"/>
        <v>2.2908387078574937E-2</v>
      </c>
      <c r="X138" s="331">
        <f t="shared" si="30"/>
        <v>2.2908387078574937E-2</v>
      </c>
      <c r="Y138" s="331">
        <f t="shared" si="30"/>
        <v>2.2908387078574937E-2</v>
      </c>
      <c r="Z138" s="331">
        <f t="shared" si="30"/>
        <v>2.2908387078574937E-2</v>
      </c>
      <c r="AA138" s="331">
        <f t="shared" si="30"/>
        <v>2.2908387078574937E-2</v>
      </c>
      <c r="AB138" s="331">
        <f t="shared" si="30"/>
        <v>2.2908387078574937E-2</v>
      </c>
      <c r="AC138" s="331">
        <f t="shared" si="30"/>
        <v>2.2908387078574937E-2</v>
      </c>
      <c r="AD138" s="331">
        <f t="shared" si="30"/>
        <v>2.2908387078574937E-2</v>
      </c>
      <c r="AE138" s="331">
        <f t="shared" si="30"/>
        <v>2.2908387078574937E-2</v>
      </c>
      <c r="AF138" s="331">
        <f t="shared" si="30"/>
        <v>2.2908387078574937E-2</v>
      </c>
      <c r="AG138" s="331">
        <f t="shared" si="30"/>
        <v>2.2908387078574937E-2</v>
      </c>
      <c r="AH138" s="331">
        <f t="shared" si="30"/>
        <v>2.2908387078574937E-2</v>
      </c>
      <c r="AI138" s="331">
        <f t="shared" si="30"/>
        <v>2.2908387078574937E-2</v>
      </c>
      <c r="AJ138" s="331">
        <f t="shared" si="30"/>
        <v>2.2908387078574937E-2</v>
      </c>
    </row>
    <row r="139" spans="2:36" ht="15" customHeight="1">
      <c r="B139" s="230" t="s">
        <v>62</v>
      </c>
      <c r="C139" s="331">
        <f t="shared" ca="1" si="31"/>
        <v>2.2908387078574937E-2</v>
      </c>
      <c r="E139" s="331">
        <f t="shared" si="32"/>
        <v>2.2908387078574937E-2</v>
      </c>
      <c r="F139" s="331">
        <f t="shared" si="30"/>
        <v>2.2908387078574937E-2</v>
      </c>
      <c r="G139" s="331">
        <f t="shared" si="30"/>
        <v>2.2908387078574937E-2</v>
      </c>
      <c r="H139" s="331">
        <f t="shared" si="30"/>
        <v>2.2908387078574937E-2</v>
      </c>
      <c r="I139" s="331">
        <f t="shared" si="30"/>
        <v>2.2908387078574937E-2</v>
      </c>
      <c r="J139" s="331">
        <f t="shared" si="30"/>
        <v>2.2908387078574937E-2</v>
      </c>
      <c r="K139" s="331">
        <f t="shared" si="30"/>
        <v>2.2908387078574937E-2</v>
      </c>
      <c r="L139" s="331">
        <f t="shared" si="30"/>
        <v>2.2908387078574937E-2</v>
      </c>
      <c r="M139" s="331">
        <f t="shared" si="30"/>
        <v>2.2908387078574937E-2</v>
      </c>
      <c r="N139" s="331">
        <f t="shared" si="30"/>
        <v>2.2908387078574937E-2</v>
      </c>
      <c r="O139" s="331">
        <f t="shared" si="30"/>
        <v>2.2908387078574937E-2</v>
      </c>
      <c r="P139" s="331">
        <f t="shared" si="30"/>
        <v>2.2908387078574937E-2</v>
      </c>
      <c r="Q139" s="331">
        <f t="shared" si="30"/>
        <v>2.2908387078574937E-2</v>
      </c>
      <c r="R139" s="331">
        <f t="shared" si="30"/>
        <v>2.2908387078574937E-2</v>
      </c>
      <c r="S139" s="331">
        <f t="shared" si="30"/>
        <v>2.2908387078574937E-2</v>
      </c>
      <c r="T139" s="331">
        <f t="shared" si="30"/>
        <v>2.2908387078574937E-2</v>
      </c>
      <c r="U139" s="331">
        <f t="shared" si="30"/>
        <v>2.2908387078574937E-2</v>
      </c>
      <c r="V139" s="331">
        <f t="shared" si="30"/>
        <v>2.2908387078574937E-2</v>
      </c>
      <c r="W139" s="331">
        <f t="shared" si="30"/>
        <v>2.2908387078574937E-2</v>
      </c>
      <c r="X139" s="331">
        <f t="shared" si="30"/>
        <v>2.2908387078574937E-2</v>
      </c>
      <c r="Y139" s="331">
        <f t="shared" si="30"/>
        <v>2.2908387078574937E-2</v>
      </c>
      <c r="Z139" s="331">
        <f t="shared" si="30"/>
        <v>2.2908387078574937E-2</v>
      </c>
      <c r="AA139" s="331">
        <f t="shared" si="30"/>
        <v>2.2908387078574937E-2</v>
      </c>
      <c r="AB139" s="331">
        <f t="shared" si="30"/>
        <v>2.2908387078574937E-2</v>
      </c>
      <c r="AC139" s="331">
        <f t="shared" si="30"/>
        <v>2.2908387078574937E-2</v>
      </c>
      <c r="AD139" s="331">
        <f t="shared" si="30"/>
        <v>2.2908387078574937E-2</v>
      </c>
      <c r="AE139" s="331">
        <f t="shared" si="30"/>
        <v>2.2908387078574937E-2</v>
      </c>
      <c r="AF139" s="331">
        <f t="shared" si="30"/>
        <v>2.2908387078574937E-2</v>
      </c>
      <c r="AG139" s="331">
        <f t="shared" si="30"/>
        <v>2.2908387078574937E-2</v>
      </c>
      <c r="AH139" s="331">
        <f t="shared" si="30"/>
        <v>2.2908387078574937E-2</v>
      </c>
      <c r="AI139" s="331">
        <f t="shared" si="30"/>
        <v>2.2908387078574937E-2</v>
      </c>
      <c r="AJ139" s="331">
        <f t="shared" si="30"/>
        <v>2.2908387078574937E-2</v>
      </c>
    </row>
    <row r="140" spans="2:36" ht="15" customHeight="1">
      <c r="B140" s="230" t="s">
        <v>63</v>
      </c>
      <c r="C140" s="331">
        <f t="shared" ca="1" si="31"/>
        <v>2.2908387078574937E-2</v>
      </c>
      <c r="E140" s="331">
        <f t="shared" si="32"/>
        <v>2.2908387078574937E-2</v>
      </c>
      <c r="F140" s="331">
        <f t="shared" si="30"/>
        <v>2.2908387078574937E-2</v>
      </c>
      <c r="G140" s="331">
        <f t="shared" si="30"/>
        <v>2.2908387078574937E-2</v>
      </c>
      <c r="H140" s="331">
        <f t="shared" si="30"/>
        <v>2.2908387078574937E-2</v>
      </c>
      <c r="I140" s="331">
        <f t="shared" si="30"/>
        <v>2.2908387078574937E-2</v>
      </c>
      <c r="J140" s="331">
        <f t="shared" si="30"/>
        <v>2.2908387078574937E-2</v>
      </c>
      <c r="K140" s="331">
        <f t="shared" si="30"/>
        <v>2.2908387078574937E-2</v>
      </c>
      <c r="L140" s="331">
        <f t="shared" si="30"/>
        <v>2.2908387078574937E-2</v>
      </c>
      <c r="M140" s="331">
        <f t="shared" si="30"/>
        <v>2.2908387078574937E-2</v>
      </c>
      <c r="N140" s="331">
        <f t="shared" si="30"/>
        <v>2.2908387078574937E-2</v>
      </c>
      <c r="O140" s="331">
        <f t="shared" si="30"/>
        <v>2.2908387078574937E-2</v>
      </c>
      <c r="P140" s="331">
        <f t="shared" si="30"/>
        <v>2.2908387078574937E-2</v>
      </c>
      <c r="Q140" s="331">
        <f t="shared" si="30"/>
        <v>2.2908387078574937E-2</v>
      </c>
      <c r="R140" s="331">
        <f t="shared" si="30"/>
        <v>2.2908387078574937E-2</v>
      </c>
      <c r="S140" s="331">
        <f t="shared" si="30"/>
        <v>2.2908387078574937E-2</v>
      </c>
      <c r="T140" s="331">
        <f t="shared" si="30"/>
        <v>2.2908387078574937E-2</v>
      </c>
      <c r="U140" s="331">
        <f t="shared" si="30"/>
        <v>2.2908387078574937E-2</v>
      </c>
      <c r="V140" s="331">
        <f t="shared" si="30"/>
        <v>2.2908387078574937E-2</v>
      </c>
      <c r="W140" s="331">
        <f t="shared" si="30"/>
        <v>2.2908387078574937E-2</v>
      </c>
      <c r="X140" s="331">
        <f t="shared" si="30"/>
        <v>2.2908387078574937E-2</v>
      </c>
      <c r="Y140" s="331">
        <f t="shared" si="30"/>
        <v>2.2908387078574937E-2</v>
      </c>
      <c r="Z140" s="331">
        <f t="shared" si="30"/>
        <v>2.2908387078574937E-2</v>
      </c>
      <c r="AA140" s="331">
        <f t="shared" si="30"/>
        <v>2.2908387078574937E-2</v>
      </c>
      <c r="AB140" s="331">
        <f t="shared" si="30"/>
        <v>2.2908387078574937E-2</v>
      </c>
      <c r="AC140" s="331">
        <f t="shared" si="30"/>
        <v>2.2908387078574937E-2</v>
      </c>
      <c r="AD140" s="331">
        <f t="shared" si="30"/>
        <v>2.2908387078574937E-2</v>
      </c>
      <c r="AE140" s="331">
        <f t="shared" si="30"/>
        <v>2.2908387078574937E-2</v>
      </c>
      <c r="AF140" s="331">
        <f t="shared" si="30"/>
        <v>2.2908387078574937E-2</v>
      </c>
      <c r="AG140" s="331">
        <f t="shared" si="30"/>
        <v>2.2908387078574937E-2</v>
      </c>
      <c r="AH140" s="331">
        <f t="shared" si="30"/>
        <v>2.2908387078574937E-2</v>
      </c>
      <c r="AI140" s="331">
        <f t="shared" si="30"/>
        <v>2.2908387078574937E-2</v>
      </c>
      <c r="AJ140" s="331">
        <f t="shared" si="30"/>
        <v>2.2908387078574937E-2</v>
      </c>
    </row>
    <row r="141" spans="2:36" ht="15" customHeight="1">
      <c r="B141" s="230" t="s">
        <v>64</v>
      </c>
      <c r="C141" s="331">
        <f t="shared" ca="1" si="31"/>
        <v>2.2908387078574937E-2</v>
      </c>
      <c r="E141" s="331">
        <f>E$52*$C$27</f>
        <v>2.2908387078574937E-2</v>
      </c>
      <c r="F141" s="331">
        <f t="shared" ref="F141:AJ144" si="33">F$52*$C$27</f>
        <v>2.2908387078574937E-2</v>
      </c>
      <c r="G141" s="331">
        <f t="shared" si="33"/>
        <v>2.2908387078574937E-2</v>
      </c>
      <c r="H141" s="331">
        <f t="shared" si="33"/>
        <v>2.2908387078574937E-2</v>
      </c>
      <c r="I141" s="331">
        <f t="shared" si="33"/>
        <v>2.2908387078574937E-2</v>
      </c>
      <c r="J141" s="331">
        <f t="shared" si="33"/>
        <v>2.2908387078574937E-2</v>
      </c>
      <c r="K141" s="331">
        <f t="shared" si="33"/>
        <v>2.2908387078574937E-2</v>
      </c>
      <c r="L141" s="331">
        <f t="shared" si="33"/>
        <v>2.2908387078574937E-2</v>
      </c>
      <c r="M141" s="331">
        <f t="shared" si="33"/>
        <v>2.2908387078574937E-2</v>
      </c>
      <c r="N141" s="331">
        <f t="shared" si="33"/>
        <v>2.2908387078574937E-2</v>
      </c>
      <c r="O141" s="331">
        <f t="shared" si="33"/>
        <v>2.2908387078574937E-2</v>
      </c>
      <c r="P141" s="331">
        <f t="shared" si="33"/>
        <v>2.2908387078574937E-2</v>
      </c>
      <c r="Q141" s="331">
        <f t="shared" si="33"/>
        <v>2.2908387078574937E-2</v>
      </c>
      <c r="R141" s="331">
        <f t="shared" si="33"/>
        <v>2.2908387078574937E-2</v>
      </c>
      <c r="S141" s="331">
        <f t="shared" si="33"/>
        <v>2.2908387078574937E-2</v>
      </c>
      <c r="T141" s="331">
        <f t="shared" si="33"/>
        <v>2.2908387078574937E-2</v>
      </c>
      <c r="U141" s="331">
        <f t="shared" si="33"/>
        <v>2.2908387078574937E-2</v>
      </c>
      <c r="V141" s="331">
        <f t="shared" si="33"/>
        <v>2.2908387078574937E-2</v>
      </c>
      <c r="W141" s="331">
        <f t="shared" si="33"/>
        <v>2.2908387078574937E-2</v>
      </c>
      <c r="X141" s="331">
        <f t="shared" si="33"/>
        <v>2.2908387078574937E-2</v>
      </c>
      <c r="Y141" s="331">
        <f t="shared" si="33"/>
        <v>2.2908387078574937E-2</v>
      </c>
      <c r="Z141" s="331">
        <f t="shared" si="33"/>
        <v>2.2908387078574937E-2</v>
      </c>
      <c r="AA141" s="331">
        <f t="shared" si="33"/>
        <v>2.2908387078574937E-2</v>
      </c>
      <c r="AB141" s="331">
        <f t="shared" si="33"/>
        <v>2.2908387078574937E-2</v>
      </c>
      <c r="AC141" s="331">
        <f t="shared" si="33"/>
        <v>2.2908387078574937E-2</v>
      </c>
      <c r="AD141" s="331">
        <f t="shared" si="33"/>
        <v>2.2908387078574937E-2</v>
      </c>
      <c r="AE141" s="331">
        <f t="shared" si="33"/>
        <v>2.2908387078574937E-2</v>
      </c>
      <c r="AF141" s="331">
        <f t="shared" si="33"/>
        <v>2.2908387078574937E-2</v>
      </c>
      <c r="AG141" s="331">
        <f t="shared" si="33"/>
        <v>2.2908387078574937E-2</v>
      </c>
      <c r="AH141" s="331">
        <f t="shared" si="33"/>
        <v>2.2908387078574937E-2</v>
      </c>
      <c r="AI141" s="331">
        <f t="shared" si="33"/>
        <v>2.2908387078574937E-2</v>
      </c>
      <c r="AJ141" s="331">
        <f t="shared" si="33"/>
        <v>2.2908387078574937E-2</v>
      </c>
    </row>
    <row r="142" spans="2:36" ht="15" customHeight="1">
      <c r="B142" s="230" t="s">
        <v>65</v>
      </c>
      <c r="C142" s="331">
        <f t="shared" ca="1" si="31"/>
        <v>2.2908387078574937E-2</v>
      </c>
      <c r="E142" s="331">
        <f t="shared" si="32"/>
        <v>2.2908387078574937E-2</v>
      </c>
      <c r="F142" s="331">
        <f t="shared" si="33"/>
        <v>2.2908387078574937E-2</v>
      </c>
      <c r="G142" s="331">
        <f t="shared" si="33"/>
        <v>2.2908387078574937E-2</v>
      </c>
      <c r="H142" s="331">
        <f t="shared" si="33"/>
        <v>2.2908387078574937E-2</v>
      </c>
      <c r="I142" s="331">
        <f t="shared" si="33"/>
        <v>2.2908387078574937E-2</v>
      </c>
      <c r="J142" s="331">
        <f t="shared" si="33"/>
        <v>2.2908387078574937E-2</v>
      </c>
      <c r="K142" s="331">
        <f t="shared" si="33"/>
        <v>2.2908387078574937E-2</v>
      </c>
      <c r="L142" s="331">
        <f t="shared" si="33"/>
        <v>2.2908387078574937E-2</v>
      </c>
      <c r="M142" s="331">
        <f t="shared" si="33"/>
        <v>2.2908387078574937E-2</v>
      </c>
      <c r="N142" s="331">
        <f t="shared" si="33"/>
        <v>2.2908387078574937E-2</v>
      </c>
      <c r="O142" s="331">
        <f t="shared" si="33"/>
        <v>2.2908387078574937E-2</v>
      </c>
      <c r="P142" s="331">
        <f t="shared" si="33"/>
        <v>2.2908387078574937E-2</v>
      </c>
      <c r="Q142" s="331">
        <f t="shared" si="33"/>
        <v>2.2908387078574937E-2</v>
      </c>
      <c r="R142" s="331">
        <f t="shared" si="33"/>
        <v>2.2908387078574937E-2</v>
      </c>
      <c r="S142" s="331">
        <f t="shared" si="33"/>
        <v>2.2908387078574937E-2</v>
      </c>
      <c r="T142" s="331">
        <f t="shared" si="33"/>
        <v>2.2908387078574937E-2</v>
      </c>
      <c r="U142" s="331">
        <f t="shared" si="33"/>
        <v>2.2908387078574937E-2</v>
      </c>
      <c r="V142" s="331">
        <f t="shared" si="33"/>
        <v>2.2908387078574937E-2</v>
      </c>
      <c r="W142" s="331">
        <f t="shared" si="33"/>
        <v>2.2908387078574937E-2</v>
      </c>
      <c r="X142" s="331">
        <f t="shared" si="33"/>
        <v>2.2908387078574937E-2</v>
      </c>
      <c r="Y142" s="331">
        <f t="shared" si="33"/>
        <v>2.2908387078574937E-2</v>
      </c>
      <c r="Z142" s="331">
        <f t="shared" si="33"/>
        <v>2.2908387078574937E-2</v>
      </c>
      <c r="AA142" s="331">
        <f t="shared" si="33"/>
        <v>2.2908387078574937E-2</v>
      </c>
      <c r="AB142" s="331">
        <f t="shared" si="33"/>
        <v>2.2908387078574937E-2</v>
      </c>
      <c r="AC142" s="331">
        <f t="shared" si="33"/>
        <v>2.2908387078574937E-2</v>
      </c>
      <c r="AD142" s="331">
        <f t="shared" si="33"/>
        <v>2.2908387078574937E-2</v>
      </c>
      <c r="AE142" s="331">
        <f t="shared" si="33"/>
        <v>2.2908387078574937E-2</v>
      </c>
      <c r="AF142" s="331">
        <f t="shared" si="33"/>
        <v>2.2908387078574937E-2</v>
      </c>
      <c r="AG142" s="331">
        <f t="shared" si="33"/>
        <v>2.2908387078574937E-2</v>
      </c>
      <c r="AH142" s="331">
        <f t="shared" si="33"/>
        <v>2.2908387078574937E-2</v>
      </c>
      <c r="AI142" s="331">
        <f t="shared" si="33"/>
        <v>2.2908387078574937E-2</v>
      </c>
      <c r="AJ142" s="331">
        <f t="shared" si="33"/>
        <v>2.2908387078574937E-2</v>
      </c>
    </row>
    <row r="143" spans="2:36" ht="15" customHeight="1">
      <c r="B143" s="230" t="s">
        <v>66</v>
      </c>
      <c r="C143" s="331">
        <f t="shared" ca="1" si="31"/>
        <v>2.2908387078574937E-2</v>
      </c>
      <c r="E143" s="331">
        <f t="shared" si="32"/>
        <v>2.2908387078574937E-2</v>
      </c>
      <c r="F143" s="331">
        <f t="shared" si="33"/>
        <v>2.2908387078574937E-2</v>
      </c>
      <c r="G143" s="331">
        <f t="shared" si="33"/>
        <v>2.2908387078574937E-2</v>
      </c>
      <c r="H143" s="331">
        <f t="shared" si="33"/>
        <v>2.2908387078574937E-2</v>
      </c>
      <c r="I143" s="331">
        <f t="shared" si="33"/>
        <v>2.2908387078574937E-2</v>
      </c>
      <c r="J143" s="331">
        <f t="shared" si="33"/>
        <v>2.2908387078574937E-2</v>
      </c>
      <c r="K143" s="331">
        <f t="shared" si="33"/>
        <v>2.2908387078574937E-2</v>
      </c>
      <c r="L143" s="331">
        <f t="shared" si="33"/>
        <v>2.2908387078574937E-2</v>
      </c>
      <c r="M143" s="331">
        <f t="shared" si="33"/>
        <v>2.2908387078574937E-2</v>
      </c>
      <c r="N143" s="331">
        <f t="shared" si="33"/>
        <v>2.2908387078574937E-2</v>
      </c>
      <c r="O143" s="331">
        <f t="shared" si="33"/>
        <v>2.2908387078574937E-2</v>
      </c>
      <c r="P143" s="331">
        <f t="shared" si="33"/>
        <v>2.2908387078574937E-2</v>
      </c>
      <c r="Q143" s="331">
        <f t="shared" si="33"/>
        <v>2.2908387078574937E-2</v>
      </c>
      <c r="R143" s="331">
        <f t="shared" si="33"/>
        <v>2.2908387078574937E-2</v>
      </c>
      <c r="S143" s="331">
        <f t="shared" si="33"/>
        <v>2.2908387078574937E-2</v>
      </c>
      <c r="T143" s="331">
        <f t="shared" si="33"/>
        <v>2.2908387078574937E-2</v>
      </c>
      <c r="U143" s="331">
        <f t="shared" si="33"/>
        <v>2.2908387078574937E-2</v>
      </c>
      <c r="V143" s="331">
        <f t="shared" si="33"/>
        <v>2.2908387078574937E-2</v>
      </c>
      <c r="W143" s="331">
        <f t="shared" si="33"/>
        <v>2.2908387078574937E-2</v>
      </c>
      <c r="X143" s="331">
        <f t="shared" si="33"/>
        <v>2.2908387078574937E-2</v>
      </c>
      <c r="Y143" s="331">
        <f t="shared" si="33"/>
        <v>2.2908387078574937E-2</v>
      </c>
      <c r="Z143" s="331">
        <f t="shared" si="33"/>
        <v>2.2908387078574937E-2</v>
      </c>
      <c r="AA143" s="331">
        <f t="shared" si="33"/>
        <v>2.2908387078574937E-2</v>
      </c>
      <c r="AB143" s="331">
        <f t="shared" si="33"/>
        <v>2.2908387078574937E-2</v>
      </c>
      <c r="AC143" s="331">
        <f t="shared" si="33"/>
        <v>2.2908387078574937E-2</v>
      </c>
      <c r="AD143" s="331">
        <f t="shared" si="33"/>
        <v>2.2908387078574937E-2</v>
      </c>
      <c r="AE143" s="331">
        <f t="shared" si="33"/>
        <v>2.2908387078574937E-2</v>
      </c>
      <c r="AF143" s="331">
        <f t="shared" si="33"/>
        <v>2.2908387078574937E-2</v>
      </c>
      <c r="AG143" s="331">
        <f t="shared" si="33"/>
        <v>2.2908387078574937E-2</v>
      </c>
      <c r="AH143" s="331">
        <f t="shared" si="33"/>
        <v>2.2908387078574937E-2</v>
      </c>
      <c r="AI143" s="331">
        <f t="shared" si="33"/>
        <v>2.2908387078574937E-2</v>
      </c>
      <c r="AJ143" s="331">
        <f t="shared" si="33"/>
        <v>2.2908387078574937E-2</v>
      </c>
    </row>
    <row r="144" spans="2:36" ht="15" customHeight="1">
      <c r="B144" s="231" t="s">
        <v>67</v>
      </c>
      <c r="C144" s="331">
        <f t="shared" ca="1" si="31"/>
        <v>2.2908387078574937E-2</v>
      </c>
      <c r="E144" s="331">
        <f t="shared" si="32"/>
        <v>2.2908387078574937E-2</v>
      </c>
      <c r="F144" s="331">
        <f t="shared" si="33"/>
        <v>2.2908387078574937E-2</v>
      </c>
      <c r="G144" s="331">
        <f t="shared" si="33"/>
        <v>2.2908387078574937E-2</v>
      </c>
      <c r="H144" s="331">
        <f t="shared" si="33"/>
        <v>2.2908387078574937E-2</v>
      </c>
      <c r="I144" s="331">
        <f t="shared" si="33"/>
        <v>2.2908387078574937E-2</v>
      </c>
      <c r="J144" s="331">
        <f t="shared" si="33"/>
        <v>2.2908387078574937E-2</v>
      </c>
      <c r="K144" s="331">
        <f t="shared" si="33"/>
        <v>2.2908387078574937E-2</v>
      </c>
      <c r="L144" s="331">
        <f t="shared" si="33"/>
        <v>2.2908387078574937E-2</v>
      </c>
      <c r="M144" s="331">
        <f t="shared" si="33"/>
        <v>2.2908387078574937E-2</v>
      </c>
      <c r="N144" s="331">
        <f t="shared" si="33"/>
        <v>2.2908387078574937E-2</v>
      </c>
      <c r="O144" s="331">
        <f t="shared" si="33"/>
        <v>2.2908387078574937E-2</v>
      </c>
      <c r="P144" s="331">
        <f t="shared" si="33"/>
        <v>2.2908387078574937E-2</v>
      </c>
      <c r="Q144" s="331">
        <f t="shared" si="33"/>
        <v>2.2908387078574937E-2</v>
      </c>
      <c r="R144" s="331">
        <f t="shared" si="33"/>
        <v>2.2908387078574937E-2</v>
      </c>
      <c r="S144" s="331">
        <f t="shared" si="33"/>
        <v>2.2908387078574937E-2</v>
      </c>
      <c r="T144" s="331">
        <f t="shared" si="33"/>
        <v>2.2908387078574937E-2</v>
      </c>
      <c r="U144" s="331">
        <f t="shared" si="33"/>
        <v>2.2908387078574937E-2</v>
      </c>
      <c r="V144" s="331">
        <f t="shared" si="33"/>
        <v>2.2908387078574937E-2</v>
      </c>
      <c r="W144" s="331">
        <f t="shared" si="33"/>
        <v>2.2908387078574937E-2</v>
      </c>
      <c r="X144" s="331">
        <f t="shared" si="33"/>
        <v>2.2908387078574937E-2</v>
      </c>
      <c r="Y144" s="331">
        <f t="shared" si="33"/>
        <v>2.2908387078574937E-2</v>
      </c>
      <c r="Z144" s="331">
        <f t="shared" si="33"/>
        <v>2.2908387078574937E-2</v>
      </c>
      <c r="AA144" s="331">
        <f t="shared" si="33"/>
        <v>2.2908387078574937E-2</v>
      </c>
      <c r="AB144" s="331">
        <f t="shared" si="33"/>
        <v>2.2908387078574937E-2</v>
      </c>
      <c r="AC144" s="331">
        <f t="shared" si="33"/>
        <v>2.2908387078574937E-2</v>
      </c>
      <c r="AD144" s="331">
        <f t="shared" si="33"/>
        <v>2.2908387078574937E-2</v>
      </c>
      <c r="AE144" s="331">
        <f t="shared" si="33"/>
        <v>2.2908387078574937E-2</v>
      </c>
      <c r="AF144" s="331">
        <f t="shared" si="33"/>
        <v>2.2908387078574937E-2</v>
      </c>
      <c r="AG144" s="331">
        <f t="shared" si="33"/>
        <v>2.2908387078574937E-2</v>
      </c>
      <c r="AH144" s="331">
        <f t="shared" si="33"/>
        <v>2.2908387078574937E-2</v>
      </c>
      <c r="AI144" s="331">
        <f t="shared" si="33"/>
        <v>2.2908387078574937E-2</v>
      </c>
      <c r="AJ144" s="331">
        <f t="shared" si="33"/>
        <v>2.2908387078574937E-2</v>
      </c>
    </row>
    <row r="145" spans="2:36">
      <c r="E145" s="56"/>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row>
    <row r="146" spans="2:36" ht="15" customHeight="1">
      <c r="B146" s="330" t="s">
        <v>45</v>
      </c>
      <c r="C146" s="29" t="s">
        <v>75</v>
      </c>
      <c r="E146" s="29">
        <f>E$47</f>
        <v>2023</v>
      </c>
      <c r="F146" s="29">
        <f t="shared" ref="F146:AJ146" si="34">F$47</f>
        <v>2024</v>
      </c>
      <c r="G146" s="29">
        <f t="shared" si="34"/>
        <v>2025</v>
      </c>
      <c r="H146" s="29">
        <f t="shared" si="34"/>
        <v>2026</v>
      </c>
      <c r="I146" s="29">
        <f t="shared" si="34"/>
        <v>2027</v>
      </c>
      <c r="J146" s="29">
        <f t="shared" si="34"/>
        <v>2028</v>
      </c>
      <c r="K146" s="29">
        <f t="shared" si="34"/>
        <v>2029</v>
      </c>
      <c r="L146" s="29">
        <f t="shared" si="34"/>
        <v>2030</v>
      </c>
      <c r="M146" s="29">
        <f t="shared" si="34"/>
        <v>2031</v>
      </c>
      <c r="N146" s="29">
        <f t="shared" si="34"/>
        <v>2032</v>
      </c>
      <c r="O146" s="29">
        <f t="shared" si="34"/>
        <v>2033</v>
      </c>
      <c r="P146" s="29">
        <f t="shared" si="34"/>
        <v>2034</v>
      </c>
      <c r="Q146" s="29">
        <f t="shared" si="34"/>
        <v>2035</v>
      </c>
      <c r="R146" s="29">
        <f t="shared" si="34"/>
        <v>2036</v>
      </c>
      <c r="S146" s="29">
        <f t="shared" si="34"/>
        <v>2037</v>
      </c>
      <c r="T146" s="29">
        <f t="shared" si="34"/>
        <v>2038</v>
      </c>
      <c r="U146" s="29">
        <f t="shared" si="34"/>
        <v>2039</v>
      </c>
      <c r="V146" s="29">
        <f t="shared" si="34"/>
        <v>2040</v>
      </c>
      <c r="W146" s="29">
        <f t="shared" si="34"/>
        <v>2041</v>
      </c>
      <c r="X146" s="29">
        <f t="shared" si="34"/>
        <v>2042</v>
      </c>
      <c r="Y146" s="29">
        <f t="shared" si="34"/>
        <v>2043</v>
      </c>
      <c r="Z146" s="29">
        <f t="shared" si="34"/>
        <v>2044</v>
      </c>
      <c r="AA146" s="29">
        <f t="shared" si="34"/>
        <v>2045</v>
      </c>
      <c r="AB146" s="29">
        <f t="shared" si="34"/>
        <v>2046</v>
      </c>
      <c r="AC146" s="29">
        <f t="shared" si="34"/>
        <v>2047</v>
      </c>
      <c r="AD146" s="29">
        <f t="shared" si="34"/>
        <v>2048</v>
      </c>
      <c r="AE146" s="29">
        <f t="shared" si="34"/>
        <v>2049</v>
      </c>
      <c r="AF146" s="29">
        <f t="shared" si="34"/>
        <v>2050</v>
      </c>
      <c r="AG146" s="29">
        <f t="shared" si="34"/>
        <v>2051</v>
      </c>
      <c r="AH146" s="29">
        <f t="shared" si="34"/>
        <v>2052</v>
      </c>
      <c r="AI146" s="29">
        <f t="shared" si="34"/>
        <v>2053</v>
      </c>
      <c r="AJ146" s="29">
        <f t="shared" si="34"/>
        <v>2054</v>
      </c>
    </row>
    <row r="147" spans="2:36" ht="15" customHeight="1">
      <c r="B147" s="230" t="s">
        <v>53</v>
      </c>
      <c r="C147" s="331">
        <f ca="1">-PMT($C$17,$C$15,NPV($C$17,OFFSET(E147,0,$C$72,1,$C$15))) * (1+$C$20)^($C$19-$C$14)</f>
        <v>0</v>
      </c>
      <c r="E147" s="331">
        <f>E$53*$C$29</f>
        <v>0</v>
      </c>
      <c r="F147" s="331">
        <f t="shared" ref="F147:AJ155" si="35">F$53*$C$29</f>
        <v>0</v>
      </c>
      <c r="G147" s="331">
        <f t="shared" si="35"/>
        <v>0</v>
      </c>
      <c r="H147" s="331">
        <f t="shared" si="35"/>
        <v>0</v>
      </c>
      <c r="I147" s="331">
        <f t="shared" si="35"/>
        <v>0</v>
      </c>
      <c r="J147" s="331">
        <f t="shared" si="35"/>
        <v>0</v>
      </c>
      <c r="K147" s="331">
        <f t="shared" si="35"/>
        <v>0</v>
      </c>
      <c r="L147" s="331">
        <f t="shared" si="35"/>
        <v>0</v>
      </c>
      <c r="M147" s="331">
        <f t="shared" si="35"/>
        <v>0</v>
      </c>
      <c r="N147" s="331">
        <f t="shared" si="35"/>
        <v>0</v>
      </c>
      <c r="O147" s="331">
        <f t="shared" si="35"/>
        <v>0</v>
      </c>
      <c r="P147" s="331">
        <f t="shared" si="35"/>
        <v>0</v>
      </c>
      <c r="Q147" s="331">
        <f t="shared" si="35"/>
        <v>0</v>
      </c>
      <c r="R147" s="331">
        <f t="shared" si="35"/>
        <v>0</v>
      </c>
      <c r="S147" s="331">
        <f t="shared" si="35"/>
        <v>0</v>
      </c>
      <c r="T147" s="331">
        <f t="shared" si="35"/>
        <v>0</v>
      </c>
      <c r="U147" s="331">
        <f t="shared" si="35"/>
        <v>0</v>
      </c>
      <c r="V147" s="331">
        <f t="shared" si="35"/>
        <v>0</v>
      </c>
      <c r="W147" s="331">
        <f t="shared" si="35"/>
        <v>0</v>
      </c>
      <c r="X147" s="331">
        <f t="shared" si="35"/>
        <v>0</v>
      </c>
      <c r="Y147" s="331">
        <f t="shared" si="35"/>
        <v>0</v>
      </c>
      <c r="Z147" s="331">
        <f t="shared" si="35"/>
        <v>0</v>
      </c>
      <c r="AA147" s="331">
        <f t="shared" si="35"/>
        <v>0</v>
      </c>
      <c r="AB147" s="331">
        <f t="shared" si="35"/>
        <v>0</v>
      </c>
      <c r="AC147" s="331">
        <f t="shared" si="35"/>
        <v>0</v>
      </c>
      <c r="AD147" s="331">
        <f t="shared" si="35"/>
        <v>0</v>
      </c>
      <c r="AE147" s="331">
        <f t="shared" si="35"/>
        <v>0</v>
      </c>
      <c r="AF147" s="331">
        <f t="shared" si="35"/>
        <v>0</v>
      </c>
      <c r="AG147" s="331">
        <f t="shared" si="35"/>
        <v>0</v>
      </c>
      <c r="AH147" s="331">
        <f t="shared" si="35"/>
        <v>0</v>
      </c>
      <c r="AI147" s="331">
        <f t="shared" si="35"/>
        <v>0</v>
      </c>
      <c r="AJ147" s="331">
        <f t="shared" si="35"/>
        <v>0</v>
      </c>
    </row>
    <row r="148" spans="2:36" ht="15" customHeight="1">
      <c r="B148" s="230" t="s">
        <v>55</v>
      </c>
      <c r="C148" s="331">
        <f t="shared" ref="C148:C158" ca="1" si="36">-PMT($C$17,$C$15,NPV($C$17,OFFSET(E148,0,$C$72,1,$C$15))) * (1+$C$20)^($C$19-$C$14)</f>
        <v>0</v>
      </c>
      <c r="E148" s="331">
        <f t="shared" ref="E148:T158" si="37">E$53*$C$29</f>
        <v>0</v>
      </c>
      <c r="F148" s="331">
        <f t="shared" si="35"/>
        <v>0</v>
      </c>
      <c r="G148" s="331">
        <f t="shared" si="35"/>
        <v>0</v>
      </c>
      <c r="H148" s="331">
        <f t="shared" si="35"/>
        <v>0</v>
      </c>
      <c r="I148" s="331">
        <f t="shared" si="35"/>
        <v>0</v>
      </c>
      <c r="J148" s="331">
        <f t="shared" si="35"/>
        <v>0</v>
      </c>
      <c r="K148" s="331">
        <f t="shared" si="35"/>
        <v>0</v>
      </c>
      <c r="L148" s="331">
        <f t="shared" si="35"/>
        <v>0</v>
      </c>
      <c r="M148" s="331">
        <f t="shared" si="35"/>
        <v>0</v>
      </c>
      <c r="N148" s="331">
        <f t="shared" si="35"/>
        <v>0</v>
      </c>
      <c r="O148" s="331">
        <f t="shared" si="35"/>
        <v>0</v>
      </c>
      <c r="P148" s="331">
        <f t="shared" si="35"/>
        <v>0</v>
      </c>
      <c r="Q148" s="331">
        <f t="shared" si="35"/>
        <v>0</v>
      </c>
      <c r="R148" s="331">
        <f t="shared" si="35"/>
        <v>0</v>
      </c>
      <c r="S148" s="331">
        <f t="shared" si="35"/>
        <v>0</v>
      </c>
      <c r="T148" s="331">
        <f t="shared" si="35"/>
        <v>0</v>
      </c>
      <c r="U148" s="331">
        <f t="shared" si="35"/>
        <v>0</v>
      </c>
      <c r="V148" s="331">
        <f t="shared" si="35"/>
        <v>0</v>
      </c>
      <c r="W148" s="331">
        <f t="shared" si="35"/>
        <v>0</v>
      </c>
      <c r="X148" s="331">
        <f t="shared" si="35"/>
        <v>0</v>
      </c>
      <c r="Y148" s="331">
        <f t="shared" si="35"/>
        <v>0</v>
      </c>
      <c r="Z148" s="331">
        <f t="shared" si="35"/>
        <v>0</v>
      </c>
      <c r="AA148" s="331">
        <f t="shared" si="35"/>
        <v>0</v>
      </c>
      <c r="AB148" s="331">
        <f t="shared" si="35"/>
        <v>0</v>
      </c>
      <c r="AC148" s="331">
        <f t="shared" si="35"/>
        <v>0</v>
      </c>
      <c r="AD148" s="331">
        <f t="shared" si="35"/>
        <v>0</v>
      </c>
      <c r="AE148" s="331">
        <f t="shared" si="35"/>
        <v>0</v>
      </c>
      <c r="AF148" s="331">
        <f t="shared" si="35"/>
        <v>0</v>
      </c>
      <c r="AG148" s="331">
        <f t="shared" si="35"/>
        <v>0</v>
      </c>
      <c r="AH148" s="331">
        <f t="shared" si="35"/>
        <v>0</v>
      </c>
      <c r="AI148" s="331">
        <f t="shared" si="35"/>
        <v>0</v>
      </c>
      <c r="AJ148" s="331">
        <f t="shared" si="35"/>
        <v>0</v>
      </c>
    </row>
    <row r="149" spans="2:36" ht="15" customHeight="1">
      <c r="B149" s="230" t="s">
        <v>57</v>
      </c>
      <c r="C149" s="331">
        <f t="shared" ca="1" si="36"/>
        <v>0</v>
      </c>
      <c r="E149" s="331">
        <f t="shared" si="37"/>
        <v>0</v>
      </c>
      <c r="F149" s="331">
        <f t="shared" si="35"/>
        <v>0</v>
      </c>
      <c r="G149" s="331">
        <f t="shared" si="35"/>
        <v>0</v>
      </c>
      <c r="H149" s="331">
        <f t="shared" si="35"/>
        <v>0</v>
      </c>
      <c r="I149" s="331">
        <f t="shared" si="35"/>
        <v>0</v>
      </c>
      <c r="J149" s="331">
        <f t="shared" si="35"/>
        <v>0</v>
      </c>
      <c r="K149" s="331">
        <f t="shared" si="35"/>
        <v>0</v>
      </c>
      <c r="L149" s="331">
        <f t="shared" si="35"/>
        <v>0</v>
      </c>
      <c r="M149" s="331">
        <f t="shared" si="35"/>
        <v>0</v>
      </c>
      <c r="N149" s="331">
        <f t="shared" si="35"/>
        <v>0</v>
      </c>
      <c r="O149" s="331">
        <f t="shared" si="35"/>
        <v>0</v>
      </c>
      <c r="P149" s="331">
        <f t="shared" si="35"/>
        <v>0</v>
      </c>
      <c r="Q149" s="331">
        <f t="shared" si="35"/>
        <v>0</v>
      </c>
      <c r="R149" s="331">
        <f t="shared" si="35"/>
        <v>0</v>
      </c>
      <c r="S149" s="331">
        <f t="shared" si="35"/>
        <v>0</v>
      </c>
      <c r="T149" s="331">
        <f t="shared" si="35"/>
        <v>0</v>
      </c>
      <c r="U149" s="331">
        <f t="shared" si="35"/>
        <v>0</v>
      </c>
      <c r="V149" s="331">
        <f t="shared" si="35"/>
        <v>0</v>
      </c>
      <c r="W149" s="331">
        <f t="shared" si="35"/>
        <v>0</v>
      </c>
      <c r="X149" s="331">
        <f t="shared" si="35"/>
        <v>0</v>
      </c>
      <c r="Y149" s="331">
        <f t="shared" si="35"/>
        <v>0</v>
      </c>
      <c r="Z149" s="331">
        <f t="shared" si="35"/>
        <v>0</v>
      </c>
      <c r="AA149" s="331">
        <f t="shared" si="35"/>
        <v>0</v>
      </c>
      <c r="AB149" s="331">
        <f t="shared" si="35"/>
        <v>0</v>
      </c>
      <c r="AC149" s="331">
        <f t="shared" si="35"/>
        <v>0</v>
      </c>
      <c r="AD149" s="331">
        <f t="shared" si="35"/>
        <v>0</v>
      </c>
      <c r="AE149" s="331">
        <f t="shared" si="35"/>
        <v>0</v>
      </c>
      <c r="AF149" s="331">
        <f t="shared" si="35"/>
        <v>0</v>
      </c>
      <c r="AG149" s="331">
        <f t="shared" si="35"/>
        <v>0</v>
      </c>
      <c r="AH149" s="331">
        <f t="shared" si="35"/>
        <v>0</v>
      </c>
      <c r="AI149" s="331">
        <f t="shared" si="35"/>
        <v>0</v>
      </c>
      <c r="AJ149" s="331">
        <f t="shared" si="35"/>
        <v>0</v>
      </c>
    </row>
    <row r="150" spans="2:36" ht="15" customHeight="1">
      <c r="B150" s="230" t="s">
        <v>59</v>
      </c>
      <c r="C150" s="331">
        <f t="shared" ca="1" si="36"/>
        <v>0</v>
      </c>
      <c r="E150" s="331">
        <f t="shared" si="37"/>
        <v>0</v>
      </c>
      <c r="F150" s="331">
        <f t="shared" si="35"/>
        <v>0</v>
      </c>
      <c r="G150" s="331">
        <f t="shared" si="35"/>
        <v>0</v>
      </c>
      <c r="H150" s="331">
        <f t="shared" si="35"/>
        <v>0</v>
      </c>
      <c r="I150" s="331">
        <f t="shared" si="35"/>
        <v>0</v>
      </c>
      <c r="J150" s="331">
        <f t="shared" si="35"/>
        <v>0</v>
      </c>
      <c r="K150" s="331">
        <f t="shared" si="35"/>
        <v>0</v>
      </c>
      <c r="L150" s="331">
        <f t="shared" si="35"/>
        <v>0</v>
      </c>
      <c r="M150" s="331">
        <f t="shared" si="35"/>
        <v>0</v>
      </c>
      <c r="N150" s="331">
        <f t="shared" si="35"/>
        <v>0</v>
      </c>
      <c r="O150" s="331">
        <f t="shared" si="35"/>
        <v>0</v>
      </c>
      <c r="P150" s="331">
        <f t="shared" si="35"/>
        <v>0</v>
      </c>
      <c r="Q150" s="331">
        <f t="shared" si="35"/>
        <v>0</v>
      </c>
      <c r="R150" s="331">
        <f t="shared" si="35"/>
        <v>0</v>
      </c>
      <c r="S150" s="331">
        <f t="shared" si="35"/>
        <v>0</v>
      </c>
      <c r="T150" s="331">
        <f t="shared" si="35"/>
        <v>0</v>
      </c>
      <c r="U150" s="331">
        <f t="shared" si="35"/>
        <v>0</v>
      </c>
      <c r="V150" s="331">
        <f t="shared" si="35"/>
        <v>0</v>
      </c>
      <c r="W150" s="331">
        <f t="shared" si="35"/>
        <v>0</v>
      </c>
      <c r="X150" s="331">
        <f t="shared" si="35"/>
        <v>0</v>
      </c>
      <c r="Y150" s="331">
        <f t="shared" si="35"/>
        <v>0</v>
      </c>
      <c r="Z150" s="331">
        <f t="shared" si="35"/>
        <v>0</v>
      </c>
      <c r="AA150" s="331">
        <f t="shared" si="35"/>
        <v>0</v>
      </c>
      <c r="AB150" s="331">
        <f t="shared" si="35"/>
        <v>0</v>
      </c>
      <c r="AC150" s="331">
        <f t="shared" si="35"/>
        <v>0</v>
      </c>
      <c r="AD150" s="331">
        <f t="shared" si="35"/>
        <v>0</v>
      </c>
      <c r="AE150" s="331">
        <f t="shared" si="35"/>
        <v>0</v>
      </c>
      <c r="AF150" s="331">
        <f t="shared" si="35"/>
        <v>0</v>
      </c>
      <c r="AG150" s="331">
        <f t="shared" si="35"/>
        <v>0</v>
      </c>
      <c r="AH150" s="331">
        <f t="shared" si="35"/>
        <v>0</v>
      </c>
      <c r="AI150" s="331">
        <f t="shared" si="35"/>
        <v>0</v>
      </c>
      <c r="AJ150" s="331">
        <f t="shared" si="35"/>
        <v>0</v>
      </c>
    </row>
    <row r="151" spans="2:36" ht="15" customHeight="1">
      <c r="B151" s="230" t="s">
        <v>60</v>
      </c>
      <c r="C151" s="331">
        <f t="shared" ca="1" si="36"/>
        <v>0</v>
      </c>
      <c r="E151" s="331">
        <f t="shared" si="37"/>
        <v>0</v>
      </c>
      <c r="F151" s="331">
        <f t="shared" si="35"/>
        <v>0</v>
      </c>
      <c r="G151" s="331">
        <f t="shared" si="35"/>
        <v>0</v>
      </c>
      <c r="H151" s="331">
        <f t="shared" si="35"/>
        <v>0</v>
      </c>
      <c r="I151" s="331">
        <f t="shared" si="35"/>
        <v>0</v>
      </c>
      <c r="J151" s="331">
        <f t="shared" si="35"/>
        <v>0</v>
      </c>
      <c r="K151" s="331">
        <f t="shared" si="35"/>
        <v>0</v>
      </c>
      <c r="L151" s="331">
        <f t="shared" si="35"/>
        <v>0</v>
      </c>
      <c r="M151" s="331">
        <f t="shared" si="35"/>
        <v>0</v>
      </c>
      <c r="N151" s="331">
        <f t="shared" si="35"/>
        <v>0</v>
      </c>
      <c r="O151" s="331">
        <f t="shared" si="35"/>
        <v>0</v>
      </c>
      <c r="P151" s="331">
        <f t="shared" si="35"/>
        <v>0</v>
      </c>
      <c r="Q151" s="331">
        <f t="shared" si="35"/>
        <v>0</v>
      </c>
      <c r="R151" s="331">
        <f t="shared" si="35"/>
        <v>0</v>
      </c>
      <c r="S151" s="331">
        <f t="shared" si="35"/>
        <v>0</v>
      </c>
      <c r="T151" s="331">
        <f t="shared" si="35"/>
        <v>0</v>
      </c>
      <c r="U151" s="331">
        <f t="shared" si="35"/>
        <v>0</v>
      </c>
      <c r="V151" s="331">
        <f t="shared" si="35"/>
        <v>0</v>
      </c>
      <c r="W151" s="331">
        <f t="shared" si="35"/>
        <v>0</v>
      </c>
      <c r="X151" s="331">
        <f t="shared" si="35"/>
        <v>0</v>
      </c>
      <c r="Y151" s="331">
        <f t="shared" si="35"/>
        <v>0</v>
      </c>
      <c r="Z151" s="331">
        <f t="shared" si="35"/>
        <v>0</v>
      </c>
      <c r="AA151" s="331">
        <f t="shared" si="35"/>
        <v>0</v>
      </c>
      <c r="AB151" s="331">
        <f t="shared" si="35"/>
        <v>0</v>
      </c>
      <c r="AC151" s="331">
        <f t="shared" si="35"/>
        <v>0</v>
      </c>
      <c r="AD151" s="331">
        <f t="shared" si="35"/>
        <v>0</v>
      </c>
      <c r="AE151" s="331">
        <f t="shared" si="35"/>
        <v>0</v>
      </c>
      <c r="AF151" s="331">
        <f t="shared" si="35"/>
        <v>0</v>
      </c>
      <c r="AG151" s="331">
        <f t="shared" si="35"/>
        <v>0</v>
      </c>
      <c r="AH151" s="331">
        <f t="shared" si="35"/>
        <v>0</v>
      </c>
      <c r="AI151" s="331">
        <f t="shared" si="35"/>
        <v>0</v>
      </c>
      <c r="AJ151" s="331">
        <f t="shared" si="35"/>
        <v>0</v>
      </c>
    </row>
    <row r="152" spans="2:36" ht="15" customHeight="1">
      <c r="B152" s="230" t="s">
        <v>61</v>
      </c>
      <c r="C152" s="331">
        <f t="shared" ca="1" si="36"/>
        <v>0</v>
      </c>
      <c r="E152" s="331">
        <f t="shared" si="37"/>
        <v>0</v>
      </c>
      <c r="F152" s="331">
        <f t="shared" si="35"/>
        <v>0</v>
      </c>
      <c r="G152" s="331">
        <f t="shared" si="35"/>
        <v>0</v>
      </c>
      <c r="H152" s="331">
        <f t="shared" si="35"/>
        <v>0</v>
      </c>
      <c r="I152" s="331">
        <f t="shared" si="35"/>
        <v>0</v>
      </c>
      <c r="J152" s="331">
        <f t="shared" si="35"/>
        <v>0</v>
      </c>
      <c r="K152" s="331">
        <f t="shared" si="35"/>
        <v>0</v>
      </c>
      <c r="L152" s="331">
        <f t="shared" si="35"/>
        <v>0</v>
      </c>
      <c r="M152" s="331">
        <f t="shared" si="35"/>
        <v>0</v>
      </c>
      <c r="N152" s="331">
        <f t="shared" si="35"/>
        <v>0</v>
      </c>
      <c r="O152" s="331">
        <f t="shared" si="35"/>
        <v>0</v>
      </c>
      <c r="P152" s="331">
        <f t="shared" si="35"/>
        <v>0</v>
      </c>
      <c r="Q152" s="331">
        <f t="shared" si="35"/>
        <v>0</v>
      </c>
      <c r="R152" s="331">
        <f t="shared" si="35"/>
        <v>0</v>
      </c>
      <c r="S152" s="331">
        <f t="shared" si="35"/>
        <v>0</v>
      </c>
      <c r="T152" s="331">
        <f t="shared" si="35"/>
        <v>0</v>
      </c>
      <c r="U152" s="331">
        <f t="shared" si="35"/>
        <v>0</v>
      </c>
      <c r="V152" s="331">
        <f t="shared" si="35"/>
        <v>0</v>
      </c>
      <c r="W152" s="331">
        <f t="shared" si="35"/>
        <v>0</v>
      </c>
      <c r="X152" s="331">
        <f t="shared" si="35"/>
        <v>0</v>
      </c>
      <c r="Y152" s="331">
        <f t="shared" si="35"/>
        <v>0</v>
      </c>
      <c r="Z152" s="331">
        <f t="shared" si="35"/>
        <v>0</v>
      </c>
      <c r="AA152" s="331">
        <f t="shared" si="35"/>
        <v>0</v>
      </c>
      <c r="AB152" s="331">
        <f t="shared" si="35"/>
        <v>0</v>
      </c>
      <c r="AC152" s="331">
        <f t="shared" si="35"/>
        <v>0</v>
      </c>
      <c r="AD152" s="331">
        <f t="shared" si="35"/>
        <v>0</v>
      </c>
      <c r="AE152" s="331">
        <f t="shared" si="35"/>
        <v>0</v>
      </c>
      <c r="AF152" s="331">
        <f t="shared" si="35"/>
        <v>0</v>
      </c>
      <c r="AG152" s="331">
        <f t="shared" si="35"/>
        <v>0</v>
      </c>
      <c r="AH152" s="331">
        <f t="shared" si="35"/>
        <v>0</v>
      </c>
      <c r="AI152" s="331">
        <f t="shared" si="35"/>
        <v>0</v>
      </c>
      <c r="AJ152" s="331">
        <f t="shared" si="35"/>
        <v>0</v>
      </c>
    </row>
    <row r="153" spans="2:36" ht="15" customHeight="1">
      <c r="B153" s="230" t="s">
        <v>62</v>
      </c>
      <c r="C153" s="331">
        <f t="shared" ca="1" si="36"/>
        <v>0</v>
      </c>
      <c r="E153" s="331">
        <f t="shared" si="37"/>
        <v>0</v>
      </c>
      <c r="F153" s="331">
        <f t="shared" si="35"/>
        <v>0</v>
      </c>
      <c r="G153" s="331">
        <f t="shared" si="35"/>
        <v>0</v>
      </c>
      <c r="H153" s="331">
        <f t="shared" si="35"/>
        <v>0</v>
      </c>
      <c r="I153" s="331">
        <f t="shared" si="35"/>
        <v>0</v>
      </c>
      <c r="J153" s="331">
        <f t="shared" si="35"/>
        <v>0</v>
      </c>
      <c r="K153" s="331">
        <f t="shared" si="35"/>
        <v>0</v>
      </c>
      <c r="L153" s="331">
        <f t="shared" si="35"/>
        <v>0</v>
      </c>
      <c r="M153" s="331">
        <f t="shared" si="35"/>
        <v>0</v>
      </c>
      <c r="N153" s="331">
        <f t="shared" si="35"/>
        <v>0</v>
      </c>
      <c r="O153" s="331">
        <f t="shared" si="35"/>
        <v>0</v>
      </c>
      <c r="P153" s="331">
        <f t="shared" si="35"/>
        <v>0</v>
      </c>
      <c r="Q153" s="331">
        <f t="shared" si="35"/>
        <v>0</v>
      </c>
      <c r="R153" s="331">
        <f t="shared" si="35"/>
        <v>0</v>
      </c>
      <c r="S153" s="331">
        <f t="shared" si="35"/>
        <v>0</v>
      </c>
      <c r="T153" s="331">
        <f t="shared" si="35"/>
        <v>0</v>
      </c>
      <c r="U153" s="331">
        <f t="shared" si="35"/>
        <v>0</v>
      </c>
      <c r="V153" s="331">
        <f t="shared" si="35"/>
        <v>0</v>
      </c>
      <c r="W153" s="331">
        <f t="shared" si="35"/>
        <v>0</v>
      </c>
      <c r="X153" s="331">
        <f t="shared" si="35"/>
        <v>0</v>
      </c>
      <c r="Y153" s="331">
        <f t="shared" si="35"/>
        <v>0</v>
      </c>
      <c r="Z153" s="331">
        <f t="shared" si="35"/>
        <v>0</v>
      </c>
      <c r="AA153" s="331">
        <f t="shared" si="35"/>
        <v>0</v>
      </c>
      <c r="AB153" s="331">
        <f t="shared" si="35"/>
        <v>0</v>
      </c>
      <c r="AC153" s="331">
        <f t="shared" si="35"/>
        <v>0</v>
      </c>
      <c r="AD153" s="331">
        <f t="shared" si="35"/>
        <v>0</v>
      </c>
      <c r="AE153" s="331">
        <f t="shared" si="35"/>
        <v>0</v>
      </c>
      <c r="AF153" s="331">
        <f t="shared" si="35"/>
        <v>0</v>
      </c>
      <c r="AG153" s="331">
        <f t="shared" si="35"/>
        <v>0</v>
      </c>
      <c r="AH153" s="331">
        <f t="shared" si="35"/>
        <v>0</v>
      </c>
      <c r="AI153" s="331">
        <f t="shared" si="35"/>
        <v>0</v>
      </c>
      <c r="AJ153" s="331">
        <f t="shared" si="35"/>
        <v>0</v>
      </c>
    </row>
    <row r="154" spans="2:36" ht="15" customHeight="1">
      <c r="B154" s="230" t="s">
        <v>63</v>
      </c>
      <c r="C154" s="331">
        <f t="shared" ca="1" si="36"/>
        <v>0</v>
      </c>
      <c r="E154" s="331">
        <f t="shared" si="37"/>
        <v>0</v>
      </c>
      <c r="F154" s="331">
        <f t="shared" si="35"/>
        <v>0</v>
      </c>
      <c r="G154" s="331">
        <f t="shared" si="35"/>
        <v>0</v>
      </c>
      <c r="H154" s="331">
        <f t="shared" si="35"/>
        <v>0</v>
      </c>
      <c r="I154" s="331">
        <f t="shared" si="35"/>
        <v>0</v>
      </c>
      <c r="J154" s="331">
        <f t="shared" si="35"/>
        <v>0</v>
      </c>
      <c r="K154" s="331">
        <f t="shared" si="35"/>
        <v>0</v>
      </c>
      <c r="L154" s="331">
        <f t="shared" si="35"/>
        <v>0</v>
      </c>
      <c r="M154" s="331">
        <f t="shared" si="35"/>
        <v>0</v>
      </c>
      <c r="N154" s="331">
        <f t="shared" si="35"/>
        <v>0</v>
      </c>
      <c r="O154" s="331">
        <f t="shared" si="35"/>
        <v>0</v>
      </c>
      <c r="P154" s="331">
        <f t="shared" si="35"/>
        <v>0</v>
      </c>
      <c r="Q154" s="331">
        <f t="shared" si="35"/>
        <v>0</v>
      </c>
      <c r="R154" s="331">
        <f t="shared" si="35"/>
        <v>0</v>
      </c>
      <c r="S154" s="331">
        <f t="shared" si="35"/>
        <v>0</v>
      </c>
      <c r="T154" s="331">
        <f t="shared" si="35"/>
        <v>0</v>
      </c>
      <c r="U154" s="331">
        <f t="shared" si="35"/>
        <v>0</v>
      </c>
      <c r="V154" s="331">
        <f t="shared" si="35"/>
        <v>0</v>
      </c>
      <c r="W154" s="331">
        <f t="shared" si="35"/>
        <v>0</v>
      </c>
      <c r="X154" s="331">
        <f t="shared" si="35"/>
        <v>0</v>
      </c>
      <c r="Y154" s="331">
        <f t="shared" si="35"/>
        <v>0</v>
      </c>
      <c r="Z154" s="331">
        <f t="shared" si="35"/>
        <v>0</v>
      </c>
      <c r="AA154" s="331">
        <f t="shared" si="35"/>
        <v>0</v>
      </c>
      <c r="AB154" s="331">
        <f t="shared" si="35"/>
        <v>0</v>
      </c>
      <c r="AC154" s="331">
        <f t="shared" si="35"/>
        <v>0</v>
      </c>
      <c r="AD154" s="331">
        <f t="shared" si="35"/>
        <v>0</v>
      </c>
      <c r="AE154" s="331">
        <f t="shared" si="35"/>
        <v>0</v>
      </c>
      <c r="AF154" s="331">
        <f t="shared" si="35"/>
        <v>0</v>
      </c>
      <c r="AG154" s="331">
        <f t="shared" si="35"/>
        <v>0</v>
      </c>
      <c r="AH154" s="331">
        <f t="shared" si="35"/>
        <v>0</v>
      </c>
      <c r="AI154" s="331">
        <f t="shared" si="35"/>
        <v>0</v>
      </c>
      <c r="AJ154" s="331">
        <f t="shared" si="35"/>
        <v>0</v>
      </c>
    </row>
    <row r="155" spans="2:36" ht="15" customHeight="1">
      <c r="B155" s="230" t="s">
        <v>64</v>
      </c>
      <c r="C155" s="331">
        <f t="shared" ca="1" si="36"/>
        <v>0</v>
      </c>
      <c r="E155" s="331">
        <f t="shared" si="37"/>
        <v>0</v>
      </c>
      <c r="F155" s="331">
        <f t="shared" si="35"/>
        <v>0</v>
      </c>
      <c r="G155" s="331">
        <f t="shared" si="35"/>
        <v>0</v>
      </c>
      <c r="H155" s="331">
        <f t="shared" si="35"/>
        <v>0</v>
      </c>
      <c r="I155" s="331">
        <f t="shared" si="35"/>
        <v>0</v>
      </c>
      <c r="J155" s="331">
        <f t="shared" si="35"/>
        <v>0</v>
      </c>
      <c r="K155" s="331">
        <f t="shared" si="35"/>
        <v>0</v>
      </c>
      <c r="L155" s="331">
        <f t="shared" si="35"/>
        <v>0</v>
      </c>
      <c r="M155" s="331">
        <f t="shared" ref="M155:AB158" si="38">M$53*$C$29</f>
        <v>0</v>
      </c>
      <c r="N155" s="331">
        <f t="shared" si="38"/>
        <v>0</v>
      </c>
      <c r="O155" s="331">
        <f t="shared" si="38"/>
        <v>0</v>
      </c>
      <c r="P155" s="331">
        <f t="shared" si="38"/>
        <v>0</v>
      </c>
      <c r="Q155" s="331">
        <f t="shared" si="38"/>
        <v>0</v>
      </c>
      <c r="R155" s="331">
        <f t="shared" si="38"/>
        <v>0</v>
      </c>
      <c r="S155" s="331">
        <f t="shared" si="38"/>
        <v>0</v>
      </c>
      <c r="T155" s="331">
        <f t="shared" si="38"/>
        <v>0</v>
      </c>
      <c r="U155" s="331">
        <f t="shared" si="38"/>
        <v>0</v>
      </c>
      <c r="V155" s="331">
        <f t="shared" si="38"/>
        <v>0</v>
      </c>
      <c r="W155" s="331">
        <f t="shared" si="38"/>
        <v>0</v>
      </c>
      <c r="X155" s="331">
        <f t="shared" si="38"/>
        <v>0</v>
      </c>
      <c r="Y155" s="331">
        <f t="shared" si="38"/>
        <v>0</v>
      </c>
      <c r="Z155" s="331">
        <f t="shared" si="38"/>
        <v>0</v>
      </c>
      <c r="AA155" s="331">
        <f t="shared" si="38"/>
        <v>0</v>
      </c>
      <c r="AB155" s="331">
        <f t="shared" si="38"/>
        <v>0</v>
      </c>
      <c r="AC155" s="331">
        <f t="shared" ref="AC155:AJ158" si="39">AC$53*$C$29</f>
        <v>0</v>
      </c>
      <c r="AD155" s="331">
        <f t="shared" si="39"/>
        <v>0</v>
      </c>
      <c r="AE155" s="331">
        <f t="shared" si="39"/>
        <v>0</v>
      </c>
      <c r="AF155" s="331">
        <f t="shared" si="39"/>
        <v>0</v>
      </c>
      <c r="AG155" s="331">
        <f t="shared" si="39"/>
        <v>0</v>
      </c>
      <c r="AH155" s="331">
        <f t="shared" si="39"/>
        <v>0</v>
      </c>
      <c r="AI155" s="331">
        <f t="shared" si="39"/>
        <v>0</v>
      </c>
      <c r="AJ155" s="331">
        <f t="shared" si="39"/>
        <v>0</v>
      </c>
    </row>
    <row r="156" spans="2:36" ht="15" customHeight="1">
      <c r="B156" s="230" t="s">
        <v>65</v>
      </c>
      <c r="C156" s="331">
        <f t="shared" ca="1" si="36"/>
        <v>0</v>
      </c>
      <c r="E156" s="331">
        <f t="shared" si="37"/>
        <v>0</v>
      </c>
      <c r="F156" s="331">
        <f t="shared" si="37"/>
        <v>0</v>
      </c>
      <c r="G156" s="331">
        <f t="shared" si="37"/>
        <v>0</v>
      </c>
      <c r="H156" s="331">
        <f t="shared" si="37"/>
        <v>0</v>
      </c>
      <c r="I156" s="331">
        <f t="shared" si="37"/>
        <v>0</v>
      </c>
      <c r="J156" s="331">
        <f t="shared" si="37"/>
        <v>0</v>
      </c>
      <c r="K156" s="331">
        <f t="shared" si="37"/>
        <v>0</v>
      </c>
      <c r="L156" s="331">
        <f t="shared" si="37"/>
        <v>0</v>
      </c>
      <c r="M156" s="331">
        <f t="shared" si="37"/>
        <v>0</v>
      </c>
      <c r="N156" s="331">
        <f t="shared" si="37"/>
        <v>0</v>
      </c>
      <c r="O156" s="331">
        <f t="shared" si="37"/>
        <v>0</v>
      </c>
      <c r="P156" s="331">
        <f t="shared" si="37"/>
        <v>0</v>
      </c>
      <c r="Q156" s="331">
        <f t="shared" si="37"/>
        <v>0</v>
      </c>
      <c r="R156" s="331">
        <f t="shared" si="37"/>
        <v>0</v>
      </c>
      <c r="S156" s="331">
        <f t="shared" si="37"/>
        <v>0</v>
      </c>
      <c r="T156" s="331">
        <f t="shared" si="37"/>
        <v>0</v>
      </c>
      <c r="U156" s="331">
        <f t="shared" si="38"/>
        <v>0</v>
      </c>
      <c r="V156" s="331">
        <f t="shared" si="38"/>
        <v>0</v>
      </c>
      <c r="W156" s="331">
        <f t="shared" si="38"/>
        <v>0</v>
      </c>
      <c r="X156" s="331">
        <f t="shared" si="38"/>
        <v>0</v>
      </c>
      <c r="Y156" s="331">
        <f t="shared" si="38"/>
        <v>0</v>
      </c>
      <c r="Z156" s="331">
        <f t="shared" si="38"/>
        <v>0</v>
      </c>
      <c r="AA156" s="331">
        <f t="shared" si="38"/>
        <v>0</v>
      </c>
      <c r="AB156" s="331">
        <f t="shared" si="38"/>
        <v>0</v>
      </c>
      <c r="AC156" s="331">
        <f t="shared" si="39"/>
        <v>0</v>
      </c>
      <c r="AD156" s="331">
        <f t="shared" si="39"/>
        <v>0</v>
      </c>
      <c r="AE156" s="331">
        <f t="shared" si="39"/>
        <v>0</v>
      </c>
      <c r="AF156" s="331">
        <f t="shared" si="39"/>
        <v>0</v>
      </c>
      <c r="AG156" s="331">
        <f t="shared" si="39"/>
        <v>0</v>
      </c>
      <c r="AH156" s="331">
        <f t="shared" si="39"/>
        <v>0</v>
      </c>
      <c r="AI156" s="331">
        <f t="shared" si="39"/>
        <v>0</v>
      </c>
      <c r="AJ156" s="331">
        <f t="shared" si="39"/>
        <v>0</v>
      </c>
    </row>
    <row r="157" spans="2:36" ht="15" customHeight="1">
      <c r="B157" s="230" t="s">
        <v>66</v>
      </c>
      <c r="C157" s="331">
        <f t="shared" ca="1" si="36"/>
        <v>0</v>
      </c>
      <c r="E157" s="331">
        <f t="shared" si="37"/>
        <v>0</v>
      </c>
      <c r="F157" s="331">
        <f t="shared" si="37"/>
        <v>0</v>
      </c>
      <c r="G157" s="331">
        <f t="shared" si="37"/>
        <v>0</v>
      </c>
      <c r="H157" s="331">
        <f t="shared" si="37"/>
        <v>0</v>
      </c>
      <c r="I157" s="331">
        <f t="shared" si="37"/>
        <v>0</v>
      </c>
      <c r="J157" s="331">
        <f t="shared" si="37"/>
        <v>0</v>
      </c>
      <c r="K157" s="331">
        <f t="shared" si="37"/>
        <v>0</v>
      </c>
      <c r="L157" s="331">
        <f t="shared" si="37"/>
        <v>0</v>
      </c>
      <c r="M157" s="331">
        <f t="shared" si="37"/>
        <v>0</v>
      </c>
      <c r="N157" s="331">
        <f t="shared" si="37"/>
        <v>0</v>
      </c>
      <c r="O157" s="331">
        <f t="shared" si="37"/>
        <v>0</v>
      </c>
      <c r="P157" s="331">
        <f t="shared" si="37"/>
        <v>0</v>
      </c>
      <c r="Q157" s="331">
        <f t="shared" si="37"/>
        <v>0</v>
      </c>
      <c r="R157" s="331">
        <f t="shared" si="37"/>
        <v>0</v>
      </c>
      <c r="S157" s="331">
        <f t="shared" si="37"/>
        <v>0</v>
      </c>
      <c r="T157" s="331">
        <f t="shared" si="37"/>
        <v>0</v>
      </c>
      <c r="U157" s="331">
        <f t="shared" si="38"/>
        <v>0</v>
      </c>
      <c r="V157" s="331">
        <f t="shared" si="38"/>
        <v>0</v>
      </c>
      <c r="W157" s="331">
        <f t="shared" si="38"/>
        <v>0</v>
      </c>
      <c r="X157" s="331">
        <f t="shared" si="38"/>
        <v>0</v>
      </c>
      <c r="Y157" s="331">
        <f t="shared" si="38"/>
        <v>0</v>
      </c>
      <c r="Z157" s="331">
        <f t="shared" si="38"/>
        <v>0</v>
      </c>
      <c r="AA157" s="331">
        <f t="shared" si="38"/>
        <v>0</v>
      </c>
      <c r="AB157" s="331">
        <f t="shared" si="38"/>
        <v>0</v>
      </c>
      <c r="AC157" s="331">
        <f t="shared" si="39"/>
        <v>0</v>
      </c>
      <c r="AD157" s="331">
        <f t="shared" si="39"/>
        <v>0</v>
      </c>
      <c r="AE157" s="331">
        <f t="shared" si="39"/>
        <v>0</v>
      </c>
      <c r="AF157" s="331">
        <f t="shared" si="39"/>
        <v>0</v>
      </c>
      <c r="AG157" s="331">
        <f t="shared" si="39"/>
        <v>0</v>
      </c>
      <c r="AH157" s="331">
        <f t="shared" si="39"/>
        <v>0</v>
      </c>
      <c r="AI157" s="331">
        <f t="shared" si="39"/>
        <v>0</v>
      </c>
      <c r="AJ157" s="331">
        <f t="shared" si="39"/>
        <v>0</v>
      </c>
    </row>
    <row r="158" spans="2:36" ht="15" customHeight="1">
      <c r="B158" s="231" t="s">
        <v>67</v>
      </c>
      <c r="C158" s="331">
        <f t="shared" ca="1" si="36"/>
        <v>0</v>
      </c>
      <c r="E158" s="331">
        <f t="shared" si="37"/>
        <v>0</v>
      </c>
      <c r="F158" s="331">
        <f t="shared" si="37"/>
        <v>0</v>
      </c>
      <c r="G158" s="331">
        <f t="shared" si="37"/>
        <v>0</v>
      </c>
      <c r="H158" s="331">
        <f t="shared" si="37"/>
        <v>0</v>
      </c>
      <c r="I158" s="331">
        <f t="shared" si="37"/>
        <v>0</v>
      </c>
      <c r="J158" s="331">
        <f t="shared" si="37"/>
        <v>0</v>
      </c>
      <c r="K158" s="331">
        <f t="shared" si="37"/>
        <v>0</v>
      </c>
      <c r="L158" s="331">
        <f t="shared" si="37"/>
        <v>0</v>
      </c>
      <c r="M158" s="331">
        <f t="shared" si="37"/>
        <v>0</v>
      </c>
      <c r="N158" s="331">
        <f t="shared" si="37"/>
        <v>0</v>
      </c>
      <c r="O158" s="331">
        <f t="shared" si="37"/>
        <v>0</v>
      </c>
      <c r="P158" s="331">
        <f t="shared" si="37"/>
        <v>0</v>
      </c>
      <c r="Q158" s="331">
        <f t="shared" si="37"/>
        <v>0</v>
      </c>
      <c r="R158" s="331">
        <f t="shared" si="37"/>
        <v>0</v>
      </c>
      <c r="S158" s="331">
        <f t="shared" si="37"/>
        <v>0</v>
      </c>
      <c r="T158" s="331">
        <f t="shared" si="37"/>
        <v>0</v>
      </c>
      <c r="U158" s="331">
        <f t="shared" si="38"/>
        <v>0</v>
      </c>
      <c r="V158" s="331">
        <f t="shared" si="38"/>
        <v>0</v>
      </c>
      <c r="W158" s="331">
        <f t="shared" si="38"/>
        <v>0</v>
      </c>
      <c r="X158" s="331">
        <f t="shared" si="38"/>
        <v>0</v>
      </c>
      <c r="Y158" s="331">
        <f t="shared" si="38"/>
        <v>0</v>
      </c>
      <c r="Z158" s="331">
        <f t="shared" si="38"/>
        <v>0</v>
      </c>
      <c r="AA158" s="331">
        <f t="shared" si="38"/>
        <v>0</v>
      </c>
      <c r="AB158" s="331">
        <f t="shared" si="38"/>
        <v>0</v>
      </c>
      <c r="AC158" s="331">
        <f t="shared" si="39"/>
        <v>0</v>
      </c>
      <c r="AD158" s="331">
        <f t="shared" si="39"/>
        <v>0</v>
      </c>
      <c r="AE158" s="331">
        <f t="shared" si="39"/>
        <v>0</v>
      </c>
      <c r="AF158" s="331">
        <f t="shared" si="39"/>
        <v>0</v>
      </c>
      <c r="AG158" s="331">
        <f t="shared" si="39"/>
        <v>0</v>
      </c>
      <c r="AH158" s="331">
        <f t="shared" si="39"/>
        <v>0</v>
      </c>
      <c r="AI158" s="331">
        <f t="shared" si="39"/>
        <v>0</v>
      </c>
      <c r="AJ158" s="331">
        <f t="shared" si="39"/>
        <v>0</v>
      </c>
    </row>
    <row r="160" spans="2:36" ht="36" customHeight="1">
      <c r="B160" s="333" t="s">
        <v>80</v>
      </c>
      <c r="C160" s="332" t="s">
        <v>75</v>
      </c>
      <c r="E160" s="232" t="s">
        <v>40</v>
      </c>
      <c r="F160" s="233" t="s">
        <v>41</v>
      </c>
      <c r="G160" s="233" t="s">
        <v>42</v>
      </c>
      <c r="H160" s="233" t="s">
        <v>43</v>
      </c>
      <c r="I160" s="234" t="s">
        <v>44</v>
      </c>
      <c r="J160" s="229" t="s">
        <v>45</v>
      </c>
    </row>
    <row r="161" spans="3:11">
      <c r="C161" s="230" t="s">
        <v>53</v>
      </c>
      <c r="E161" s="331">
        <f t="shared" ref="E161:E172" ca="1" si="40">INDEX($C77:$AK77,MATCH($C$160,$C$76:$AK$76,0))</f>
        <v>0.58690490038944421</v>
      </c>
      <c r="F161" s="331">
        <f t="shared" ref="F161:F172" ca="1" si="41">INDEX($C91:$AK91,MATCH($C$160,$C$76:$AK$76,0))</f>
        <v>0.49868852459016405</v>
      </c>
      <c r="G161" s="331">
        <f t="shared" ref="G161:G172" ca="1" si="42">INDEX($C105:$AK105,MATCH($C$160,$C$76:$AK$76,0))</f>
        <v>0.77933749833752342</v>
      </c>
      <c r="H161" s="331">
        <f t="shared" ref="H161:H172" ca="1" si="43">INDEX($C119:$AK119,MATCH($C$160,$C$76:$AK$76,0))</f>
        <v>3.3698623799112773E-2</v>
      </c>
      <c r="I161" s="331">
        <f t="shared" ref="I161:I172" ca="1" si="44">INDEX($C133:$AK133,MATCH($C$160,$C$76:$AK$76,0))</f>
        <v>2.2908387078574937E-2</v>
      </c>
      <c r="J161" s="331">
        <f ca="1">INDEX($C147:$AK147,MATCH($C$160,$C$76:$AK$76,0))</f>
        <v>0</v>
      </c>
      <c r="K161" s="77"/>
    </row>
    <row r="162" spans="3:11">
      <c r="C162" s="230" t="s">
        <v>55</v>
      </c>
      <c r="E162" s="331">
        <f t="shared" ca="1" si="40"/>
        <v>0.5741947373034838</v>
      </c>
      <c r="F162" s="331">
        <f t="shared" ca="1" si="41"/>
        <v>0.49868852459016405</v>
      </c>
      <c r="G162" s="331">
        <f t="shared" ca="1" si="42"/>
        <v>0.77933749833752342</v>
      </c>
      <c r="H162" s="331">
        <f t="shared" ca="1" si="43"/>
        <v>3.3698623799112773E-2</v>
      </c>
      <c r="I162" s="331">
        <f t="shared" ca="1" si="44"/>
        <v>2.2908387078574937E-2</v>
      </c>
      <c r="J162" s="331">
        <f t="shared" ref="J162:J172" ca="1" si="45">INDEX($C148:$AK148,MATCH($C$160,$C$76:$AK$76,0))</f>
        <v>0</v>
      </c>
      <c r="K162" s="77"/>
    </row>
    <row r="163" spans="3:11">
      <c r="C163" s="230" t="s">
        <v>57</v>
      </c>
      <c r="E163" s="331">
        <f t="shared" ca="1" si="40"/>
        <v>0.52725709358932915</v>
      </c>
      <c r="F163" s="331">
        <f t="shared" ca="1" si="41"/>
        <v>0.49868852459016405</v>
      </c>
      <c r="G163" s="331">
        <f t="shared" ca="1" si="42"/>
        <v>0.77933749833752342</v>
      </c>
      <c r="H163" s="331">
        <f t="shared" ca="1" si="43"/>
        <v>3.3698623799112773E-2</v>
      </c>
      <c r="I163" s="331">
        <f t="shared" ca="1" si="44"/>
        <v>2.2908387078574937E-2</v>
      </c>
      <c r="J163" s="331">
        <f ca="1">INDEX($C149:$AK149,MATCH($C$160,$C$76:$AK$76,0))</f>
        <v>0</v>
      </c>
      <c r="K163" s="77"/>
    </row>
    <row r="164" spans="3:11">
      <c r="C164" s="230" t="s">
        <v>59</v>
      </c>
      <c r="E164" s="331">
        <f t="shared" ca="1" si="40"/>
        <v>0.51842791588760673</v>
      </c>
      <c r="F164" s="331">
        <f t="shared" ca="1" si="41"/>
        <v>0</v>
      </c>
      <c r="G164" s="331">
        <f t="shared" ca="1" si="42"/>
        <v>0.77933749833752342</v>
      </c>
      <c r="H164" s="331">
        <f t="shared" ca="1" si="43"/>
        <v>3.3698623799112773E-2</v>
      </c>
      <c r="I164" s="331">
        <f t="shared" ca="1" si="44"/>
        <v>2.2908387078574937E-2</v>
      </c>
      <c r="J164" s="331">
        <f ca="1">INDEX($C150:$AK150,MATCH($C$160,$C$76:$AK$76,0))</f>
        <v>0</v>
      </c>
      <c r="K164" s="77"/>
    </row>
    <row r="165" spans="3:11">
      <c r="C165" s="230" t="s">
        <v>60</v>
      </c>
      <c r="E165" s="331">
        <f t="shared" ca="1" si="40"/>
        <v>0.53661804280617753</v>
      </c>
      <c r="F165" s="331">
        <f t="shared" ca="1" si="41"/>
        <v>0</v>
      </c>
      <c r="G165" s="331">
        <f t="shared" ca="1" si="42"/>
        <v>0.77933749833752342</v>
      </c>
      <c r="H165" s="331">
        <f t="shared" ca="1" si="43"/>
        <v>3.3698623799112773E-2</v>
      </c>
      <c r="I165" s="331">
        <f t="shared" ca="1" si="44"/>
        <v>2.2908387078574937E-2</v>
      </c>
      <c r="J165" s="331">
        <f ca="1">INDEX($C151:$AK151,MATCH($C$160,$C$76:$AK$76,0))</f>
        <v>0</v>
      </c>
      <c r="K165" s="77"/>
    </row>
    <row r="166" spans="3:11">
      <c r="C166" s="230" t="s">
        <v>61</v>
      </c>
      <c r="E166" s="331">
        <f t="shared" ca="1" si="40"/>
        <v>0.55064192618105634</v>
      </c>
      <c r="F166" s="331">
        <f t="shared" ca="1" si="41"/>
        <v>0</v>
      </c>
      <c r="G166" s="331">
        <f t="shared" ca="1" si="42"/>
        <v>0.77933749833752342</v>
      </c>
      <c r="H166" s="331">
        <f t="shared" ca="1" si="43"/>
        <v>3.3698623799112773E-2</v>
      </c>
      <c r="I166" s="331">
        <f t="shared" ca="1" si="44"/>
        <v>2.2908387078574937E-2</v>
      </c>
      <c r="J166" s="331">
        <f t="shared" ca="1" si="45"/>
        <v>0</v>
      </c>
      <c r="K166" s="77"/>
    </row>
    <row r="167" spans="3:11">
      <c r="C167" s="230" t="s">
        <v>62</v>
      </c>
      <c r="E167" s="331">
        <f ca="1">INDEX($C83:$AK83,MATCH($C$160,$C$76:$AK$76,0))</f>
        <v>0.55516284883276801</v>
      </c>
      <c r="F167" s="331">
        <f t="shared" ca="1" si="41"/>
        <v>0</v>
      </c>
      <c r="G167" s="331">
        <f t="shared" ca="1" si="42"/>
        <v>0.77933749833752342</v>
      </c>
      <c r="H167" s="331">
        <f t="shared" ca="1" si="43"/>
        <v>3.3698623799112773E-2</v>
      </c>
      <c r="I167" s="331">
        <f t="shared" ca="1" si="44"/>
        <v>2.2908387078574937E-2</v>
      </c>
      <c r="J167" s="331">
        <f t="shared" ca="1" si="45"/>
        <v>0</v>
      </c>
      <c r="K167" s="77"/>
    </row>
    <row r="168" spans="3:11">
      <c r="C168" s="230" t="s">
        <v>63</v>
      </c>
      <c r="E168" s="331">
        <f t="shared" ca="1" si="40"/>
        <v>0.55102600562758108</v>
      </c>
      <c r="F168" s="331">
        <f t="shared" ca="1" si="41"/>
        <v>0</v>
      </c>
      <c r="G168" s="331">
        <f t="shared" ca="1" si="42"/>
        <v>0.77933749833752342</v>
      </c>
      <c r="H168" s="331">
        <f t="shared" ca="1" si="43"/>
        <v>3.3698623799112773E-2</v>
      </c>
      <c r="I168" s="331">
        <f t="shared" ca="1" si="44"/>
        <v>2.2908387078574937E-2</v>
      </c>
      <c r="J168" s="331">
        <f t="shared" ca="1" si="45"/>
        <v>0</v>
      </c>
      <c r="K168" s="77"/>
    </row>
    <row r="169" spans="3:11">
      <c r="C169" s="230" t="s">
        <v>64</v>
      </c>
      <c r="E169" s="331">
        <f t="shared" ca="1" si="40"/>
        <v>0.55893009620057732</v>
      </c>
      <c r="F169" s="331">
        <f t="shared" ca="1" si="41"/>
        <v>0</v>
      </c>
      <c r="G169" s="331">
        <f t="shared" ca="1" si="42"/>
        <v>0.77933749833752342</v>
      </c>
      <c r="H169" s="331">
        <f t="shared" ca="1" si="43"/>
        <v>3.3698623799112773E-2</v>
      </c>
      <c r="I169" s="331">
        <f t="shared" ca="1" si="44"/>
        <v>2.2908387078574937E-2</v>
      </c>
      <c r="J169" s="331">
        <f t="shared" ca="1" si="45"/>
        <v>0</v>
      </c>
      <c r="K169" s="77"/>
    </row>
    <row r="170" spans="3:11">
      <c r="C170" s="230" t="s">
        <v>65</v>
      </c>
      <c r="E170" s="331">
        <f t="shared" ca="1" si="40"/>
        <v>0.55586181484775221</v>
      </c>
      <c r="F170" s="331">
        <f t="shared" ca="1" si="41"/>
        <v>0</v>
      </c>
      <c r="G170" s="331">
        <f t="shared" ca="1" si="42"/>
        <v>0.77933749833752342</v>
      </c>
      <c r="H170" s="331">
        <f t="shared" ca="1" si="43"/>
        <v>3.3698623799112773E-2</v>
      </c>
      <c r="I170" s="331">
        <f t="shared" ca="1" si="44"/>
        <v>2.2908387078574937E-2</v>
      </c>
      <c r="J170" s="331">
        <f t="shared" ca="1" si="45"/>
        <v>0</v>
      </c>
      <c r="K170" s="77"/>
    </row>
    <row r="171" spans="3:11">
      <c r="C171" s="230" t="s">
        <v>66</v>
      </c>
      <c r="E171" s="331">
        <f t="shared" ca="1" si="40"/>
        <v>0.58349642065735541</v>
      </c>
      <c r="F171" s="331">
        <f t="shared" ca="1" si="41"/>
        <v>0.49868852459016405</v>
      </c>
      <c r="G171" s="331">
        <f t="shared" ca="1" si="42"/>
        <v>0.77933749833752342</v>
      </c>
      <c r="H171" s="331">
        <f t="shared" ca="1" si="43"/>
        <v>3.3698623799112773E-2</v>
      </c>
      <c r="I171" s="331">
        <f t="shared" ca="1" si="44"/>
        <v>2.2908387078574937E-2</v>
      </c>
      <c r="J171" s="331">
        <f t="shared" ca="1" si="45"/>
        <v>0</v>
      </c>
      <c r="K171" s="77"/>
    </row>
    <row r="172" spans="3:11">
      <c r="C172" s="231" t="s">
        <v>67</v>
      </c>
      <c r="E172" s="331">
        <f t="shared" ca="1" si="40"/>
        <v>0.58835117108738455</v>
      </c>
      <c r="F172" s="331">
        <f t="shared" ca="1" si="41"/>
        <v>0.49868852459016405</v>
      </c>
      <c r="G172" s="331">
        <f t="shared" ca="1" si="42"/>
        <v>0.77933749833752342</v>
      </c>
      <c r="H172" s="331">
        <f t="shared" ca="1" si="43"/>
        <v>3.3698623799112773E-2</v>
      </c>
      <c r="I172" s="331">
        <f t="shared" ca="1" si="44"/>
        <v>2.2908387078574937E-2</v>
      </c>
      <c r="J172" s="331">
        <f t="shared" ca="1" si="45"/>
        <v>0</v>
      </c>
      <c r="K172" s="77"/>
    </row>
  </sheetData>
  <phoneticPr fontId="6" type="noConversion"/>
  <conditionalFormatting sqref="C23:C28">
    <cfRule type="cellIs" dxfId="1" priority="1" stopIfTrue="1" operator="equal">
      <formula>FALSE</formula>
    </cfRule>
    <cfRule type="cellIs" dxfId="0" priority="2" operator="equal">
      <formula>TRUE</formula>
    </cfRule>
  </conditionalFormatting>
  <dataValidations count="2">
    <dataValidation type="list" allowBlank="1" showInputMessage="1" showErrorMessage="1" sqref="C23:C28" xr:uid="{00000000-0002-0000-0200-000000000000}">
      <formula1>"TRUE, FALSE"</formula1>
    </dataValidation>
    <dataValidation type="list" allowBlank="1" showInputMessage="1" showErrorMessage="1" sqref="C160" xr:uid="{175F6449-6694-45FE-A976-8CFA45CABE0F}">
      <formula1>$C$58:$AJ$58</formula1>
    </dataValidation>
  </dataValidations>
  <pageMargins left="0.75" right="0.75" top="1" bottom="1" header="0.5" footer="0.5"/>
  <pageSetup orientation="portrait" r:id="rId1"/>
  <headerFooter alignWithMargins="0"/>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27F555D8-1393-4230-88AD-5CED4F75841C}">
          <x14:formula1>
            <xm:f>Lists!$B$4:$B$6</xm:f>
          </x14:formula1>
          <xm:sqref>C5</xm:sqref>
        </x14:dataValidation>
        <x14:dataValidation type="list" allowBlank="1" showInputMessage="1" showErrorMessage="1" xr:uid="{0BF8898A-BEFA-4AE8-8CB8-53EA24A193B2}">
          <x14:formula1>
            <xm:f>Lists!$C$4:$C$6</xm:f>
          </x14:formula1>
          <xm:sqref>C6</xm:sqref>
        </x14:dataValidation>
        <x14:dataValidation type="list" allowBlank="1" showInputMessage="1" showErrorMessage="1" xr:uid="{8051B1BD-A754-4911-A166-4BDC1E7945FF}">
          <x14:formula1>
            <xm:f>Lists!$D$4:$D$6</xm:f>
          </x14:formula1>
          <xm:sqref>C7</xm:sqref>
        </x14:dataValidation>
        <x14:dataValidation type="list" allowBlank="1" showInputMessage="1" showErrorMessage="1" xr:uid="{4EB40326-23D3-4AA7-9670-CECC9CF025D8}">
          <x14:formula1>
            <xm:f>Lists!$E$4:$E$6</xm:f>
          </x14:formula1>
          <xm:sqref>C8</xm:sqref>
        </x14:dataValidation>
        <x14:dataValidation type="list" allowBlank="1" showInputMessage="1" showErrorMessage="1" xr:uid="{F0893136-D059-4BAB-8FBF-C2A3645DBBBE}">
          <x14:formula1>
            <xm:f>Lists!$F$4:$F$5</xm:f>
          </x14:formula1>
          <xm:sqref>C10</xm:sqref>
        </x14:dataValidation>
        <x14:dataValidation type="list" allowBlank="1" showInputMessage="1" showErrorMessage="1" xr:uid="{E3395663-E931-449E-9CFC-72A3AB8CC3FA}">
          <x14:formula1>
            <xm:f>Lists!$G$4:$G$5</xm:f>
          </x14:formula1>
          <xm:sqref>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sheetPr>
  <dimension ref="A1:AM53"/>
  <sheetViews>
    <sheetView workbookViewId="0"/>
  </sheetViews>
  <sheetFormatPr baseColWidth="10" defaultColWidth="9" defaultRowHeight="15"/>
  <cols>
    <col min="1" max="1" width="7.796875" style="1" customWidth="1"/>
    <col min="2" max="2" width="18" style="1" customWidth="1"/>
    <col min="3" max="3" width="16.59765625" style="1" customWidth="1"/>
    <col min="4" max="4" width="27.19921875" style="1" customWidth="1"/>
    <col min="5" max="5" width="19.3984375" style="1" customWidth="1"/>
    <col min="6" max="7" width="9" style="1"/>
    <col min="8" max="8" width="14.3984375" style="1" customWidth="1"/>
    <col min="9" max="16384" width="9" style="1"/>
  </cols>
  <sheetData>
    <row r="1" spans="1:39">
      <c r="A1" s="139"/>
      <c r="B1" s="139"/>
      <c r="C1" s="139"/>
      <c r="D1" s="139"/>
      <c r="E1" s="139"/>
      <c r="F1" s="139"/>
      <c r="G1" s="139"/>
    </row>
    <row r="2" spans="1:39" s="61" customFormat="1" ht="15" customHeight="1">
      <c r="B2" s="59" t="s">
        <v>81</v>
      </c>
    </row>
    <row r="3" spans="1:39">
      <c r="A3" s="139"/>
      <c r="B3" s="139"/>
      <c r="C3" s="139"/>
      <c r="D3" s="139"/>
      <c r="E3" s="139"/>
      <c r="F3" s="139"/>
    </row>
    <row r="4" spans="1:39">
      <c r="C4" s="37" t="s">
        <v>82</v>
      </c>
    </row>
    <row r="5" spans="1:39">
      <c r="B5" s="30" t="s">
        <v>17</v>
      </c>
      <c r="C5" s="138" t="str">
        <f>'User Dashboard'!C5</f>
        <v>SDG&amp;E</v>
      </c>
    </row>
    <row r="6" spans="1:39">
      <c r="B6" s="30" t="s">
        <v>19</v>
      </c>
      <c r="C6" s="138" t="str">
        <f>'User Dashboard'!C6</f>
        <v>Total Core</v>
      </c>
      <c r="D6" s="30"/>
      <c r="E6" s="134"/>
    </row>
    <row r="7" spans="1:39">
      <c r="B7" s="30" t="s">
        <v>21</v>
      </c>
      <c r="C7" s="138" t="str">
        <f>'User Dashboard'!C7</f>
        <v>Small Boiler (&lt;100MMBtu/Hr)</v>
      </c>
    </row>
    <row r="8" spans="1:39">
      <c r="B8" s="30" t="s">
        <v>23</v>
      </c>
      <c r="C8" s="138" t="str">
        <f>'User Dashboard'!C8</f>
        <v>Uncontrolled</v>
      </c>
      <c r="D8" s="135"/>
    </row>
    <row r="9" spans="1:39">
      <c r="B9" s="30"/>
      <c r="D9" s="135"/>
    </row>
    <row r="10" spans="1:39">
      <c r="B10" s="30"/>
      <c r="C10" s="37" t="s">
        <v>83</v>
      </c>
      <c r="D10" s="135"/>
    </row>
    <row r="11" spans="1:39">
      <c r="B11" s="30" t="s">
        <v>31</v>
      </c>
      <c r="C11" s="138">
        <f>'User Dashboard'!C14</f>
        <v>2024</v>
      </c>
      <c r="D11" s="135"/>
    </row>
    <row r="12" spans="1:39">
      <c r="B12" s="30" t="s">
        <v>32</v>
      </c>
      <c r="C12" s="138">
        <f>'User Dashboard'!C15</f>
        <v>1</v>
      </c>
      <c r="D12" s="135"/>
    </row>
    <row r="13" spans="1:39">
      <c r="B13" s="30" t="s">
        <v>34</v>
      </c>
      <c r="C13" s="138">
        <f>'User Dashboard'!C16</f>
        <v>2024</v>
      </c>
      <c r="D13" s="135"/>
    </row>
    <row r="14" spans="1:39">
      <c r="B14" s="30"/>
    </row>
    <row r="15" spans="1:39">
      <c r="B15" s="30"/>
      <c r="C15" s="37" t="s">
        <v>84</v>
      </c>
      <c r="D15" s="135"/>
      <c r="H15" s="37" t="s">
        <v>85</v>
      </c>
    </row>
    <row r="16" spans="1:39" s="136" customFormat="1">
      <c r="C16" s="29" t="s">
        <v>86</v>
      </c>
      <c r="D16" s="29" t="s">
        <v>87</v>
      </c>
      <c r="H16" s="29">
        <f>'User Dashboard'!E58</f>
        <v>2023</v>
      </c>
      <c r="I16" s="29">
        <f>'User Dashboard'!F58</f>
        <v>2024</v>
      </c>
      <c r="J16" s="29">
        <f>'User Dashboard'!G58</f>
        <v>2025</v>
      </c>
      <c r="K16" s="29">
        <f>'User Dashboard'!H58</f>
        <v>2026</v>
      </c>
      <c r="L16" s="29">
        <f>'User Dashboard'!I58</f>
        <v>2027</v>
      </c>
      <c r="M16" s="29">
        <f>'User Dashboard'!J58</f>
        <v>2028</v>
      </c>
      <c r="N16" s="29">
        <f>'User Dashboard'!K58</f>
        <v>2029</v>
      </c>
      <c r="O16" s="29">
        <f>'User Dashboard'!L58</f>
        <v>2030</v>
      </c>
      <c r="P16" s="29">
        <f>'User Dashboard'!M58</f>
        <v>2031</v>
      </c>
      <c r="Q16" s="29">
        <f>'User Dashboard'!N58</f>
        <v>2032</v>
      </c>
      <c r="R16" s="29">
        <f>'User Dashboard'!O58</f>
        <v>2033</v>
      </c>
      <c r="S16" s="29">
        <f>'User Dashboard'!P58</f>
        <v>2034</v>
      </c>
      <c r="T16" s="29">
        <f>'User Dashboard'!Q58</f>
        <v>2035</v>
      </c>
      <c r="U16" s="29">
        <f>'User Dashboard'!R58</f>
        <v>2036</v>
      </c>
      <c r="V16" s="29">
        <f>'User Dashboard'!S58</f>
        <v>2037</v>
      </c>
      <c r="W16" s="29">
        <f>'User Dashboard'!T58</f>
        <v>2038</v>
      </c>
      <c r="X16" s="29">
        <f>'User Dashboard'!U58</f>
        <v>2039</v>
      </c>
      <c r="Y16" s="29">
        <f>'User Dashboard'!V58</f>
        <v>2040</v>
      </c>
      <c r="Z16" s="29">
        <f>'User Dashboard'!W58</f>
        <v>2041</v>
      </c>
      <c r="AA16" s="29">
        <f>'User Dashboard'!X58</f>
        <v>2042</v>
      </c>
      <c r="AB16" s="29">
        <f>'User Dashboard'!Y58</f>
        <v>2043</v>
      </c>
      <c r="AC16" s="29">
        <f>'User Dashboard'!Z58</f>
        <v>2044</v>
      </c>
      <c r="AD16" s="29">
        <f>'User Dashboard'!AA58</f>
        <v>2045</v>
      </c>
      <c r="AE16" s="29">
        <f>'User Dashboard'!AB58</f>
        <v>2046</v>
      </c>
      <c r="AF16" s="29">
        <f>'User Dashboard'!AC58</f>
        <v>2047</v>
      </c>
      <c r="AG16" s="29">
        <f>'User Dashboard'!AD58</f>
        <v>2048</v>
      </c>
      <c r="AH16" s="29">
        <f>'User Dashboard'!AE58</f>
        <v>2049</v>
      </c>
      <c r="AI16" s="29">
        <f>'User Dashboard'!AF58</f>
        <v>2050</v>
      </c>
      <c r="AJ16" s="29">
        <f>'User Dashboard'!AG58</f>
        <v>2051</v>
      </c>
      <c r="AK16" s="29">
        <f>'User Dashboard'!AH58</f>
        <v>2052</v>
      </c>
      <c r="AL16" s="29">
        <f>'User Dashboard'!AI58</f>
        <v>2053</v>
      </c>
      <c r="AM16" s="29">
        <f>'User Dashboard'!AJ58</f>
        <v>2054</v>
      </c>
    </row>
    <row r="17" spans="2:39">
      <c r="B17" s="30" t="s">
        <v>53</v>
      </c>
      <c r="C17" s="73">
        <f ca="1">'User Dashboard'!C59</f>
        <v>1.9215379341948193</v>
      </c>
      <c r="D17" s="73">
        <f ca="1">AVERAGE($C$17:$C$28)</f>
        <v>1.6009708089119892</v>
      </c>
      <c r="E17" s="137"/>
      <c r="G17" s="1" t="s">
        <v>53</v>
      </c>
      <c r="H17" s="73">
        <f>'User Dashboard'!E59</f>
        <v>1.9117604805224206</v>
      </c>
      <c r="I17" s="73">
        <f>'User Dashboard'!F59</f>
        <v>1.9215379341948193</v>
      </c>
      <c r="J17" s="73">
        <f>'User Dashboard'!G59</f>
        <v>1.9698947621130292</v>
      </c>
      <c r="K17" s="73">
        <f>'User Dashboard'!H59</f>
        <v>2.0069575794744137</v>
      </c>
      <c r="L17" s="73">
        <f>'User Dashboard'!I59</f>
        <v>2.043092256717761</v>
      </c>
      <c r="M17" s="73">
        <f>'User Dashboard'!J59</f>
        <v>2.079450889737168</v>
      </c>
      <c r="N17" s="73">
        <f>'User Dashboard'!K59</f>
        <v>2.1163490659564204</v>
      </c>
      <c r="O17" s="73">
        <f>'User Dashboard'!L59</f>
        <v>2.1537819645319245</v>
      </c>
      <c r="P17" s="73">
        <f>'User Dashboard'!M59</f>
        <v>2.1916404244054974</v>
      </c>
      <c r="Q17" s="73">
        <f>'User Dashboard'!N59</f>
        <v>2.2301447303877349</v>
      </c>
      <c r="R17" s="73">
        <f>'User Dashboard'!O59</f>
        <v>2.2694793053811306</v>
      </c>
      <c r="S17" s="73">
        <f>'User Dashboard'!P59</f>
        <v>2.3092874764026385</v>
      </c>
      <c r="T17" s="73">
        <f>'User Dashboard'!Q59</f>
        <v>2.3500337003264473</v>
      </c>
      <c r="U17" s="73">
        <f>'User Dashboard'!R59</f>
        <v>2.3909320778279231</v>
      </c>
      <c r="V17" s="73">
        <f>'User Dashboard'!S59</f>
        <v>2.4326234567979013</v>
      </c>
      <c r="W17" s="73">
        <f>'User Dashboard'!T59</f>
        <v>2.4753836757302472</v>
      </c>
      <c r="X17" s="73">
        <f>'User Dashboard'!U59</f>
        <v>2.5189576281237995</v>
      </c>
      <c r="Y17" s="73">
        <f>'User Dashboard'!V59</f>
        <v>2.5633239943711805</v>
      </c>
      <c r="Z17" s="73">
        <f>'User Dashboard'!W59</f>
        <v>2.6081877994275664</v>
      </c>
      <c r="AA17" s="73">
        <f>'User Dashboard'!X59</f>
        <v>2.653704465487027</v>
      </c>
      <c r="AB17" s="73">
        <f>'User Dashboard'!Y59</f>
        <v>2.69995830124159</v>
      </c>
      <c r="AC17" s="73">
        <f>'User Dashboard'!Z59</f>
        <v>2.7469725684238506</v>
      </c>
      <c r="AD17" s="73">
        <f>'User Dashboard'!AA59</f>
        <v>2.7946775891188329</v>
      </c>
      <c r="AE17" s="73">
        <f>'User Dashboard'!AB59</f>
        <v>2.8431814845251782</v>
      </c>
      <c r="AF17" s="73">
        <f>'User Dashboard'!AC59</f>
        <v>2.8924883200382205</v>
      </c>
      <c r="AG17" s="73">
        <f>'User Dashboard'!AD59</f>
        <v>2.9426558904576758</v>
      </c>
      <c r="AH17" s="73">
        <f>'User Dashboard'!AE59</f>
        <v>2.9936013874305329</v>
      </c>
      <c r="AI17" s="73">
        <f>'User Dashboard'!AF59</f>
        <v>3.045313574234636</v>
      </c>
      <c r="AJ17" s="73">
        <f>'User Dashboard'!AG59</f>
        <v>3.0956416528820361</v>
      </c>
      <c r="AK17" s="73">
        <f>'User Dashboard'!AH59</f>
        <v>3.1475563383647613</v>
      </c>
      <c r="AL17" s="73">
        <f>'User Dashboard'!AI59</f>
        <v>3.1997250390860419</v>
      </c>
      <c r="AM17" s="73">
        <f>'User Dashboard'!AJ59</f>
        <v>3.252229990025389</v>
      </c>
    </row>
    <row r="18" spans="2:39">
      <c r="B18" s="30" t="s">
        <v>55</v>
      </c>
      <c r="C18" s="73">
        <f ca="1">'User Dashboard'!C60</f>
        <v>1.908827771108859</v>
      </c>
      <c r="D18" s="73">
        <f t="shared" ref="D18:D28" ca="1" si="0">AVERAGE($C$17:$C$28)</f>
        <v>1.6009708089119892</v>
      </c>
      <c r="E18" s="137"/>
      <c r="G18" s="1" t="s">
        <v>55</v>
      </c>
      <c r="H18" s="73">
        <f>'User Dashboard'!E60</f>
        <v>1.8975095948080338</v>
      </c>
      <c r="I18" s="73">
        <f>'User Dashboard'!F60</f>
        <v>1.908827771108859</v>
      </c>
      <c r="J18" s="73">
        <f>'User Dashboard'!G60</f>
        <v>1.9567108672079785</v>
      </c>
      <c r="K18" s="73">
        <f>'User Dashboard'!H60</f>
        <v>1.9934320609337823</v>
      </c>
      <c r="L18" s="73">
        <f>'User Dashboard'!I60</f>
        <v>2.0292813719226093</v>
      </c>
      <c r="M18" s="73">
        <f>'User Dashboard'!J60</f>
        <v>2.0653757861311863</v>
      </c>
      <c r="N18" s="73">
        <f>'User Dashboard'!K60</f>
        <v>2.1019960307595342</v>
      </c>
      <c r="O18" s="73">
        <f>'User Dashboard'!L60</f>
        <v>2.1391295131820618</v>
      </c>
      <c r="P18" s="73">
        <f>'User Dashboard'!M60</f>
        <v>2.1766900047554181</v>
      </c>
      <c r="Q18" s="73">
        <f>'User Dashboard'!N60</f>
        <v>2.2149023521660434</v>
      </c>
      <c r="R18" s="73">
        <f>'User Dashboard'!O60</f>
        <v>2.2538950718495148</v>
      </c>
      <c r="S18" s="73">
        <f>'User Dashboard'!P60</f>
        <v>2.2934079184770924</v>
      </c>
      <c r="T18" s="73">
        <f>'User Dashboard'!Q60</f>
        <v>2.3337648180000561</v>
      </c>
      <c r="U18" s="73">
        <f>'User Dashboard'!R60</f>
        <v>2.3743314249806513</v>
      </c>
      <c r="V18" s="73">
        <f>'User Dashboard'!S60</f>
        <v>2.4157010382625428</v>
      </c>
      <c r="W18" s="73">
        <f>'User Dashboard'!T60</f>
        <v>2.4580984581321972</v>
      </c>
      <c r="X18" s="73">
        <f>'User Dashboard'!U60</f>
        <v>2.5012978081901593</v>
      </c>
      <c r="Y18" s="73">
        <f>'User Dashboard'!V60</f>
        <v>2.5452574492571616</v>
      </c>
      <c r="Z18" s="73">
        <f>'User Dashboard'!W60</f>
        <v>2.5897305726659474</v>
      </c>
      <c r="AA18" s="73">
        <f>'User Dashboard'!X60</f>
        <v>2.6348453455471619</v>
      </c>
      <c r="AB18" s="73">
        <f>'User Dashboard'!Y60</f>
        <v>2.6806886352984578</v>
      </c>
      <c r="AC18" s="73">
        <f>'User Dashboard'!Z60</f>
        <v>2.7272800658482916</v>
      </c>
      <c r="AD18" s="73">
        <f>'User Dashboard'!AA60</f>
        <v>2.7745563251575902</v>
      </c>
      <c r="AE18" s="73">
        <f>'User Dashboard'!AB60</f>
        <v>2.8226176503865066</v>
      </c>
      <c r="AF18" s="73">
        <f>'User Dashboard'!AC60</f>
        <v>2.8714744644758121</v>
      </c>
      <c r="AG18" s="73">
        <f>'User Dashboard'!AD60</f>
        <v>2.9211780624148656</v>
      </c>
      <c r="AH18" s="73">
        <f>'User Dashboard'!AE60</f>
        <v>2.971650694947078</v>
      </c>
      <c r="AI18" s="73">
        <f>'User Dashboard'!AF60</f>
        <v>3.0228785743463851</v>
      </c>
      <c r="AJ18" s="73">
        <f>'User Dashboard'!AG60</f>
        <v>3.0727627389983807</v>
      </c>
      <c r="AK18" s="73">
        <f>'User Dashboard'!AH60</f>
        <v>3.1242017183673134</v>
      </c>
      <c r="AL18" s="73">
        <f>'User Dashboard'!AI60</f>
        <v>3.1759098037840321</v>
      </c>
      <c r="AM18" s="73">
        <f>'User Dashboard'!AJ60</f>
        <v>3.2279462963479228</v>
      </c>
    </row>
    <row r="19" spans="2:39">
      <c r="B19" s="30" t="s">
        <v>57</v>
      </c>
      <c r="C19" s="73">
        <f ca="1">'User Dashboard'!C61</f>
        <v>1.8618901273947044</v>
      </c>
      <c r="D19" s="73">
        <f t="shared" ca="1" si="0"/>
        <v>1.6009708089119892</v>
      </c>
      <c r="E19" s="137"/>
      <c r="G19" s="1" t="s">
        <v>57</v>
      </c>
      <c r="H19" s="73">
        <f>'User Dashboard'!E61</f>
        <v>1.8491689892110146</v>
      </c>
      <c r="I19" s="73">
        <f>'User Dashboard'!F61</f>
        <v>1.8618901273947044</v>
      </c>
      <c r="J19" s="73">
        <f>'User Dashboard'!G61</f>
        <v>1.9084330296358267</v>
      </c>
      <c r="K19" s="73">
        <f>'User Dashboard'!H61</f>
        <v>1.9440146399357485</v>
      </c>
      <c r="L19" s="73">
        <f>'User Dashboard'!I61</f>
        <v>1.9788416673788802</v>
      </c>
      <c r="M19" s="73">
        <f>'User Dashboard'!J61</f>
        <v>2.013930721564166</v>
      </c>
      <c r="N19" s="73">
        <f>'User Dashboard'!K61</f>
        <v>2.0495141207516165</v>
      </c>
      <c r="O19" s="73">
        <f>'User Dashboard'!L61</f>
        <v>2.0855733399351379</v>
      </c>
      <c r="P19" s="73">
        <f>'User Dashboard'!M61</f>
        <v>2.1220483500217124</v>
      </c>
      <c r="Q19" s="73">
        <f>'User Dashboard'!N61</f>
        <v>2.1591544611153637</v>
      </c>
      <c r="R19" s="73">
        <f>'User Dashboard'!O61</f>
        <v>2.1969623208757407</v>
      </c>
      <c r="S19" s="73">
        <f>'User Dashboard'!P61</f>
        <v>2.235314661416024</v>
      </c>
      <c r="T19" s="73">
        <f>'User Dashboard'!Q61</f>
        <v>2.274389473134482</v>
      </c>
      <c r="U19" s="73">
        <f>'User Dashboard'!R61</f>
        <v>2.313728045332204</v>
      </c>
      <c r="V19" s="73">
        <f>'User Dashboard'!S61</f>
        <v>2.353844580620966</v>
      </c>
      <c r="W19" s="73">
        <f>'User Dashboard'!T61</f>
        <v>2.3949044545444043</v>
      </c>
      <c r="X19" s="73">
        <f>'User Dashboard'!U61</f>
        <v>2.4367223318413789</v>
      </c>
      <c r="Y19" s="73">
        <f>'User Dashboard'!V61</f>
        <v>2.4792412292444976</v>
      </c>
      <c r="Z19" s="73">
        <f>'User Dashboard'!W61</f>
        <v>2.5222731910055973</v>
      </c>
      <c r="AA19" s="73">
        <f>'User Dashboard'!X61</f>
        <v>2.5659143199437677</v>
      </c>
      <c r="AB19" s="73">
        <f>'User Dashboard'!Y61</f>
        <v>2.6102487523531828</v>
      </c>
      <c r="AC19" s="73">
        <f>'User Dashboard'!Z61</f>
        <v>2.6552919840656264</v>
      </c>
      <c r="AD19" s="73">
        <f>'User Dashboard'!AA61</f>
        <v>2.7009906959245527</v>
      </c>
      <c r="AE19" s="73">
        <f>'User Dashboard'!AB61</f>
        <v>2.7474322109131029</v>
      </c>
      <c r="AF19" s="73">
        <f>'User Dashboard'!AC61</f>
        <v>2.7946323900325716</v>
      </c>
      <c r="AG19" s="73">
        <f>'User Dashboard'!AD61</f>
        <v>2.8426338998598646</v>
      </c>
      <c r="AH19" s="73">
        <f>'User Dashboard'!AE61</f>
        <v>2.8913687334512321</v>
      </c>
      <c r="AI19" s="73">
        <f>'User Dashboard'!AF61</f>
        <v>2.9408220624857901</v>
      </c>
      <c r="AJ19" s="73">
        <f>'User Dashboard'!AG61</f>
        <v>2.9890717363710699</v>
      </c>
      <c r="AK19" s="73">
        <f>'User Dashboard'!AH61</f>
        <v>3.038772551072495</v>
      </c>
      <c r="AL19" s="73">
        <f>'User Dashboard'!AI61</f>
        <v>3.0887608626406076</v>
      </c>
      <c r="AM19" s="73">
        <f>'User Dashboard'!AJ61</f>
        <v>3.1390721396088717</v>
      </c>
    </row>
    <row r="20" spans="2:39">
      <c r="B20" s="30" t="s">
        <v>59</v>
      </c>
      <c r="C20" s="73">
        <f ca="1">'User Dashboard'!C62</f>
        <v>1.354372425102818</v>
      </c>
      <c r="D20" s="73">
        <f t="shared" ca="1" si="0"/>
        <v>1.6009708089119892</v>
      </c>
      <c r="E20" s="137"/>
      <c r="G20" s="1" t="s">
        <v>59</v>
      </c>
      <c r="H20" s="73">
        <f>'User Dashboard'!E62</f>
        <v>1.3403159669203677</v>
      </c>
      <c r="I20" s="73">
        <f>'User Dashboard'!F62</f>
        <v>1.354372425102818</v>
      </c>
      <c r="J20" s="73">
        <f>'User Dashboard'!G62</f>
        <v>1.3803461049263532</v>
      </c>
      <c r="K20" s="73">
        <f>'User Dashboard'!H62</f>
        <v>1.4053047938981207</v>
      </c>
      <c r="L20" s="73">
        <f>'User Dashboard'!I62</f>
        <v>1.429346010840933</v>
      </c>
      <c r="M20" s="73">
        <f>'User Dashboard'!J62</f>
        <v>1.4534560143610151</v>
      </c>
      <c r="N20" s="73">
        <f>'User Dashboard'!K62</f>
        <v>1.4778337060845663</v>
      </c>
      <c r="O20" s="73">
        <f>'User Dashboard'!L62</f>
        <v>1.5024494356245983</v>
      </c>
      <c r="P20" s="73">
        <f>'User Dashboard'!M62</f>
        <v>1.5272583149531178</v>
      </c>
      <c r="Q20" s="73">
        <f>'User Dashboard'!N62</f>
        <v>1.5524759609338576</v>
      </c>
      <c r="R20" s="73">
        <f>'User Dashboard'!O62</f>
        <v>1.5781204150806891</v>
      </c>
      <c r="S20" s="73">
        <f>'User Dashboard'!P62</f>
        <v>1.604112368826712</v>
      </c>
      <c r="T20" s="73">
        <f>'User Dashboard'!Q62</f>
        <v>1.6305043592458324</v>
      </c>
      <c r="U20" s="73">
        <f>'User Dashboard'!R62</f>
        <v>1.656961834441222</v>
      </c>
      <c r="V20" s="73">
        <f>'User Dashboard'!S62</f>
        <v>1.6839550393158027</v>
      </c>
      <c r="W20" s="73">
        <f>'User Dashboard'!T62</f>
        <v>1.7116008557694373</v>
      </c>
      <c r="X20" s="73">
        <f>'User Dashboard'!U62</f>
        <v>1.7397332593353796</v>
      </c>
      <c r="Y20" s="73">
        <f>'User Dashboard'!V62</f>
        <v>1.7682721960379726</v>
      </c>
      <c r="Z20" s="73">
        <f>'User Dashboard'!W62</f>
        <v>1.7970651580952639</v>
      </c>
      <c r="AA20" s="73">
        <f>'User Dashboard'!X62</f>
        <v>1.8261795973634927</v>
      </c>
      <c r="AB20" s="73">
        <f>'User Dashboard'!Y62</f>
        <v>1.8556965936405334</v>
      </c>
      <c r="AC20" s="73">
        <f>'User Dashboard'!Z62</f>
        <v>1.8856228416110805</v>
      </c>
      <c r="AD20" s="73">
        <f>'User Dashboard'!AA62</f>
        <v>1.9159044671557717</v>
      </c>
      <c r="AE20" s="73">
        <f>'User Dashboard'!AB62</f>
        <v>1.9466163859061876</v>
      </c>
      <c r="AF20" s="73">
        <f>'User Dashboard'!AC62</f>
        <v>1.9777739429985568</v>
      </c>
      <c r="AG20" s="73">
        <f>'User Dashboard'!AD62</f>
        <v>2.009408170764508</v>
      </c>
      <c r="AH20" s="73">
        <f>'User Dashboard'!AE62</f>
        <v>2.0414488374970703</v>
      </c>
      <c r="AI20" s="73">
        <f>'User Dashboard'!AF62</f>
        <v>2.0738724069636758</v>
      </c>
      <c r="AJ20" s="73">
        <f>'User Dashboard'!AG62</f>
        <v>2.1047870946344074</v>
      </c>
      <c r="AK20" s="73">
        <f>'User Dashboard'!AH62</f>
        <v>2.1367894631497899</v>
      </c>
      <c r="AL20" s="73">
        <f>'User Dashboard'!AI62</f>
        <v>2.1687447831199522</v>
      </c>
      <c r="AM20" s="73">
        <f>'User Dashboard'!AJ62</f>
        <v>2.2006618822588964</v>
      </c>
    </row>
    <row r="21" spans="2:39">
      <c r="B21" s="30" t="s">
        <v>60</v>
      </c>
      <c r="C21" s="73">
        <f ca="1">'User Dashboard'!C63</f>
        <v>1.3725625520213887</v>
      </c>
      <c r="D21" s="73">
        <f t="shared" ca="1" si="0"/>
        <v>1.6009708089119892</v>
      </c>
      <c r="E21" s="137"/>
      <c r="G21" s="1" t="s">
        <v>60</v>
      </c>
      <c r="H21" s="73">
        <f>'User Dashboard'!E63</f>
        <v>1.3570206744614886</v>
      </c>
      <c r="I21" s="73">
        <f>'User Dashboard'!F63</f>
        <v>1.3725625520213887</v>
      </c>
      <c r="J21" s="73">
        <f>'User Dashboard'!G63</f>
        <v>1.3988618881917925</v>
      </c>
      <c r="K21" s="73">
        <f>'User Dashboard'!H63</f>
        <v>1.4242044587399034</v>
      </c>
      <c r="L21" s="73">
        <f>'User Dashboard'!I63</f>
        <v>1.4486269147700104</v>
      </c>
      <c r="M21" s="73">
        <f>'User Dashboard'!J63</f>
        <v>1.4731405542322253</v>
      </c>
      <c r="N21" s="73">
        <f>'User Dashboard'!K63</f>
        <v>1.4979250169436829</v>
      </c>
      <c r="O21" s="73">
        <f>'User Dashboard'!L63</f>
        <v>1.522942174420375</v>
      </c>
      <c r="P21" s="73">
        <f>'User Dashboard'!M63</f>
        <v>1.5481646701008716</v>
      </c>
      <c r="Q21" s="73">
        <f>'User Dashboard'!N63</f>
        <v>1.5738243048997451</v>
      </c>
      <c r="R21" s="73">
        <f>'User Dashboard'!O63</f>
        <v>1.5998912132361585</v>
      </c>
      <c r="S21" s="73">
        <f>'User Dashboard'!P63</f>
        <v>1.6263659920085651</v>
      </c>
      <c r="T21" s="73">
        <f>'User Dashboard'!Q63</f>
        <v>1.6531811615710348</v>
      </c>
      <c r="U21" s="73">
        <f>'User Dashboard'!R63</f>
        <v>1.6801158876026623</v>
      </c>
      <c r="V21" s="73">
        <f>'User Dashboard'!S63</f>
        <v>1.707625391040708</v>
      </c>
      <c r="W21" s="73">
        <f>'User Dashboard'!T63</f>
        <v>1.7357884959593748</v>
      </c>
      <c r="X21" s="73">
        <f>'User Dashboard'!U63</f>
        <v>1.7644553714118563</v>
      </c>
      <c r="Y21" s="73">
        <f>'User Dashboard'!V63</f>
        <v>1.7935236539947645</v>
      </c>
      <c r="Z21" s="73">
        <f>'User Dashboard'!W63</f>
        <v>1.8228743660334281</v>
      </c>
      <c r="AA21" s="73">
        <f>'User Dashboard'!X63</f>
        <v>1.8525549207307197</v>
      </c>
      <c r="AB21" s="73">
        <f>'User Dashboard'!Y63</f>
        <v>1.8826532216788698</v>
      </c>
      <c r="AC21" s="73">
        <f>'User Dashboard'!Z63</f>
        <v>1.9131731584333149</v>
      </c>
      <c r="AD21" s="73">
        <f>'User Dashboard'!AA63</f>
        <v>1.9440633818321218</v>
      </c>
      <c r="AE21" s="73">
        <f>'User Dashboard'!AB63</f>
        <v>1.9753961436658076</v>
      </c>
      <c r="AF21" s="73">
        <f>'User Dashboard'!AC63</f>
        <v>2.0071932206165823</v>
      </c>
      <c r="AG21" s="73">
        <f>'User Dashboard'!AD63</f>
        <v>2.0394817112962365</v>
      </c>
      <c r="AH21" s="73">
        <f>'User Dashboard'!AE63</f>
        <v>2.0721918404008348</v>
      </c>
      <c r="AI21" s="73">
        <f>'User Dashboard'!AF63</f>
        <v>2.1052965083417305</v>
      </c>
      <c r="AJ21" s="73">
        <f>'User Dashboard'!AG63</f>
        <v>2.1368423282432936</v>
      </c>
      <c r="AK21" s="73">
        <f>'User Dashboard'!AH63</f>
        <v>2.1695095067019095</v>
      </c>
      <c r="AL21" s="73">
        <f>'User Dashboard'!AI63</f>
        <v>2.202140183243416</v>
      </c>
      <c r="AM21" s="73">
        <f>'User Dashboard'!AJ63</f>
        <v>2.2347236138668989</v>
      </c>
    </row>
    <row r="22" spans="2:39">
      <c r="B22" s="30" t="s">
        <v>61</v>
      </c>
      <c r="C22" s="73">
        <f ca="1">'User Dashboard'!C64</f>
        <v>1.3865864353962674</v>
      </c>
      <c r="D22" s="73">
        <f t="shared" ca="1" si="0"/>
        <v>1.6009708089119892</v>
      </c>
      <c r="E22" s="137"/>
      <c r="G22" s="1" t="s">
        <v>61</v>
      </c>
      <c r="H22" s="73">
        <f>'User Dashboard'!E64</f>
        <v>1.3695060896666167</v>
      </c>
      <c r="I22" s="73">
        <f>'User Dashboard'!F64</f>
        <v>1.3865864353962674</v>
      </c>
      <c r="J22" s="73">
        <f>'User Dashboard'!G64</f>
        <v>1.4130992948141379</v>
      </c>
      <c r="K22" s="73">
        <f>'User Dashboard'!H64</f>
        <v>1.4387266304744264</v>
      </c>
      <c r="L22" s="73">
        <f>'User Dashboard'!I64</f>
        <v>1.4634401125421437</v>
      </c>
      <c r="M22" s="73">
        <f>'User Dashboard'!J64</f>
        <v>1.48826765703881</v>
      </c>
      <c r="N22" s="73">
        <f>'User Dashboard'!K64</f>
        <v>1.5133666845403457</v>
      </c>
      <c r="O22" s="73">
        <f>'User Dashboard'!L64</f>
        <v>1.538690441545973</v>
      </c>
      <c r="P22" s="73">
        <f>'User Dashboard'!M64</f>
        <v>1.5642304532130944</v>
      </c>
      <c r="Q22" s="73">
        <f>'User Dashboard'!N64</f>
        <v>1.5902334181041464</v>
      </c>
      <c r="R22" s="73">
        <f>'User Dashboard'!O64</f>
        <v>1.6166189046762089</v>
      </c>
      <c r="S22" s="73">
        <f>'User Dashboard'!P64</f>
        <v>1.6434723350399545</v>
      </c>
      <c r="T22" s="73">
        <f>'User Dashboard'!Q64</f>
        <v>1.6705994795228376</v>
      </c>
      <c r="U22" s="73">
        <f>'User Dashboard'!R64</f>
        <v>1.6979024072756548</v>
      </c>
      <c r="V22" s="73">
        <f>'User Dashboard'!S64</f>
        <v>1.7258159036462182</v>
      </c>
      <c r="W22" s="73">
        <f>'User Dashboard'!T64</f>
        <v>1.754377612187632</v>
      </c>
      <c r="X22" s="73">
        <f>'User Dashboard'!U64</f>
        <v>1.7834563700456967</v>
      </c>
      <c r="Y22" s="73">
        <f>'User Dashboard'!V64</f>
        <v>1.8129271377979097</v>
      </c>
      <c r="Z22" s="73">
        <f>'User Dashboard'!W64</f>
        <v>1.8427077071209315</v>
      </c>
      <c r="AA22" s="73">
        <f>'User Dashboard'!X64</f>
        <v>1.8728237501337959</v>
      </c>
      <c r="AB22" s="73">
        <f>'User Dashboard'!Y64</f>
        <v>1.9033695487096005</v>
      </c>
      <c r="AC22" s="73">
        <f>'User Dashboard'!Z64</f>
        <v>1.9343459760318333</v>
      </c>
      <c r="AD22" s="73">
        <f>'User Dashboard'!AA64</f>
        <v>1.9657048695090364</v>
      </c>
      <c r="AE22" s="73">
        <f>'User Dashboard'!AB64</f>
        <v>1.9975149409532988</v>
      </c>
      <c r="AF22" s="73">
        <f>'User Dashboard'!AC64</f>
        <v>2.0298045804783373</v>
      </c>
      <c r="AG22" s="73">
        <f>'User Dashboard'!AD64</f>
        <v>2.0625964434741144</v>
      </c>
      <c r="AH22" s="73">
        <f>'User Dashboard'!AE64</f>
        <v>2.0958219267016123</v>
      </c>
      <c r="AI22" s="73">
        <f>'User Dashboard'!AF64</f>
        <v>2.1294504145839861</v>
      </c>
      <c r="AJ22" s="73">
        <f>'User Dashboard'!AG64</f>
        <v>2.1614823681417996</v>
      </c>
      <c r="AK22" s="73">
        <f>'User Dashboard'!AH64</f>
        <v>2.1946603847161317</v>
      </c>
      <c r="AL22" s="73">
        <f>'User Dashboard'!AI64</f>
        <v>2.2278134557993026</v>
      </c>
      <c r="AM22" s="73">
        <f>'User Dashboard'!AJ64</f>
        <v>2.2609101650779087</v>
      </c>
    </row>
    <row r="23" spans="2:39">
      <c r="B23" s="30" t="s">
        <v>62</v>
      </c>
      <c r="C23" s="73">
        <f ca="1">'User Dashboard'!C65</f>
        <v>1.3911073580479791</v>
      </c>
      <c r="D23" s="73">
        <f t="shared" ca="1" si="0"/>
        <v>1.6009708089119892</v>
      </c>
      <c r="E23" s="137"/>
      <c r="G23" s="1" t="s">
        <v>62</v>
      </c>
      <c r="H23" s="73">
        <f>'User Dashboard'!E65</f>
        <v>1.3725348579338905</v>
      </c>
      <c r="I23" s="73">
        <f>'User Dashboard'!F65</f>
        <v>1.3911073580479791</v>
      </c>
      <c r="J23" s="73">
        <f>'User Dashboard'!G65</f>
        <v>1.4175939451373907</v>
      </c>
      <c r="K23" s="73">
        <f>'User Dashboard'!H65</f>
        <v>1.4432847289082285</v>
      </c>
      <c r="L23" s="73">
        <f>'User Dashboard'!I65</f>
        <v>1.4680846977364663</v>
      </c>
      <c r="M23" s="73">
        <f>'User Dashboard'!J65</f>
        <v>1.4930203201586134</v>
      </c>
      <c r="N23" s="73">
        <f>'User Dashboard'!K65</f>
        <v>1.5182231869640335</v>
      </c>
      <c r="O23" s="73">
        <f>'User Dashboard'!L65</f>
        <v>1.5436384731677852</v>
      </c>
      <c r="P23" s="73">
        <f>'User Dashboard'!M65</f>
        <v>1.5692773826911499</v>
      </c>
      <c r="Q23" s="73">
        <f>'User Dashboard'!N65</f>
        <v>1.5953975477901436</v>
      </c>
      <c r="R23" s="73">
        <f>'User Dashboard'!O65</f>
        <v>1.621867705716062</v>
      </c>
      <c r="S23" s="73">
        <f>'User Dashboard'!P65</f>
        <v>1.6488594460278845</v>
      </c>
      <c r="T23" s="73">
        <f>'User Dashboard'!Q65</f>
        <v>1.6760509903500029</v>
      </c>
      <c r="U23" s="73">
        <f>'User Dashboard'!R65</f>
        <v>1.7034732745597227</v>
      </c>
      <c r="V23" s="73">
        <f>'User Dashboard'!S65</f>
        <v>1.7315320711797773</v>
      </c>
      <c r="W23" s="73">
        <f>'User Dashboard'!T65</f>
        <v>1.7602217576144055</v>
      </c>
      <c r="X23" s="73">
        <f>'User Dashboard'!U65</f>
        <v>1.7894328526915806</v>
      </c>
      <c r="Y23" s="73">
        <f>'User Dashboard'!V65</f>
        <v>1.8190191346857441</v>
      </c>
      <c r="Z23" s="73">
        <f>'User Dashboard'!W65</f>
        <v>1.8489379077077075</v>
      </c>
      <c r="AA23" s="73">
        <f>'User Dashboard'!X65</f>
        <v>1.8791918965939707</v>
      </c>
      <c r="AB23" s="73">
        <f>'User Dashboard'!Y65</f>
        <v>1.9098802699119393</v>
      </c>
      <c r="AC23" s="73">
        <f>'User Dashboard'!Z65</f>
        <v>1.9410007658572119</v>
      </c>
      <c r="AD23" s="73">
        <f>'User Dashboard'!AA65</f>
        <v>1.9725093899852144</v>
      </c>
      <c r="AE23" s="73">
        <f>'User Dashboard'!AB65</f>
        <v>2.0044699480380861</v>
      </c>
      <c r="AF23" s="73">
        <f>'User Dashboard'!AC65</f>
        <v>2.0369171543317215</v>
      </c>
      <c r="AG23" s="73">
        <f>'User Dashboard'!AD65</f>
        <v>2.0698686589746647</v>
      </c>
      <c r="AH23" s="73">
        <f>'User Dashboard'!AE65</f>
        <v>2.1032583142250907</v>
      </c>
      <c r="AI23" s="73">
        <f>'User Dashboard'!AF65</f>
        <v>2.1370524236371073</v>
      </c>
      <c r="AJ23" s="73">
        <f>'User Dashboard'!AG65</f>
        <v>2.1692399667442785</v>
      </c>
      <c r="AK23" s="73">
        <f>'User Dashboard'!AH65</f>
        <v>2.2025783458159589</v>
      </c>
      <c r="AL23" s="73">
        <f>'User Dashboard'!AI65</f>
        <v>2.2359041817883236</v>
      </c>
      <c r="AM23" s="73">
        <f>'User Dashboard'!AJ65</f>
        <v>2.2691652510335008</v>
      </c>
    </row>
    <row r="24" spans="2:39">
      <c r="B24" s="30" t="s">
        <v>63</v>
      </c>
      <c r="C24" s="73">
        <f ca="1">'User Dashboard'!C66</f>
        <v>1.3869705148427922</v>
      </c>
      <c r="D24" s="73">
        <f t="shared" ca="1" si="0"/>
        <v>1.6009708089119892</v>
      </c>
      <c r="E24" s="137"/>
      <c r="G24" s="1" t="s">
        <v>63</v>
      </c>
      <c r="H24" s="73">
        <f>'User Dashboard'!E66</f>
        <v>1.3670137512756524</v>
      </c>
      <c r="I24" s="73">
        <f>'User Dashboard'!F66</f>
        <v>1.3869705148427922</v>
      </c>
      <c r="J24" s="73">
        <f>'User Dashboard'!G66</f>
        <v>1.4132186335025994</v>
      </c>
      <c r="K24" s="73">
        <f>'User Dashboard'!H66</f>
        <v>1.4387731021236996</v>
      </c>
      <c r="L24" s="73">
        <f>'User Dashboard'!I66</f>
        <v>1.4634736937309671</v>
      </c>
      <c r="M24" s="73">
        <f>'User Dashboard'!J66</f>
        <v>1.4883294193249936</v>
      </c>
      <c r="N24" s="73">
        <f>'User Dashboard'!K66</f>
        <v>1.5134439815178429</v>
      </c>
      <c r="O24" s="73">
        <f>'User Dashboard'!L66</f>
        <v>1.5387553370697269</v>
      </c>
      <c r="P24" s="73">
        <f>'User Dashboard'!M66</f>
        <v>1.5642941984783592</v>
      </c>
      <c r="Q24" s="73">
        <f>'User Dashboard'!N66</f>
        <v>1.5903251159646454</v>
      </c>
      <c r="R24" s="73">
        <f>'User Dashboard'!O66</f>
        <v>1.6166680310888082</v>
      </c>
      <c r="S24" s="73">
        <f>'User Dashboard'!P66</f>
        <v>1.6435780445567989</v>
      </c>
      <c r="T24" s="73">
        <f>'User Dashboard'!Q66</f>
        <v>1.6706108184829835</v>
      </c>
      <c r="U24" s="73">
        <f>'User Dashboard'!R66</f>
        <v>1.6979257028215686</v>
      </c>
      <c r="V24" s="73">
        <f>'User Dashboard'!S66</f>
        <v>1.7258931217600755</v>
      </c>
      <c r="W24" s="73">
        <f>'User Dashboard'!T66</f>
        <v>1.7544642642256525</v>
      </c>
      <c r="X24" s="73">
        <f>'User Dashboard'!U66</f>
        <v>1.7835530433169791</v>
      </c>
      <c r="Y24" s="73">
        <f>'User Dashboard'!V66</f>
        <v>1.812994330702244</v>
      </c>
      <c r="Z24" s="73">
        <f>'User Dashboard'!W66</f>
        <v>1.8427856180030662</v>
      </c>
      <c r="AA24" s="73">
        <f>'User Dashboard'!X66</f>
        <v>1.8729066349583725</v>
      </c>
      <c r="AB24" s="73">
        <f>'User Dashboard'!Y66</f>
        <v>1.9034598912408358</v>
      </c>
      <c r="AC24" s="73">
        <f>'User Dashboard'!Z66</f>
        <v>1.9344400246090117</v>
      </c>
      <c r="AD24" s="73">
        <f>'User Dashboard'!AA66</f>
        <v>1.9658078959072784</v>
      </c>
      <c r="AE24" s="73">
        <f>'User Dashboard'!AB66</f>
        <v>1.9976214085002022</v>
      </c>
      <c r="AF24" s="73">
        <f>'User Dashboard'!AC66</f>
        <v>2.0299210609356249</v>
      </c>
      <c r="AG24" s="73">
        <f>'User Dashboard'!AD66</f>
        <v>2.0627192215943468</v>
      </c>
      <c r="AH24" s="73">
        <f>'User Dashboard'!AE66</f>
        <v>2.0959532304995587</v>
      </c>
      <c r="AI24" s="73">
        <f>'User Dashboard'!AF66</f>
        <v>2.1295868351823111</v>
      </c>
      <c r="AJ24" s="73">
        <f>'User Dashboard'!AG66</f>
        <v>2.1616288966918109</v>
      </c>
      <c r="AK24" s="73">
        <f>'User Dashboard'!AH66</f>
        <v>2.194808618759021</v>
      </c>
      <c r="AL24" s="73">
        <f>'User Dashboard'!AI66</f>
        <v>2.2279883986252784</v>
      </c>
      <c r="AM24" s="73">
        <f>'User Dashboard'!AJ66</f>
        <v>2.2610960150540427</v>
      </c>
    </row>
    <row r="25" spans="2:39">
      <c r="B25" s="30" t="s">
        <v>64</v>
      </c>
      <c r="C25" s="73">
        <f ca="1">'User Dashboard'!C67</f>
        <v>1.3948746054157883</v>
      </c>
      <c r="D25" s="73">
        <f t="shared" ca="1" si="0"/>
        <v>1.6009708089119892</v>
      </c>
      <c r="E25" s="137"/>
      <c r="G25" s="1" t="s">
        <v>64</v>
      </c>
      <c r="H25" s="73">
        <f>'User Dashboard'!E67</f>
        <v>1.3733425464774891</v>
      </c>
      <c r="I25" s="73">
        <f>'User Dashboard'!F67</f>
        <v>1.3948746054157883</v>
      </c>
      <c r="J25" s="73">
        <f>'User Dashboard'!G67</f>
        <v>1.4211754585194607</v>
      </c>
      <c r="K25" s="73">
        <f>'User Dashboard'!H67</f>
        <v>1.446870269764488</v>
      </c>
      <c r="L25" s="73">
        <f>'User Dashboard'!I67</f>
        <v>1.4717296759879224</v>
      </c>
      <c r="M25" s="73">
        <f>'User Dashboard'!J67</f>
        <v>1.4967672169749258</v>
      </c>
      <c r="N25" s="73">
        <f>'User Dashboard'!K67</f>
        <v>1.5220608019946551</v>
      </c>
      <c r="O25" s="73">
        <f>'User Dashboard'!L67</f>
        <v>1.5475397652511513</v>
      </c>
      <c r="P25" s="73">
        <f>'User Dashboard'!M67</f>
        <v>1.5732551236407699</v>
      </c>
      <c r="Q25" s="73">
        <f>'User Dashboard'!N67</f>
        <v>1.5994841825086934</v>
      </c>
      <c r="R25" s="73">
        <f>'User Dashboard'!O67</f>
        <v>1.6259938363201574</v>
      </c>
      <c r="S25" s="73">
        <f>'User Dashboard'!P67</f>
        <v>1.6531288110097275</v>
      </c>
      <c r="T25" s="73">
        <f>'User Dashboard'!Q67</f>
        <v>1.680311704264978</v>
      </c>
      <c r="U25" s="73">
        <f>'User Dashboard'!R67</f>
        <v>1.7078345809909719</v>
      </c>
      <c r="V25" s="73">
        <f>'User Dashboard'!S67</f>
        <v>1.7360404057544088</v>
      </c>
      <c r="W25" s="73">
        <f>'User Dashboard'!T67</f>
        <v>1.7648358372452515</v>
      </c>
      <c r="X25" s="73">
        <f>'User Dashboard'!U67</f>
        <v>1.7941564453804837</v>
      </c>
      <c r="Y25" s="73">
        <f>'User Dashboard'!V67</f>
        <v>1.8238144595939829</v>
      </c>
      <c r="Z25" s="73">
        <f>'User Dashboard'!W67</f>
        <v>1.8538477579618364</v>
      </c>
      <c r="AA25" s="73">
        <f>'User Dashboard'!X67</f>
        <v>1.8842124859552594</v>
      </c>
      <c r="AB25" s="73">
        <f>'User Dashboard'!Y67</f>
        <v>1.915016760345861</v>
      </c>
      <c r="AC25" s="73">
        <f>'User Dashboard'!Z67</f>
        <v>1.9462519814396868</v>
      </c>
      <c r="AD25" s="73">
        <f>'User Dashboard'!AA67</f>
        <v>1.9778830389232918</v>
      </c>
      <c r="AE25" s="73">
        <f>'User Dashboard'!AB67</f>
        <v>2.0099631645381844</v>
      </c>
      <c r="AF25" s="73">
        <f>'User Dashboard'!AC67</f>
        <v>2.0425395644933397</v>
      </c>
      <c r="AG25" s="73">
        <f>'User Dashboard'!AD67</f>
        <v>2.0756195629342313</v>
      </c>
      <c r="AH25" s="73">
        <f>'User Dashboard'!AE67</f>
        <v>2.1091426374744584</v>
      </c>
      <c r="AI25" s="73">
        <f>'User Dashboard'!AF67</f>
        <v>2.1430691695723199</v>
      </c>
      <c r="AJ25" s="73">
        <f>'User Dashboard'!AG67</f>
        <v>2.1753844228998598</v>
      </c>
      <c r="AK25" s="73">
        <f>'User Dashboard'!AH67</f>
        <v>2.2088489920815566</v>
      </c>
      <c r="AL25" s="73">
        <f>'User Dashboard'!AI67</f>
        <v>2.242326300829685</v>
      </c>
      <c r="AM25" s="73">
        <f>'User Dashboard'!AJ67</f>
        <v>2.275722422376397</v>
      </c>
    </row>
    <row r="26" spans="2:39">
      <c r="B26" s="30" t="s">
        <v>65</v>
      </c>
      <c r="C26" s="73">
        <f ca="1">'User Dashboard'!C68</f>
        <v>1.3918063240629635</v>
      </c>
      <c r="D26" s="73">
        <f t="shared" ca="1" si="0"/>
        <v>1.6009708089119892</v>
      </c>
      <c r="E26" s="137"/>
      <c r="G26" s="1" t="s">
        <v>65</v>
      </c>
      <c r="H26" s="73">
        <f>'User Dashboard'!E68</f>
        <v>1.3688813784218827</v>
      </c>
      <c r="I26" s="73">
        <f>'User Dashboard'!F68</f>
        <v>1.3918063240629635</v>
      </c>
      <c r="J26" s="73">
        <f>'User Dashboard'!G68</f>
        <v>1.4178953465104402</v>
      </c>
      <c r="K26" s="73">
        <f>'User Dashboard'!H68</f>
        <v>1.4434786314217107</v>
      </c>
      <c r="L26" s="73">
        <f>'User Dashboard'!I68</f>
        <v>1.468261634735301</v>
      </c>
      <c r="M26" s="73">
        <f>'User Dashboard'!J68</f>
        <v>1.4932424467544778</v>
      </c>
      <c r="N26" s="73">
        <f>'User Dashboard'!K68</f>
        <v>1.518471430559208</v>
      </c>
      <c r="O26" s="73">
        <f>'User Dashboard'!L68</f>
        <v>1.5438706217161884</v>
      </c>
      <c r="P26" s="73">
        <f>'User Dashboard'!M68</f>
        <v>1.5695105026743987</v>
      </c>
      <c r="Q26" s="73">
        <f>'User Dashboard'!N68</f>
        <v>1.5956757634920422</v>
      </c>
      <c r="R26" s="73">
        <f>'User Dashboard'!O68</f>
        <v>1.6220844143808399</v>
      </c>
      <c r="S26" s="73">
        <f>'User Dashboard'!P68</f>
        <v>1.6491647431682162</v>
      </c>
      <c r="T26" s="73">
        <f>'User Dashboard'!Q68</f>
        <v>1.6762165806261158</v>
      </c>
      <c r="U26" s="73">
        <f>'User Dashboard'!R68</f>
        <v>1.7036600411806873</v>
      </c>
      <c r="V26" s="73">
        <f>'User Dashboard'!S68</f>
        <v>1.7318036286471785</v>
      </c>
      <c r="W26" s="73">
        <f>'User Dashboard'!T68</f>
        <v>1.7605109449330425</v>
      </c>
      <c r="X26" s="73">
        <f>'User Dashboard'!U68</f>
        <v>1.7897406690656754</v>
      </c>
      <c r="Y26" s="73">
        <f>'User Dashboard'!V68</f>
        <v>1.8192859083503117</v>
      </c>
      <c r="Z26" s="73">
        <f>'User Dashboard'!W68</f>
        <v>1.8492245147574036</v>
      </c>
      <c r="AA26" s="73">
        <f>'User Dashboard'!X68</f>
        <v>1.8794897196458666</v>
      </c>
      <c r="AB26" s="73">
        <f>'User Dashboard'!Y68</f>
        <v>1.910193158318763</v>
      </c>
      <c r="AC26" s="73">
        <f>'User Dashboard'!Z68</f>
        <v>1.9413231365683548</v>
      </c>
      <c r="AD26" s="73">
        <f>'User Dashboard'!AA68</f>
        <v>1.9728492997652807</v>
      </c>
      <c r="AE26" s="73">
        <f>'User Dashboard'!AB68</f>
        <v>2.0048191179758175</v>
      </c>
      <c r="AF26" s="73">
        <f>'User Dashboard'!AC68</f>
        <v>2.0372856285364782</v>
      </c>
      <c r="AG26" s="73">
        <f>'User Dashboard'!AD68</f>
        <v>2.0702509248160199</v>
      </c>
      <c r="AH26" s="73">
        <f>'User Dashboard'!AE68</f>
        <v>2.103657835000643</v>
      </c>
      <c r="AI26" s="73">
        <f>'User Dashboard'!AF68</f>
        <v>2.1374641289217804</v>
      </c>
      <c r="AJ26" s="73">
        <f>'User Dashboard'!AG68</f>
        <v>2.1696710648701365</v>
      </c>
      <c r="AK26" s="73">
        <f>'User Dashboard'!AH68</f>
        <v>2.2030163715268358</v>
      </c>
      <c r="AL26" s="73">
        <f>'User Dashboard'!AI68</f>
        <v>2.2363869532726977</v>
      </c>
      <c r="AM26" s="73">
        <f>'User Dashboard'!AJ68</f>
        <v>2.2696688524212911</v>
      </c>
    </row>
    <row r="27" spans="2:39">
      <c r="B27" s="30" t="s">
        <v>66</v>
      </c>
      <c r="C27" s="73">
        <f ca="1">'User Dashboard'!C69</f>
        <v>1.9181294544627305</v>
      </c>
      <c r="D27" s="73">
        <f t="shared" ca="1" si="0"/>
        <v>1.6009708089119892</v>
      </c>
      <c r="E27" s="137"/>
      <c r="G27" s="1" t="s">
        <v>66</v>
      </c>
      <c r="H27" s="73">
        <f>'User Dashboard'!E69</f>
        <v>1.8931246536767912</v>
      </c>
      <c r="I27" s="73">
        <f>'User Dashboard'!F69</f>
        <v>1.9181294544627305</v>
      </c>
      <c r="J27" s="73">
        <f>'User Dashboard'!G69</f>
        <v>1.9649449348031083</v>
      </c>
      <c r="K27" s="73">
        <f>'User Dashboard'!H69</f>
        <v>2.0014945154265789</v>
      </c>
      <c r="L27" s="73">
        <f>'User Dashboard'!I69</f>
        <v>2.0374436305586534</v>
      </c>
      <c r="M27" s="73">
        <f>'User Dashboard'!J69</f>
        <v>2.0738337694472206</v>
      </c>
      <c r="N27" s="73">
        <f>'User Dashboard'!K69</f>
        <v>2.1106935797664397</v>
      </c>
      <c r="O27" s="73">
        <f>'User Dashboard'!L69</f>
        <v>2.1479374750821139</v>
      </c>
      <c r="P27" s="73">
        <f>'User Dashboard'!M69</f>
        <v>2.1856645648068307</v>
      </c>
      <c r="Q27" s="73">
        <f>'User Dashboard'!N69</f>
        <v>2.2241875312123263</v>
      </c>
      <c r="R27" s="73">
        <f>'User Dashboard'!O69</f>
        <v>2.263162315413572</v>
      </c>
      <c r="S27" s="73">
        <f>'User Dashboard'!P69</f>
        <v>2.3031328333812109</v>
      </c>
      <c r="T27" s="73">
        <f>'User Dashboard'!Q69</f>
        <v>2.3432367394830069</v>
      </c>
      <c r="U27" s="73">
        <f>'User Dashboard'!R69</f>
        <v>2.3840559331012212</v>
      </c>
      <c r="V27" s="73">
        <f>'User Dashboard'!S69</f>
        <v>2.4258850346526408</v>
      </c>
      <c r="W27" s="73">
        <f>'User Dashboard'!T69</f>
        <v>2.4685402114052843</v>
      </c>
      <c r="X27" s="73">
        <f>'User Dashboard'!U69</f>
        <v>2.5120071252364342</v>
      </c>
      <c r="Y27" s="73">
        <f>'User Dashboard'!V69</f>
        <v>2.5560527175993588</v>
      </c>
      <c r="Z27" s="73">
        <f>'User Dashboard'!W69</f>
        <v>2.6008062407624051</v>
      </c>
      <c r="AA27" s="73">
        <f>'User Dashboard'!X69</f>
        <v>2.6461787894567053</v>
      </c>
      <c r="AB27" s="73">
        <f>'User Dashboard'!Y69</f>
        <v>2.6922974503933417</v>
      </c>
      <c r="AC27" s="73">
        <f>'User Dashboard'!Z69</f>
        <v>2.7391523503548258</v>
      </c>
      <c r="AD27" s="73">
        <f>'User Dashboard'!AA69</f>
        <v>2.786722225916626</v>
      </c>
      <c r="AE27" s="73">
        <f>'User Dashboard'!AB69</f>
        <v>2.8350570973893108</v>
      </c>
      <c r="AF27" s="73">
        <f>'User Dashboard'!AC69</f>
        <v>2.8842250764800981</v>
      </c>
      <c r="AG27" s="73">
        <f>'User Dashboard'!AD69</f>
        <v>2.9342290830498472</v>
      </c>
      <c r="AH27" s="73">
        <f>'User Dashboard'!AE69</f>
        <v>2.9850185617828258</v>
      </c>
      <c r="AI27" s="73">
        <f>'User Dashboard'!AF69</f>
        <v>3.0365526323720085</v>
      </c>
      <c r="AJ27" s="73">
        <f>'User Dashboard'!AG69</f>
        <v>3.0867449094741573</v>
      </c>
      <c r="AK27" s="73">
        <f>'User Dashboard'!AH69</f>
        <v>3.1384678135246364</v>
      </c>
      <c r="AL27" s="73">
        <f>'User Dashboard'!AI69</f>
        <v>3.1905778121077137</v>
      </c>
      <c r="AM27" s="73">
        <f>'User Dashboard'!AJ69</f>
        <v>3.2429406709114343</v>
      </c>
    </row>
    <row r="28" spans="2:39">
      <c r="B28" s="30" t="s">
        <v>67</v>
      </c>
      <c r="C28" s="73">
        <f ca="1">'User Dashboard'!C70</f>
        <v>1.9229842048927597</v>
      </c>
      <c r="D28" s="73">
        <f t="shared" ca="1" si="0"/>
        <v>1.6009708089119892</v>
      </c>
      <c r="E28" s="137"/>
      <c r="G28" s="1" t="s">
        <v>67</v>
      </c>
      <c r="H28" s="73">
        <f>'User Dashboard'!E70</f>
        <v>1.8963377555425818</v>
      </c>
      <c r="I28" s="73">
        <f>'User Dashboard'!F70</f>
        <v>1.9229842048927597</v>
      </c>
      <c r="J28" s="73">
        <f>'User Dashboard'!G70</f>
        <v>1.9697677197744223</v>
      </c>
      <c r="K28" s="73">
        <f>'User Dashboard'!H70</f>
        <v>2.0063843146887925</v>
      </c>
      <c r="L28" s="73">
        <f>'User Dashboard'!I70</f>
        <v>2.0424260134692602</v>
      </c>
      <c r="M28" s="73">
        <f>'User Dashboard'!J70</f>
        <v>2.0789324824630322</v>
      </c>
      <c r="N28" s="73">
        <f>'User Dashboard'!K70</f>
        <v>2.1159038956223886</v>
      </c>
      <c r="O28" s="73">
        <f>'User Dashboard'!L70</f>
        <v>2.1532457902275528</v>
      </c>
      <c r="P28" s="73">
        <f>'User Dashboard'!M70</f>
        <v>2.1910789439176122</v>
      </c>
      <c r="Q28" s="73">
        <f>'User Dashboard'!N70</f>
        <v>2.2297280219586026</v>
      </c>
      <c r="R28" s="73">
        <f>'User Dashboard'!O70</f>
        <v>2.2687930181980729</v>
      </c>
      <c r="S28" s="73">
        <f>'User Dashboard'!P70</f>
        <v>2.30891269999591</v>
      </c>
      <c r="T28" s="73">
        <f>'User Dashboard'!Q70</f>
        <v>2.349084333795421</v>
      </c>
      <c r="U28" s="73">
        <f>'User Dashboard'!R70</f>
        <v>2.3900317231981596</v>
      </c>
      <c r="V28" s="73">
        <f>'User Dashboard'!S70</f>
        <v>2.4320174485202797</v>
      </c>
      <c r="W28" s="73">
        <f>'User Dashboard'!T70</f>
        <v>2.4748100325668685</v>
      </c>
      <c r="X28" s="73">
        <f>'User Dashboard'!U70</f>
        <v>2.5184190380151481</v>
      </c>
      <c r="Y28" s="73">
        <f>'User Dashboard'!V70</f>
        <v>2.5625881124666936</v>
      </c>
      <c r="Z28" s="73">
        <f>'User Dashboard'!W70</f>
        <v>2.607490029747165</v>
      </c>
      <c r="AA28" s="73">
        <f>'User Dashboard'!X70</f>
        <v>2.6530106138843519</v>
      </c>
      <c r="AB28" s="73">
        <f>'User Dashboard'!Y70</f>
        <v>2.6992823108199211</v>
      </c>
      <c r="AC28" s="73">
        <f>'User Dashboard'!Z70</f>
        <v>2.7462917955171964</v>
      </c>
      <c r="AD28" s="73">
        <f>'User Dashboard'!AA70</f>
        <v>2.7940224044250339</v>
      </c>
      <c r="AE28" s="73">
        <f>'User Dashboard'!AB70</f>
        <v>2.8425187409443176</v>
      </c>
      <c r="AF28" s="73">
        <f>'User Dashboard'!AC70</f>
        <v>2.891855873403725</v>
      </c>
      <c r="AG28" s="73">
        <f>'User Dashboard'!AD70</f>
        <v>2.9420312057927891</v>
      </c>
      <c r="AH28" s="73">
        <f>'User Dashboard'!AE70</f>
        <v>2.9929969015984499</v>
      </c>
      <c r="AI28" s="73">
        <f>'User Dashboard'!AF70</f>
        <v>3.0447086953011695</v>
      </c>
      <c r="AJ28" s="73">
        <f>'User Dashboard'!AG70</f>
        <v>3.0950680063140288</v>
      </c>
      <c r="AK28" s="73">
        <f>'User Dashboard'!AH70</f>
        <v>3.1469629437308591</v>
      </c>
      <c r="AL28" s="73">
        <f>'User Dashboard'!AI70</f>
        <v>3.1992586362874995</v>
      </c>
      <c r="AM28" s="73">
        <f>'User Dashboard'!AJ70</f>
        <v>3.2517979478057497</v>
      </c>
    </row>
    <row r="29" spans="2:39">
      <c r="C29" s="134"/>
    </row>
    <row r="30" spans="2:39">
      <c r="C30" s="134"/>
    </row>
    <row r="31" spans="2:39">
      <c r="C31" s="134"/>
    </row>
    <row r="32" spans="2:39">
      <c r="C32" s="134"/>
    </row>
    <row r="33" spans="3:3">
      <c r="C33" s="134"/>
    </row>
    <row r="34" spans="3:3">
      <c r="C34" s="134"/>
    </row>
    <row r="35" spans="3:3">
      <c r="C35" s="134"/>
    </row>
    <row r="51" spans="2:2">
      <c r="B51" s="140" t="s">
        <v>88</v>
      </c>
    </row>
    <row r="52" spans="2:2">
      <c r="B52" s="140" t="str">
        <f>C15&amp;": "&amp;C5&amp;", "&amp;C6&amp;", "&amp;C7&amp;", "&amp;C8</f>
        <v>Levelized Gas Avoided Costs: SDG&amp;E, Total Core, Small Boiler (&lt;100MMBtu/Hr), Uncontrolled</v>
      </c>
    </row>
    <row r="53" spans="2:2">
      <c r="B53" s="140" t="str">
        <f>H15&amp;": "&amp;C5&amp;", "&amp;C6&amp;", "&amp;C7&amp;", "&amp;C8</f>
        <v>Monthly Gas Avoided Costs: SDG&amp;E, Total Core, Small Boiler (&lt;100MMBtu/Hr), Uncontrolled</v>
      </c>
    </row>
  </sheetData>
  <phoneticPr fontId="6"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5"/>
  </sheetPr>
  <dimension ref="A2:AJ231"/>
  <sheetViews>
    <sheetView workbookViewId="0"/>
  </sheetViews>
  <sheetFormatPr baseColWidth="10" defaultColWidth="9" defaultRowHeight="15"/>
  <cols>
    <col min="1" max="1" width="7.796875" style="1" customWidth="1"/>
    <col min="2" max="2" width="41.796875" style="1" bestFit="1" customWidth="1"/>
    <col min="3" max="3" width="24.19921875" style="1" customWidth="1"/>
    <col min="4" max="20" width="9.59765625" style="1" customWidth="1"/>
    <col min="21" max="21" width="11.3984375" style="1" bestFit="1" customWidth="1"/>
    <col min="22" max="23" width="9.59765625" style="1" customWidth="1"/>
    <col min="24" max="16384" width="9" style="1"/>
  </cols>
  <sheetData>
    <row r="2" spans="1:36" s="37" customFormat="1">
      <c r="A2" s="59"/>
      <c r="B2" s="59" t="s">
        <v>89</v>
      </c>
      <c r="C2" s="59"/>
      <c r="D2" s="59"/>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spans="1:36">
      <c r="A3" s="126"/>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8"/>
    </row>
    <row r="4" spans="1:36">
      <c r="B4" s="127" t="s">
        <v>90</v>
      </c>
      <c r="C4" s="173">
        <f>'User Dashboard'!E$58</f>
        <v>2023</v>
      </c>
      <c r="D4" s="173">
        <f>'User Dashboard'!F$58</f>
        <v>2024</v>
      </c>
      <c r="E4" s="173">
        <f>'User Dashboard'!G$58</f>
        <v>2025</v>
      </c>
      <c r="F4" s="173">
        <f>'User Dashboard'!H$58</f>
        <v>2026</v>
      </c>
      <c r="G4" s="173">
        <f>'User Dashboard'!I$58</f>
        <v>2027</v>
      </c>
      <c r="H4" s="173">
        <f>'User Dashboard'!J$58</f>
        <v>2028</v>
      </c>
      <c r="I4" s="173">
        <f>'User Dashboard'!K$58</f>
        <v>2029</v>
      </c>
      <c r="J4" s="173">
        <f>'User Dashboard'!L$58</f>
        <v>2030</v>
      </c>
      <c r="K4" s="173">
        <f>'User Dashboard'!M$58</f>
        <v>2031</v>
      </c>
      <c r="L4" s="173">
        <f>'User Dashboard'!N$58</f>
        <v>2032</v>
      </c>
      <c r="M4" s="173">
        <f>'User Dashboard'!O$58</f>
        <v>2033</v>
      </c>
      <c r="N4" s="173">
        <f>'User Dashboard'!P$58</f>
        <v>2034</v>
      </c>
      <c r="O4" s="173">
        <f>'User Dashboard'!Q$58</f>
        <v>2035</v>
      </c>
      <c r="P4" s="173">
        <f>'User Dashboard'!R$58</f>
        <v>2036</v>
      </c>
      <c r="Q4" s="173">
        <f>'User Dashboard'!S$58</f>
        <v>2037</v>
      </c>
      <c r="R4" s="173">
        <f>'User Dashboard'!T$58</f>
        <v>2038</v>
      </c>
      <c r="S4" s="173">
        <f>'User Dashboard'!U$58</f>
        <v>2039</v>
      </c>
      <c r="T4" s="173">
        <f>'User Dashboard'!V$58</f>
        <v>2040</v>
      </c>
      <c r="U4" s="173">
        <f>'User Dashboard'!W$58</f>
        <v>2041</v>
      </c>
      <c r="V4" s="173">
        <f>'User Dashboard'!X$58</f>
        <v>2042</v>
      </c>
      <c r="W4" s="173">
        <f>'User Dashboard'!Y$58</f>
        <v>2043</v>
      </c>
      <c r="X4" s="173">
        <f>'User Dashboard'!Z$58</f>
        <v>2044</v>
      </c>
      <c r="Y4" s="173">
        <f>'User Dashboard'!AA$58</f>
        <v>2045</v>
      </c>
      <c r="Z4" s="173">
        <f>'User Dashboard'!AB$58</f>
        <v>2046</v>
      </c>
      <c r="AA4" s="173">
        <f>'User Dashboard'!AC$58</f>
        <v>2047</v>
      </c>
      <c r="AB4" s="173">
        <f>'User Dashboard'!AD$58</f>
        <v>2048</v>
      </c>
      <c r="AC4" s="173">
        <f>'User Dashboard'!AE$58</f>
        <v>2049</v>
      </c>
      <c r="AD4" s="173">
        <f>'User Dashboard'!AF$58</f>
        <v>2050</v>
      </c>
      <c r="AE4" s="173">
        <f>'User Dashboard'!AG$58</f>
        <v>2051</v>
      </c>
      <c r="AF4" s="173">
        <f>'User Dashboard'!AH$58</f>
        <v>2052</v>
      </c>
      <c r="AG4" s="173">
        <f>'User Dashboard'!AI$58</f>
        <v>2053</v>
      </c>
      <c r="AH4" s="173">
        <f>'User Dashboard'!AJ$58</f>
        <v>2054</v>
      </c>
    </row>
    <row r="5" spans="1:36">
      <c r="A5" s="125"/>
      <c r="B5" s="128">
        <v>36526</v>
      </c>
      <c r="C5" s="161">
        <f>'IEPR Gas Prices Nominal'!T6</f>
        <v>5.8063147785339497</v>
      </c>
      <c r="D5" s="175">
        <f>'IEPR Gas Prices Nominal'!U6</f>
        <v>5.788016769126668</v>
      </c>
      <c r="E5" s="175">
        <f>'IEPR Gas Prices Nominal'!V6</f>
        <v>5.9385102613722198</v>
      </c>
      <c r="F5" s="175">
        <f>'IEPR Gas Prices Nominal'!W6</f>
        <v>6.0746325526661664</v>
      </c>
      <c r="G5" s="175">
        <f>'IEPR Gas Prices Nominal'!X6</f>
        <v>6.1995546322925463</v>
      </c>
      <c r="H5" s="175">
        <f>'IEPR Gas Prices Nominal'!Y6</f>
        <v>6.3245974535768141</v>
      </c>
      <c r="I5" s="175">
        <f>'IEPR Gas Prices Nominal'!Z6</f>
        <v>6.4528315606249516</v>
      </c>
      <c r="J5" s="175">
        <f>'IEPR Gas Prices Nominal'!AA6</f>
        <v>6.5841668175389119</v>
      </c>
      <c r="K5" s="175">
        <f>'IEPR Gas Prices Nominal'!AB6</f>
        <v>6.7174832403603171</v>
      </c>
      <c r="L5" s="175">
        <f>'IEPR Gas Prices Nominal'!AC6</f>
        <v>6.854908949297239</v>
      </c>
      <c r="M5" s="175">
        <f>'IEPR Gas Prices Nominal'!AD6</f>
        <v>6.9982175105484439</v>
      </c>
      <c r="N5" s="175">
        <f>'IEPR Gas Prices Nominal'!AE6</f>
        <v>7.1438453349741584</v>
      </c>
      <c r="O5" s="175">
        <f>'IEPR Gas Prices Nominal'!AF6</f>
        <v>7.2963258389387429</v>
      </c>
      <c r="P5" s="175">
        <f>'IEPR Gas Prices Nominal'!AG6</f>
        <v>7.447860569300417</v>
      </c>
      <c r="Q5" s="175">
        <f>'IEPR Gas Prices Nominal'!AH6</f>
        <v>7.6047205989429711</v>
      </c>
      <c r="R5" s="175">
        <f>'IEPR Gas Prices Nominal'!AI6</f>
        <v>7.7695763240344142</v>
      </c>
      <c r="S5" s="175">
        <f>'IEPR Gas Prices Nominal'!AJ6</f>
        <v>7.9398609987164273</v>
      </c>
      <c r="T5" s="175">
        <f>'IEPR Gas Prices Nominal'!AK6</f>
        <v>8.1153124497460052</v>
      </c>
      <c r="U5" s="175">
        <f>'IEPR Gas Prices Nominal'!AL6</f>
        <v>8.2929686938937266</v>
      </c>
      <c r="V5" s="175">
        <f>'IEPR Gas Prices Nominal'!AM6</f>
        <v>8.4743084761135705</v>
      </c>
      <c r="W5" s="175">
        <f>'IEPR Gas Prices Nominal'!AN6</f>
        <v>8.6601081444052994</v>
      </c>
      <c r="X5" s="175">
        <f>'IEPR Gas Prices Nominal'!AO6</f>
        <v>8.8505409037752969</v>
      </c>
      <c r="Y5" s="175">
        <f>'IEPR Gas Prices Nominal'!AP6</f>
        <v>9.0448622706454742</v>
      </c>
      <c r="Z5" s="175">
        <f>'IEPR Gas Prices Nominal'!AQ6</f>
        <v>9.244080057879609</v>
      </c>
      <c r="AA5" s="175">
        <f>'IEPR Gas Prices Nominal'!AR6</f>
        <v>9.4481747175645889</v>
      </c>
      <c r="AB5" s="175">
        <f>'IEPR Gas Prices Nominal'!AS6</f>
        <v>9.6576553847587192</v>
      </c>
      <c r="AC5" s="175">
        <f>'IEPR Gas Prices Nominal'!AT6</f>
        <v>9.871643358989509</v>
      </c>
      <c r="AD5" s="175">
        <f>'IEPR Gas Prices Nominal'!AU6</f>
        <v>10.089964533407306</v>
      </c>
      <c r="AE5" s="175">
        <f>'IEPR Gas Prices Nominal'!AV6</f>
        <v>10.291343325619673</v>
      </c>
      <c r="AF5" s="175">
        <f>'IEPR Gas Prices Nominal'!AW6</f>
        <v>10.505010879650797</v>
      </c>
      <c r="AG5" s="175">
        <f>'IEPR Gas Prices Nominal'!AX6</f>
        <v>10.717758101570547</v>
      </c>
      <c r="AH5" s="175">
        <f>'IEPR Gas Prices Nominal'!AY6</f>
        <v>10.930327478964935</v>
      </c>
    </row>
    <row r="6" spans="1:36">
      <c r="B6" s="128">
        <v>36557</v>
      </c>
      <c r="C6" s="176">
        <f>'IEPR Gas Prices Nominal'!T7</f>
        <v>5.6657734992993651</v>
      </c>
      <c r="D6" s="174">
        <f>'IEPR Gas Prices Nominal'!U7</f>
        <v>5.6626699931310043</v>
      </c>
      <c r="E6" s="174">
        <f>'IEPR Gas Prices Nominal'!V7</f>
        <v>5.8084915739456848</v>
      </c>
      <c r="F6" s="174">
        <f>'IEPR Gas Prices Nominal'!W7</f>
        <v>5.9412447958552077</v>
      </c>
      <c r="G6" s="174">
        <f>'IEPR Gas Prices Nominal'!X7</f>
        <v>6.0633526126164945</v>
      </c>
      <c r="H6" s="174">
        <f>'IEPR Gas Prices Nominal'!Y7</f>
        <v>6.1857897257071714</v>
      </c>
      <c r="I6" s="174">
        <f>'IEPR Gas Prices Nominal'!Z7</f>
        <v>6.3112828900442191</v>
      </c>
      <c r="J6" s="174">
        <f>'IEPR Gas Prices Nominal'!AA7</f>
        <v>6.4396653249367164</v>
      </c>
      <c r="K6" s="174">
        <f>'IEPR Gas Prices Nominal'!AB7</f>
        <v>6.5700432043634791</v>
      </c>
      <c r="L6" s="174">
        <f>'IEPR Gas Prices Nominal'!AC7</f>
        <v>6.7045896374462375</v>
      </c>
      <c r="M6" s="174">
        <f>'IEPR Gas Prices Nominal'!AD7</f>
        <v>6.8445268445561744</v>
      </c>
      <c r="N6" s="174">
        <f>'IEPR Gas Prices Nominal'!AE7</f>
        <v>6.9872421996137462</v>
      </c>
      <c r="O6" s="174">
        <f>'IEPR Gas Prices Nominal'!AF7</f>
        <v>7.1358832124457292</v>
      </c>
      <c r="P6" s="174">
        <f>'IEPR Gas Prices Nominal'!AG7</f>
        <v>7.2841460441793942</v>
      </c>
      <c r="Q6" s="174">
        <f>'IEPR Gas Prices Nominal'!AH7</f>
        <v>7.4378328421840081</v>
      </c>
      <c r="R6" s="174">
        <f>'IEPR Gas Prices Nominal'!AI7</f>
        <v>7.5991106672489117</v>
      </c>
      <c r="S6" s="174">
        <f>'IEPR Gas Prices Nominal'!AJ7</f>
        <v>7.7657010388185954</v>
      </c>
      <c r="T6" s="174">
        <f>'IEPR Gas Prices Nominal'!AK7</f>
        <v>7.937141393394735</v>
      </c>
      <c r="U6" s="174">
        <f>'IEPR Gas Prices Nominal'!AL7</f>
        <v>8.110944761333382</v>
      </c>
      <c r="V6" s="174">
        <f>'IEPR Gas Prices Nominal'!AM7</f>
        <v>8.2883210999807755</v>
      </c>
      <c r="W6" s="174">
        <f>'IEPR Gas Prices Nominal'!AN7</f>
        <v>8.4700719911199709</v>
      </c>
      <c r="X6" s="174">
        <f>'IEPR Gas Prices Nominal'!AO7</f>
        <v>8.6563347639768828</v>
      </c>
      <c r="Y6" s="174">
        <f>'IEPR Gas Prices Nominal'!AP7</f>
        <v>8.846427714814677</v>
      </c>
      <c r="Z6" s="174">
        <f>'IEPR Gas Prices Nominal'!AQ7</f>
        <v>9.0412809046382705</v>
      </c>
      <c r="AA6" s="174">
        <f>'IEPR Gas Prices Nominal'!AR7</f>
        <v>9.2409374832213107</v>
      </c>
      <c r="AB6" s="174">
        <f>'IEPR Gas Prices Nominal'!AS7</f>
        <v>9.4458424849282405</v>
      </c>
      <c r="AC6" s="174">
        <f>'IEPR Gas Prices Nominal'!AT7</f>
        <v>9.6551671017562217</v>
      </c>
      <c r="AD6" s="174">
        <f>'IEPR Gas Prices Nominal'!AU7</f>
        <v>9.8687120690261327</v>
      </c>
      <c r="AE6" s="174">
        <f>'IEPR Gas Prices Nominal'!AV7</f>
        <v>10.065713011185197</v>
      </c>
      <c r="AF6" s="174">
        <f>'IEPR Gas Prices Nominal'!AW7</f>
        <v>10.274689183423503</v>
      </c>
      <c r="AG6" s="174">
        <f>'IEPR Gas Prices Nominal'!AX7</f>
        <v>10.482893848099055</v>
      </c>
      <c r="AH6" s="174">
        <f>'IEPR Gas Prices Nominal'!AY7</f>
        <v>10.690843320410048</v>
      </c>
    </row>
    <row r="7" spans="1:36">
      <c r="B7" s="128">
        <v>36586</v>
      </c>
      <c r="C7" s="176">
        <f>'IEPR Gas Prices Nominal'!T8</f>
        <v>5.1890416886778716</v>
      </c>
      <c r="D7" s="174">
        <f>'IEPR Gas Prices Nominal'!U8</f>
        <v>5.1997740985140943</v>
      </c>
      <c r="E7" s="174">
        <f>'IEPR Gas Prices Nominal'!V8</f>
        <v>5.3323787773761397</v>
      </c>
      <c r="F7" s="174">
        <f>'IEPR Gas Prices Nominal'!W8</f>
        <v>5.4538935039613818</v>
      </c>
      <c r="G7" s="174">
        <f>'IEPR Gas Prices Nominal'!X8</f>
        <v>5.5659196289505273</v>
      </c>
      <c r="H7" s="174">
        <f>'IEPR Gas Prices Nominal'!Y8</f>
        <v>5.6784419489120976</v>
      </c>
      <c r="I7" s="174">
        <f>'IEPR Gas Prices Nominal'!Z8</f>
        <v>5.7937098130430611</v>
      </c>
      <c r="J7" s="174">
        <f>'IEPR Gas Prices Nominal'!AA8</f>
        <v>5.911497935913796</v>
      </c>
      <c r="K7" s="174">
        <f>'IEPR Gas Prices Nominal'!AB8</f>
        <v>6.0311708697115485</v>
      </c>
      <c r="L7" s="174">
        <f>'IEPR Gas Prices Nominal'!AC8</f>
        <v>6.154807674421785</v>
      </c>
      <c r="M7" s="174">
        <f>'IEPR Gas Prices Nominal'!AD8</f>
        <v>6.2830598724282245</v>
      </c>
      <c r="N7" s="174">
        <f>'IEPR Gas Prices Nominal'!AE8</f>
        <v>6.4143303942777647</v>
      </c>
      <c r="O7" s="174">
        <f>'IEPR Gas Prices Nominal'!AF8</f>
        <v>6.5503275431599901</v>
      </c>
      <c r="P7" s="174">
        <f>'IEPR Gas Prices Nominal'!AG8</f>
        <v>6.6864795782183721</v>
      </c>
      <c r="Q7" s="174">
        <f>'IEPR Gas Prices Nominal'!AH8</f>
        <v>6.8278086050875926</v>
      </c>
      <c r="R7" s="174">
        <f>'IEPR Gas Prices Nominal'!AI8</f>
        <v>6.9758956417282745</v>
      </c>
      <c r="S7" s="174">
        <f>'IEPR Gas Prices Nominal'!AJ8</f>
        <v>7.1288620215722434</v>
      </c>
      <c r="T7" s="174">
        <f>'IEPR Gas Prices Nominal'!AK8</f>
        <v>7.2860938587530812</v>
      </c>
      <c r="U7" s="174">
        <f>'IEPR Gas Prices Nominal'!AL8</f>
        <v>7.4456845871681923</v>
      </c>
      <c r="V7" s="174">
        <f>'IEPR Gas Prices Nominal'!AM8</f>
        <v>7.6085279480735375</v>
      </c>
      <c r="W7" s="174">
        <f>'IEPR Gas Prices Nominal'!AN8</f>
        <v>7.775398589292803</v>
      </c>
      <c r="X7" s="174">
        <f>'IEPR Gas Prices Nominal'!AO8</f>
        <v>7.9463931290393566</v>
      </c>
      <c r="Y7" s="174">
        <f>'IEPR Gas Prices Nominal'!AP8</f>
        <v>8.1209284127137167</v>
      </c>
      <c r="Z7" s="174">
        <f>'IEPR Gas Prices Nominal'!AQ8</f>
        <v>8.2998071425731492</v>
      </c>
      <c r="AA7" s="174">
        <f>'IEPR Gas Prices Nominal'!AR8</f>
        <v>8.4831260981794916</v>
      </c>
      <c r="AB7" s="174">
        <f>'IEPR Gas Prices Nominal'!AS8</f>
        <v>8.6712452210722191</v>
      </c>
      <c r="AC7" s="174">
        <f>'IEPR Gas Prices Nominal'!AT8</f>
        <v>8.8634317812843673</v>
      </c>
      <c r="AD7" s="174">
        <f>'IEPR Gas Prices Nominal'!AU8</f>
        <v>9.0594762518605059</v>
      </c>
      <c r="AE7" s="174">
        <f>'IEPR Gas Prices Nominal'!AV8</f>
        <v>9.2403579556890403</v>
      </c>
      <c r="AF7" s="174">
        <f>'IEPR Gas Prices Nominal'!AW8</f>
        <v>9.4321924645396908</v>
      </c>
      <c r="AG7" s="174">
        <f>'IEPR Gas Prices Nominal'!AX8</f>
        <v>9.6234368348502866</v>
      </c>
      <c r="AH7" s="174">
        <f>'IEPR Gas Prices Nominal'!AY8</f>
        <v>9.8143723466521422</v>
      </c>
    </row>
    <row r="8" spans="1:36">
      <c r="B8" s="128">
        <v>36617</v>
      </c>
      <c r="C8" s="176">
        <f>'IEPR Gas Prices Nominal'!T9</f>
        <v>5.0888000939985529</v>
      </c>
      <c r="D8" s="174">
        <f>'IEPR Gas Prices Nominal'!U9</f>
        <v>5.112701340114465</v>
      </c>
      <c r="E8" s="174">
        <f>'IEPR Gas Prices Nominal'!V9</f>
        <v>5.2418111039390336</v>
      </c>
      <c r="F8" s="174">
        <f>'IEPR Gas Prices Nominal'!W9</f>
        <v>5.3609110960499597</v>
      </c>
      <c r="G8" s="174">
        <f>'IEPR Gas Prices Nominal'!X9</f>
        <v>5.4709630405380132</v>
      </c>
      <c r="H8" s="174">
        <f>'IEPR Gas Prices Nominal'!Y9</f>
        <v>5.5816933536381912</v>
      </c>
      <c r="I8" s="174">
        <f>'IEPR Gas Prices Nominal'!Z9</f>
        <v>5.6950635898495063</v>
      </c>
      <c r="J8" s="174">
        <f>'IEPR Gas Prices Nominal'!AA9</f>
        <v>5.8107813390438645</v>
      </c>
      <c r="K8" s="174">
        <f>'IEPR Gas Prices Nominal'!AB9</f>
        <v>5.9284039184994404</v>
      </c>
      <c r="L8" s="174">
        <f>'IEPR Gas Prices Nominal'!AC9</f>
        <v>6.0500577272669007</v>
      </c>
      <c r="M8" s="174">
        <f>'IEPR Gas Prices Nominal'!AD9</f>
        <v>6.1759206895460688</v>
      </c>
      <c r="N8" s="174">
        <f>'IEPR Gas Prices Nominal'!AE9</f>
        <v>6.305210669568738</v>
      </c>
      <c r="O8" s="174">
        <f>'IEPR Gas Prices Nominal'!AF9</f>
        <v>6.438445784434581</v>
      </c>
      <c r="P8" s="174">
        <f>'IEPR Gas Prices Nominal'!AG9</f>
        <v>6.5723267057725065</v>
      </c>
      <c r="Q8" s="174">
        <f>'IEPR Gas Prices Nominal'!AH9</f>
        <v>6.7114909572799677</v>
      </c>
      <c r="R8" s="174">
        <f>'IEPR Gas Prices Nominal'!AI9</f>
        <v>6.8570912204151808</v>
      </c>
      <c r="S8" s="174">
        <f>'IEPR Gas Prices Nominal'!AJ9</f>
        <v>7.0074901730209271</v>
      </c>
      <c r="T8" s="174">
        <f>'IEPR Gas Prices Nominal'!AK9</f>
        <v>7.1618983281577044</v>
      </c>
      <c r="U8" s="174">
        <f>'IEPR Gas Prices Nominal'!AL9</f>
        <v>7.3188116643072831</v>
      </c>
      <c r="V8" s="174">
        <f>'IEPR Gas Prices Nominal'!AM9</f>
        <v>7.4788953871525008</v>
      </c>
      <c r="W8" s="174">
        <f>'IEPR Gas Prices Nominal'!AN9</f>
        <v>7.6429491002226833</v>
      </c>
      <c r="X8" s="174">
        <f>'IEPR Gas Prices Nominal'!AO9</f>
        <v>7.8110388260493409</v>
      </c>
      <c r="Y8" s="174">
        <f>'IEPR Gas Prices Nominal'!AP9</f>
        <v>7.9826332616802249</v>
      </c>
      <c r="Z8" s="174">
        <f>'IEPR Gas Prices Nominal'!AQ9</f>
        <v>8.1584712200499698</v>
      </c>
      <c r="AA8" s="174">
        <f>'IEPR Gas Prices Nominal'!AR9</f>
        <v>8.3387040338630385</v>
      </c>
      <c r="AB8" s="174">
        <f>'IEPR Gas Prices Nominal'!AS9</f>
        <v>8.5236377418928893</v>
      </c>
      <c r="AC8" s="174">
        <f>'IEPR Gas Prices Nominal'!AT9</f>
        <v>8.7125797237552014</v>
      </c>
      <c r="AD8" s="174">
        <f>'IEPR Gas Prices Nominal'!AU9</f>
        <v>8.9052978667027549</v>
      </c>
      <c r="AE8" s="174">
        <f>'IEPR Gas Prices Nominal'!AV9</f>
        <v>9.0831355185667331</v>
      </c>
      <c r="AF8" s="174">
        <f>'IEPR Gas Prices Nominal'!AW9</f>
        <v>9.2716998059795817</v>
      </c>
      <c r="AG8" s="174">
        <f>'IEPR Gas Prices Nominal'!AX9</f>
        <v>9.4598001037945583</v>
      </c>
      <c r="AH8" s="174">
        <f>'IEPR Gas Prices Nominal'!AY9</f>
        <v>9.6475234703351944</v>
      </c>
    </row>
    <row r="9" spans="1:36">
      <c r="B9" s="128">
        <v>36647</v>
      </c>
      <c r="C9" s="176">
        <f>'IEPR Gas Prices Nominal'!T10</f>
        <v>5.2535407995322911</v>
      </c>
      <c r="D9" s="174">
        <f>'IEPR Gas Prices Nominal'!U10</f>
        <v>5.2920911519346889</v>
      </c>
      <c r="E9" s="174">
        <f>'IEPR Gas Prices Nominal'!V10</f>
        <v>5.4244125168131889</v>
      </c>
      <c r="F9" s="174">
        <f>'IEPR Gas Prices Nominal'!W10</f>
        <v>5.5472983232864763</v>
      </c>
      <c r="G9" s="174">
        <f>'IEPR Gas Prices Nominal'!X10</f>
        <v>5.6611100220870982</v>
      </c>
      <c r="H9" s="174">
        <f>'IEPR Gas Prices Nominal'!Y10</f>
        <v>5.7758209657803041</v>
      </c>
      <c r="I9" s="174">
        <f>'IEPR Gas Prices Nominal'!Z10</f>
        <v>5.8932027501958233</v>
      </c>
      <c r="J9" s="174">
        <f>'IEPR Gas Prices Nominal'!AA10</f>
        <v>6.0128793547813091</v>
      </c>
      <c r="K9" s="174">
        <f>'IEPR Gas Prices Nominal'!AB10</f>
        <v>6.1345809909624949</v>
      </c>
      <c r="L9" s="174">
        <f>'IEPR Gas Prices Nominal'!AC10</f>
        <v>6.2605936638141131</v>
      </c>
      <c r="M9" s="174">
        <f>'IEPR Gas Prices Nominal'!AD10</f>
        <v>6.3906228409806749</v>
      </c>
      <c r="N9" s="174">
        <f>'IEPR Gas Prices Nominal'!AE10</f>
        <v>6.5246744090347448</v>
      </c>
      <c r="O9" s="174">
        <f>'IEPR Gas Prices Nominal'!AF10</f>
        <v>6.66208288823342</v>
      </c>
      <c r="P9" s="174">
        <f>'IEPR Gas Prices Nominal'!AG10</f>
        <v>6.8006704253133377</v>
      </c>
      <c r="Q9" s="174">
        <f>'IEPR Gas Prices Nominal'!AH10</f>
        <v>6.9449263786301181</v>
      </c>
      <c r="R9" s="174">
        <f>'IEPR Gas Prices Nominal'!AI10</f>
        <v>7.0956281059175241</v>
      </c>
      <c r="S9" s="174">
        <f>'IEPR Gas Prices Nominal'!AJ10</f>
        <v>7.2512979844260244</v>
      </c>
      <c r="T9" s="174">
        <f>'IEPR Gas Prices Nominal'!AK10</f>
        <v>7.4109265131359292</v>
      </c>
      <c r="U9" s="174">
        <f>'IEPR Gas Prices Nominal'!AL10</f>
        <v>7.5733403421984491</v>
      </c>
      <c r="V9" s="174">
        <f>'IEPR Gas Prices Nominal'!AM10</f>
        <v>7.7390070574407348</v>
      </c>
      <c r="W9" s="174">
        <f>'IEPR Gas Prices Nominal'!AN10</f>
        <v>7.9087935581944437</v>
      </c>
      <c r="X9" s="174">
        <f>'IEPR Gas Prices Nominal'!AO10</f>
        <v>8.0827382029944541</v>
      </c>
      <c r="Y9" s="174">
        <f>'IEPR Gas Prices Nominal'!AP10</f>
        <v>8.260334589849359</v>
      </c>
      <c r="Z9" s="174">
        <f>'IEPR Gas Prices Nominal'!AQ10</f>
        <v>8.4422952610718642</v>
      </c>
      <c r="AA9" s="174">
        <f>'IEPR Gas Prices Nominal'!AR10</f>
        <v>8.6288349768415937</v>
      </c>
      <c r="AB9" s="174">
        <f>'IEPR Gas Prices Nominal'!AS10</f>
        <v>8.8202209818507651</v>
      </c>
      <c r="AC9" s="174">
        <f>'IEPR Gas Prices Nominal'!AT10</f>
        <v>9.0157651567311863</v>
      </c>
      <c r="AD9" s="174">
        <f>'IEPR Gas Prices Nominal'!AU10</f>
        <v>9.215200247156945</v>
      </c>
      <c r="AE9" s="174">
        <f>'IEPR Gas Prices Nominal'!AV10</f>
        <v>9.3992620827569322</v>
      </c>
      <c r="AF9" s="174">
        <f>'IEPR Gas Prices Nominal'!AW10</f>
        <v>9.5943826812470316</v>
      </c>
      <c r="AG9" s="174">
        <f>'IEPR Gas Prices Nominal'!AX10</f>
        <v>9.7891433002784236</v>
      </c>
      <c r="AH9" s="174">
        <f>'IEPR Gas Prices Nominal'!AY10</f>
        <v>9.9834379832346247</v>
      </c>
    </row>
    <row r="10" spans="1:36">
      <c r="B10" s="128">
        <v>36678</v>
      </c>
      <c r="C10" s="176">
        <f>'IEPR Gas Prices Nominal'!T11</f>
        <v>5.3766711269990379</v>
      </c>
      <c r="D10" s="174">
        <f>'IEPR Gas Prices Nominal'!U11</f>
        <v>5.4303937493200829</v>
      </c>
      <c r="E10" s="174">
        <f>'IEPR Gas Prices Nominal'!V11</f>
        <v>5.5648208661459826</v>
      </c>
      <c r="F10" s="174">
        <f>'IEPR Gas Prices Nominal'!W11</f>
        <v>5.6905150070588943</v>
      </c>
      <c r="G10" s="174">
        <f>'IEPR Gas Prices Nominal'!X11</f>
        <v>5.807196785125889</v>
      </c>
      <c r="H10" s="174">
        <f>'IEPR Gas Prices Nominal'!Y11</f>
        <v>5.9250034392180213</v>
      </c>
      <c r="I10" s="174">
        <f>'IEPR Gas Prices Nominal'!Z11</f>
        <v>6.045487440498218</v>
      </c>
      <c r="J10" s="174">
        <f>'IEPR Gas Prices Nominal'!AA11</f>
        <v>6.168187709077146</v>
      </c>
      <c r="K10" s="174">
        <f>'IEPR Gas Prices Nominal'!AB11</f>
        <v>6.2930206666254422</v>
      </c>
      <c r="L10" s="174">
        <f>'IEPR Gas Prices Nominal'!AC11</f>
        <v>6.4224192378220151</v>
      </c>
      <c r="M10" s="174">
        <f>'IEPR Gas Prices Nominal'!AD11</f>
        <v>6.5555902121843275</v>
      </c>
      <c r="N10" s="174">
        <f>'IEPR Gas Prices Nominal'!AE11</f>
        <v>6.6933760168393741</v>
      </c>
      <c r="O10" s="174">
        <f>'IEPR Gas Prices Nominal'!AF11</f>
        <v>6.8338611717817734</v>
      </c>
      <c r="P10" s="174">
        <f>'IEPR Gas Prices Nominal'!AG11</f>
        <v>6.9760798895440326</v>
      </c>
      <c r="Q10" s="174">
        <f>'IEPR Gas Prices Nominal'!AH11</f>
        <v>7.1243199940690749</v>
      </c>
      <c r="R10" s="174">
        <f>'IEPR Gas Prices Nominal'!AI11</f>
        <v>7.2789527235531972</v>
      </c>
      <c r="S10" s="174">
        <f>'IEPR Gas Prices Nominal'!AJ11</f>
        <v>7.4386845587242538</v>
      </c>
      <c r="T10" s="174">
        <f>'IEPR Gas Prices Nominal'!AK11</f>
        <v>7.6022823691827268</v>
      </c>
      <c r="U10" s="174">
        <f>'IEPR Gas Prices Nominal'!AL11</f>
        <v>7.7689354219568658</v>
      </c>
      <c r="V10" s="174">
        <f>'IEPR Gas Prices Nominal'!AM11</f>
        <v>7.9388968937629842</v>
      </c>
      <c r="W10" s="174">
        <f>'IEPR Gas Prices Nominal'!AN11</f>
        <v>8.1130965861109203</v>
      </c>
      <c r="X10" s="174">
        <f>'IEPR Gas Prices Nominal'!AO11</f>
        <v>8.2915431102776722</v>
      </c>
      <c r="Y10" s="174">
        <f>'IEPR Gas Prices Nominal'!AP11</f>
        <v>8.4737614900161713</v>
      </c>
      <c r="Z10" s="174">
        <f>'IEPR Gas Prices Nominal'!AQ11</f>
        <v>8.6604293566092529</v>
      </c>
      <c r="AA10" s="174">
        <f>'IEPR Gas Prices Nominal'!AR11</f>
        <v>8.8518266914545638</v>
      </c>
      <c r="AB10" s="174">
        <f>'IEPR Gas Prices Nominal'!AS11</f>
        <v>9.0481769204886167</v>
      </c>
      <c r="AC10" s="174">
        <f>'IEPR Gas Prices Nominal'!AT11</f>
        <v>9.2488034831688299</v>
      </c>
      <c r="AD10" s="174">
        <f>'IEPR Gas Prices Nominal'!AU11</f>
        <v>9.4534044507294848</v>
      </c>
      <c r="AE10" s="174">
        <f>'IEPR Gas Prices Nominal'!AV11</f>
        <v>9.6422605038467353</v>
      </c>
      <c r="AF10" s="174">
        <f>'IEPR Gas Prices Nominal'!AW11</f>
        <v>9.8424189535766402</v>
      </c>
      <c r="AG10" s="174">
        <f>'IEPR Gas Prices Nominal'!AX11</f>
        <v>10.042331392545549</v>
      </c>
      <c r="AH10" s="174">
        <f>'IEPR Gas Prices Nominal'!AY11</f>
        <v>10.24168799517752</v>
      </c>
    </row>
    <row r="11" spans="1:36">
      <c r="B11" s="128">
        <v>36708</v>
      </c>
      <c r="C11" s="176">
        <f>'IEPR Gas Prices Nominal'!T12</f>
        <v>5.4065406365382271</v>
      </c>
      <c r="D11" s="174">
        <f>'IEPR Gas Prices Nominal'!U12</f>
        <v>5.4749787853330183</v>
      </c>
      <c r="E11" s="174">
        <f>'IEPR Gas Prices Nominal'!V12</f>
        <v>5.6091468062175096</v>
      </c>
      <c r="F11" s="174">
        <f>'IEPR Gas Prices Nominal'!W12</f>
        <v>5.7354666681417532</v>
      </c>
      <c r="G11" s="174">
        <f>'IEPR Gas Prices Nominal'!X12</f>
        <v>5.8530013728411028</v>
      </c>
      <c r="H11" s="174">
        <f>'IEPR Gas Prices Nominal'!Y12</f>
        <v>5.971873884186496</v>
      </c>
      <c r="I11" s="174">
        <f>'IEPR Gas Prices Nominal'!Z12</f>
        <v>6.0933819417180155</v>
      </c>
      <c r="J11" s="174">
        <f>'IEPR Gas Prices Nominal'!AA12</f>
        <v>6.2169848651107964</v>
      </c>
      <c r="K11" s="174">
        <f>'IEPR Gas Prices Nominal'!AB12</f>
        <v>6.342793146685163</v>
      </c>
      <c r="L11" s="174">
        <f>'IEPR Gas Prices Nominal'!AC12</f>
        <v>6.4733475384728756</v>
      </c>
      <c r="M11" s="174">
        <f>'IEPR Gas Prices Nominal'!AD12</f>
        <v>6.6073535360487563</v>
      </c>
      <c r="N11" s="174">
        <f>'IEPR Gas Prices Nominal'!AE12</f>
        <v>6.7465033441365145</v>
      </c>
      <c r="O11" s="174">
        <f>'IEPR Gas Prices Nominal'!AF12</f>
        <v>6.8876236059747251</v>
      </c>
      <c r="P11" s="174">
        <f>'IEPR Gas Prices Nominal'!AG12</f>
        <v>7.0310194091107769</v>
      </c>
      <c r="Q11" s="174">
        <f>'IEPR Gas Prices Nominal'!AH12</f>
        <v>7.1806924549523012</v>
      </c>
      <c r="R11" s="174">
        <f>'IEPR Gas Prices Nominal'!AI12</f>
        <v>7.3365872938369607</v>
      </c>
      <c r="S11" s="174">
        <f>'IEPR Gas Prices Nominal'!AJ12</f>
        <v>7.4976242297881965</v>
      </c>
      <c r="T11" s="174">
        <f>'IEPR Gas Prices Nominal'!AK12</f>
        <v>7.6623612339542682</v>
      </c>
      <c r="U11" s="174">
        <f>'IEPR Gas Prices Nominal'!AL12</f>
        <v>7.8303772423392699</v>
      </c>
      <c r="V11" s="174">
        <f>'IEPR Gas Prices Nominal'!AM12</f>
        <v>8.0016991270980409</v>
      </c>
      <c r="W11" s="174">
        <f>'IEPR Gas Prices Nominal'!AN12</f>
        <v>8.177304881991974</v>
      </c>
      <c r="X11" s="174">
        <f>'IEPR Gas Prices Nominal'!AO12</f>
        <v>8.3571722012577379</v>
      </c>
      <c r="Y11" s="174">
        <f>'IEPR Gas Prices Nominal'!AP12</f>
        <v>8.5408672146333089</v>
      </c>
      <c r="Z11" s="174">
        <f>'IEPR Gas Prices Nominal'!AQ12</f>
        <v>8.7290191700686908</v>
      </c>
      <c r="AA11" s="174">
        <f>'IEPR Gas Prices Nominal'!AR12</f>
        <v>8.9219704178192956</v>
      </c>
      <c r="AB11" s="174">
        <f>'IEPR Gas Prices Nominal'!AS12</f>
        <v>9.1198950220719492</v>
      </c>
      <c r="AC11" s="174">
        <f>'IEPR Gas Prices Nominal'!AT12</f>
        <v>9.322140638232721</v>
      </c>
      <c r="AD11" s="174">
        <f>'IEPR Gas Prices Nominal'!AU12</f>
        <v>9.5283749542119427</v>
      </c>
      <c r="AE11" s="174">
        <f>'IEPR Gas Prices Nominal'!AV12</f>
        <v>9.7187654210309447</v>
      </c>
      <c r="AF11" s="174">
        <f>'IEPR Gas Prices Nominal'!AW12</f>
        <v>9.9205053549556066</v>
      </c>
      <c r="AG11" s="174">
        <f>'IEPR Gas Prices Nominal'!AX12</f>
        <v>10.122121589675935</v>
      </c>
      <c r="AH11" s="174">
        <f>'IEPR Gas Prices Nominal'!AY12</f>
        <v>10.323099099276062</v>
      </c>
    </row>
    <row r="12" spans="1:36">
      <c r="B12" s="128">
        <v>36739</v>
      </c>
      <c r="C12" s="176">
        <f>'IEPR Gas Prices Nominal'!T13</f>
        <v>5.3520918529264128</v>
      </c>
      <c r="D12" s="174">
        <f>'IEPR Gas Prices Nominal'!U13</f>
        <v>5.4341815150649024</v>
      </c>
      <c r="E12" s="174">
        <f>'IEPR Gas Prices Nominal'!V13</f>
        <v>5.5659977762886017</v>
      </c>
      <c r="F12" s="174">
        <f>'IEPR Gas Prices Nominal'!W13</f>
        <v>5.6909733073475843</v>
      </c>
      <c r="G12" s="174">
        <f>'IEPR Gas Prices Nominal'!X13</f>
        <v>5.8075279605580716</v>
      </c>
      <c r="H12" s="174">
        <f>'IEPR Gas Prices Nominal'!Y13</f>
        <v>5.9256125347425153</v>
      </c>
      <c r="I12" s="174">
        <f>'IEPR Gas Prices Nominal'!Z13</f>
        <v>6.0462497381066704</v>
      </c>
      <c r="J12" s="174">
        <f>'IEPR Gas Prices Nominal'!AA13</f>
        <v>6.168827704380436</v>
      </c>
      <c r="K12" s="174">
        <f>'IEPR Gas Prices Nominal'!AB13</f>
        <v>6.2936493181566533</v>
      </c>
      <c r="L12" s="174">
        <f>'IEPR Gas Prices Nominal'!AC13</f>
        <v>6.4233235559728934</v>
      </c>
      <c r="M12" s="174">
        <f>'IEPR Gas Prices Nominal'!AD13</f>
        <v>6.5560746935709107</v>
      </c>
      <c r="N12" s="174">
        <f>'IEPR Gas Prices Nominal'!AE13</f>
        <v>6.6944185170054942</v>
      </c>
      <c r="O12" s="174">
        <f>'IEPR Gas Prices Nominal'!AF13</f>
        <v>6.8339729958463264</v>
      </c>
      <c r="P12" s="174">
        <f>'IEPR Gas Prices Nominal'!AG13</f>
        <v>6.976309628655609</v>
      </c>
      <c r="Q12" s="174">
        <f>'IEPR Gas Prices Nominal'!AH13</f>
        <v>7.1250815139296009</v>
      </c>
      <c r="R12" s="174">
        <f>'IEPR Gas Prices Nominal'!AI13</f>
        <v>7.2798072801411697</v>
      </c>
      <c r="S12" s="174">
        <f>'IEPR Gas Prices Nominal'!AJ13</f>
        <v>7.4396379440426195</v>
      </c>
      <c r="T12" s="174">
        <f>'IEPR Gas Prices Nominal'!AK13</f>
        <v>7.602945021099238</v>
      </c>
      <c r="U12" s="174">
        <f>'IEPR Gas Prices Nominal'!AL13</f>
        <v>7.7697037738516839</v>
      </c>
      <c r="V12" s="174">
        <f>'IEPR Gas Prices Nominal'!AM13</f>
        <v>7.939714298344609</v>
      </c>
      <c r="W12" s="174">
        <f>'IEPR Gas Prices Nominal'!AN13</f>
        <v>8.113987538095488</v>
      </c>
      <c r="X12" s="174">
        <f>'IEPR Gas Prices Nominal'!AO13</f>
        <v>8.2924706110388016</v>
      </c>
      <c r="Y12" s="174">
        <f>'IEPR Gas Prices Nominal'!AP13</f>
        <v>8.4747775294465644</v>
      </c>
      <c r="Z12" s="174">
        <f>'IEPR Gas Prices Nominal'!AQ13</f>
        <v>8.6614793324169792</v>
      </c>
      <c r="AA12" s="174">
        <f>'IEPR Gas Prices Nominal'!AR13</f>
        <v>8.8529754139130201</v>
      </c>
      <c r="AB12" s="174">
        <f>'IEPR Gas Prices Nominal'!AS13</f>
        <v>9.0493877500767059</v>
      </c>
      <c r="AC12" s="174">
        <f>'IEPR Gas Prices Nominal'!AT13</f>
        <v>9.2500983924187992</v>
      </c>
      <c r="AD12" s="174">
        <f>'IEPR Gas Prices Nominal'!AU13</f>
        <v>9.4547498215216432</v>
      </c>
      <c r="AE12" s="174">
        <f>'IEPR Gas Prices Nominal'!AV13</f>
        <v>9.6437055585805762</v>
      </c>
      <c r="AF12" s="174">
        <f>'IEPR Gas Prices Nominal'!AW13</f>
        <v>9.8438808277668723</v>
      </c>
      <c r="AG12" s="174">
        <f>'IEPR Gas Prices Nominal'!AX13</f>
        <v>10.044056666963455</v>
      </c>
      <c r="AH12" s="174">
        <f>'IEPR Gas Prices Nominal'!AY13</f>
        <v>10.243520835178844</v>
      </c>
    </row>
    <row r="13" spans="1:36">
      <c r="B13" s="128">
        <v>36770</v>
      </c>
      <c r="C13" s="176">
        <f>'IEPR Gas Prices Nominal'!T14</f>
        <v>5.4145060067906785</v>
      </c>
      <c r="D13" s="174">
        <f>'IEPR Gas Prices Nominal'!U14</f>
        <v>5.5121311262384358</v>
      </c>
      <c r="E13" s="174">
        <f>'IEPR Gas Prices Nominal'!V14</f>
        <v>5.6444674510111001</v>
      </c>
      <c r="F13" s="174">
        <f>'IEPR Gas Prices Nominal'!W14</f>
        <v>5.7708270316157124</v>
      </c>
      <c r="G13" s="174">
        <f>'IEPR Gas Prices Nominal'!X14</f>
        <v>5.8889479039205499</v>
      </c>
      <c r="H13" s="174">
        <f>'IEPR Gas Prices Nominal'!Y14</f>
        <v>6.0088255293177824</v>
      </c>
      <c r="I13" s="174">
        <f>'IEPR Gas Prices Nominal'!Z14</f>
        <v>6.131228243795154</v>
      </c>
      <c r="J13" s="174">
        <f>'IEPR Gas Prices Nominal'!AA14</f>
        <v>6.2554591460118418</v>
      </c>
      <c r="K13" s="174">
        <f>'IEPR Gas Prices Nominal'!AB14</f>
        <v>6.382021361178456</v>
      </c>
      <c r="L13" s="174">
        <f>'IEPR Gas Prices Nominal'!AC14</f>
        <v>6.5136496560128139</v>
      </c>
      <c r="M13" s="174">
        <f>'IEPR Gas Prices Nominal'!AD14</f>
        <v>6.648045159363309</v>
      </c>
      <c r="N13" s="174">
        <f>'IEPR Gas Prices Nominal'!AE14</f>
        <v>6.7886075352789517</v>
      </c>
      <c r="O13" s="174">
        <f>'IEPR Gas Prices Nominal'!AF14</f>
        <v>6.9296424808758585</v>
      </c>
      <c r="P13" s="174">
        <f>'IEPR Gas Prices Nominal'!AG14</f>
        <v>7.0740303206615591</v>
      </c>
      <c r="Q13" s="174">
        <f>'IEPR Gas Prices Nominal'!AH14</f>
        <v>7.2251533481932428</v>
      </c>
      <c r="R13" s="174">
        <f>'IEPR Gas Prices Nominal'!AI14</f>
        <v>7.3820910377309055</v>
      </c>
      <c r="S13" s="174">
        <f>'IEPR Gas Prices Nominal'!AJ14</f>
        <v>7.5442079841166292</v>
      </c>
      <c r="T13" s="174">
        <f>'IEPR Gas Prices Nominal'!AK14</f>
        <v>7.7096524066193455</v>
      </c>
      <c r="U13" s="174">
        <f>'IEPR Gas Prices Nominal'!AL14</f>
        <v>7.8787978562853178</v>
      </c>
      <c r="V13" s="174">
        <f>'IEPR Gas Prices Nominal'!AM14</f>
        <v>8.051211842692604</v>
      </c>
      <c r="W13" s="174">
        <f>'IEPR Gas Prices Nominal'!AN14</f>
        <v>8.2279606061923829</v>
      </c>
      <c r="X13" s="174">
        <f>'IEPR Gas Prices Nominal'!AO14</f>
        <v>8.4089593371795797</v>
      </c>
      <c r="Y13" s="174">
        <f>'IEPR Gas Prices Nominal'!AP14</f>
        <v>8.5938617800975834</v>
      </c>
      <c r="Z13" s="174">
        <f>'IEPR Gas Prices Nominal'!AQ14</f>
        <v>8.7831929028112796</v>
      </c>
      <c r="AA13" s="174">
        <f>'IEPR Gas Prices Nominal'!AR14</f>
        <v>8.9774182497879185</v>
      </c>
      <c r="AB13" s="174">
        <f>'IEPR Gas Prices Nominal'!AS14</f>
        <v>9.176610051258999</v>
      </c>
      <c r="AC13" s="174">
        <f>'IEPR Gas Prices Nominal'!AT14</f>
        <v>9.3801714395085387</v>
      </c>
      <c r="AD13" s="174">
        <f>'IEPR Gas Prices Nominal'!AU14</f>
        <v>9.5877116991351414</v>
      </c>
      <c r="AE13" s="174">
        <f>'IEPR Gas Prices Nominal'!AV14</f>
        <v>9.7793616355830277</v>
      </c>
      <c r="AF13" s="174">
        <f>'IEPR Gas Prices Nominal'!AW14</f>
        <v>9.9823460479102213</v>
      </c>
      <c r="AG13" s="174">
        <f>'IEPR Gas Prices Nominal'!AX14</f>
        <v>10.185456096987187</v>
      </c>
      <c r="AH13" s="174">
        <f>'IEPR Gas Prices Nominal'!AY14</f>
        <v>10.387765483328296</v>
      </c>
    </row>
    <row r="14" spans="1:36">
      <c r="B14" s="128">
        <v>36800</v>
      </c>
      <c r="C14" s="176">
        <f>'IEPR Gas Prices Nominal'!T15</f>
        <v>5.3705102665973241</v>
      </c>
      <c r="D14" s="174">
        <f>'IEPR Gas Prices Nominal'!U15</f>
        <v>5.4818719412993309</v>
      </c>
      <c r="E14" s="174">
        <f>'IEPR Gas Prices Nominal'!V15</f>
        <v>5.6121192063462049</v>
      </c>
      <c r="F14" s="174">
        <f>'IEPR Gas Prices Nominal'!W15</f>
        <v>5.7373789217263917</v>
      </c>
      <c r="G14" s="174">
        <f>'IEPR Gas Prices Nominal'!X15</f>
        <v>5.854746313658012</v>
      </c>
      <c r="H14" s="174">
        <f>'IEPR Gas Prices Nominal'!Y15</f>
        <v>5.9740644817788491</v>
      </c>
      <c r="I14" s="174">
        <f>'IEPR Gas Prices Nominal'!Z15</f>
        <v>6.0958301034061293</v>
      </c>
      <c r="J14" s="174">
        <f>'IEPR Gas Prices Nominal'!AA15</f>
        <v>6.219274298527</v>
      </c>
      <c r="K14" s="174">
        <f>'IEPR Gas Prices Nominal'!AB15</f>
        <v>6.3450921603266695</v>
      </c>
      <c r="L14" s="174">
        <f>'IEPR Gas Prices Nominal'!AC15</f>
        <v>6.4760912830675368</v>
      </c>
      <c r="M14" s="174">
        <f>'IEPR Gas Prices Nominal'!AD15</f>
        <v>6.609490702368066</v>
      </c>
      <c r="N14" s="174">
        <f>'IEPR Gas Prices Nominal'!AE15</f>
        <v>6.7495141640608907</v>
      </c>
      <c r="O14" s="174">
        <f>'IEPR Gas Prices Nominal'!AF15</f>
        <v>6.8892566461730764</v>
      </c>
      <c r="P14" s="174">
        <f>'IEPR Gas Prices Nominal'!AG15</f>
        <v>7.0328612890019473</v>
      </c>
      <c r="Q14" s="174">
        <f>'IEPR Gas Prices Nominal'!AH15</f>
        <v>7.1833705364848592</v>
      </c>
      <c r="R14" s="174">
        <f>'IEPR Gas Prices Nominal'!AI15</f>
        <v>7.339439239780126</v>
      </c>
      <c r="S14" s="174">
        <f>'IEPR Gas Prices Nominal'!AJ15</f>
        <v>7.5006598942270033</v>
      </c>
      <c r="T14" s="174">
        <f>'IEPR Gas Prices Nominal'!AK15</f>
        <v>7.6649921379440871</v>
      </c>
      <c r="U14" s="174">
        <f>'IEPR Gas Prices Nominal'!AL15</f>
        <v>7.8332037418431781</v>
      </c>
      <c r="V14" s="174">
        <f>'IEPR Gas Prices Nominal'!AM15</f>
        <v>8.004636238063485</v>
      </c>
      <c r="W14" s="174">
        <f>'IEPR Gas Prices Nominal'!AN15</f>
        <v>8.1803905664774135</v>
      </c>
      <c r="X14" s="174">
        <f>'IEPR Gas Prices Nominal'!AO15</f>
        <v>8.3603513995924796</v>
      </c>
      <c r="Y14" s="174">
        <f>'IEPR Gas Prices Nominal'!AP15</f>
        <v>8.5442193820895849</v>
      </c>
      <c r="Z14" s="174">
        <f>'IEPR Gas Prices Nominal'!AQ15</f>
        <v>8.7324626605788627</v>
      </c>
      <c r="AA14" s="174">
        <f>'IEPR Gas Prices Nominal'!AR15</f>
        <v>8.9256042857163074</v>
      </c>
      <c r="AB14" s="174">
        <f>'IEPR Gas Prices Nominal'!AS15</f>
        <v>9.1236649021642133</v>
      </c>
      <c r="AC14" s="174">
        <f>'IEPR Gas Prices Nominal'!AT15</f>
        <v>9.3260806853288969</v>
      </c>
      <c r="AD14" s="174">
        <f>'IEPR Gas Prices Nominal'!AU15</f>
        <v>9.5324351641199598</v>
      </c>
      <c r="AE14" s="174">
        <f>'IEPR Gas Prices Nominal'!AV15</f>
        <v>9.7230168818382232</v>
      </c>
      <c r="AF14" s="174">
        <f>'IEPR Gas Prices Nominal'!AW15</f>
        <v>9.9248251351417736</v>
      </c>
      <c r="AG14" s="174">
        <f>'IEPR Gas Prices Nominal'!AX15</f>
        <v>10.126882649679622</v>
      </c>
      <c r="AH14" s="174">
        <f>'IEPR Gas Prices Nominal'!AY15</f>
        <v>10.328065582390366</v>
      </c>
    </row>
    <row r="15" spans="1:36">
      <c r="B15" s="128">
        <v>36831</v>
      </c>
      <c r="C15" s="176">
        <f>'IEPR Gas Prices Nominal'!T16</f>
        <v>5.6225295039222187</v>
      </c>
      <c r="D15" s="174">
        <f>'IEPR Gas Prices Nominal'!U16</f>
        <v>5.7544025705853583</v>
      </c>
      <c r="E15" s="174">
        <f>'IEPR Gas Prices Nominal'!V16</f>
        <v>5.8896953963828649</v>
      </c>
      <c r="F15" s="174">
        <f>'IEPR Gas Prices Nominal'!W16</f>
        <v>6.0207561813857451</v>
      </c>
      <c r="G15" s="174">
        <f>'IEPR Gas Prices Nominal'!X16</f>
        <v>6.1438482599147592</v>
      </c>
      <c r="H15" s="174">
        <f>'IEPR Gas Prices Nominal'!Y16</f>
        <v>6.269201789967866</v>
      </c>
      <c r="I15" s="174">
        <f>'IEPR Gas Prices Nominal'!Z16</f>
        <v>6.3970575350827339</v>
      </c>
      <c r="J15" s="174">
        <f>'IEPR Gas Prices Nominal'!AA16</f>
        <v>6.5265288545230256</v>
      </c>
      <c r="K15" s="174">
        <f>'IEPR Gas Prices Nominal'!AB16</f>
        <v>6.6585497137462442</v>
      </c>
      <c r="L15" s="174">
        <f>'IEPR Gas Prices Nominal'!AC16</f>
        <v>6.7961594505259519</v>
      </c>
      <c r="M15" s="174">
        <f>'IEPR Gas Prices Nominal'!AD16</f>
        <v>6.9359197791129539</v>
      </c>
      <c r="N15" s="174">
        <f>'IEPR Gas Prices Nominal'!AE16</f>
        <v>7.0831486582342436</v>
      </c>
      <c r="O15" s="174">
        <f>'IEPR Gas Prices Nominal'!AF16</f>
        <v>7.2292946669126996</v>
      </c>
      <c r="P15" s="174">
        <f>'IEPR Gas Prices Nominal'!AG16</f>
        <v>7.3800484911278161</v>
      </c>
      <c r="Q15" s="174">
        <f>'IEPR Gas Prices Nominal'!AH16</f>
        <v>7.5382667316327128</v>
      </c>
      <c r="R15" s="174">
        <f>'IEPR Gas Prices Nominal'!AI16</f>
        <v>7.7020865377921766</v>
      </c>
      <c r="S15" s="174">
        <f>'IEPR Gas Prices Nominal'!AJ16</f>
        <v>7.8713156053499063</v>
      </c>
      <c r="T15" s="174">
        <f>'IEPR Gas Prices Nominal'!AK16</f>
        <v>8.0436036058424438</v>
      </c>
      <c r="U15" s="174">
        <f>'IEPR Gas Prices Nominal'!AL16</f>
        <v>8.2201722573536706</v>
      </c>
      <c r="V15" s="174">
        <f>'IEPR Gas Prices Nominal'!AM16</f>
        <v>8.4000907637829823</v>
      </c>
      <c r="W15" s="174">
        <f>'IEPR Gas Prices Nominal'!AN16</f>
        <v>8.5845573470852958</v>
      </c>
      <c r="X15" s="174">
        <f>'IEPR Gas Prices Nominal'!AO16</f>
        <v>8.7734184376113458</v>
      </c>
      <c r="Y15" s="174">
        <f>'IEPR Gas Prices Nominal'!AP16</f>
        <v>8.9664070122410653</v>
      </c>
      <c r="Z15" s="174">
        <f>'IEPR Gas Prices Nominal'!AQ16</f>
        <v>9.1639578967763828</v>
      </c>
      <c r="AA15" s="174">
        <f>'IEPR Gas Prices Nominal'!AR16</f>
        <v>9.3666831637369512</v>
      </c>
      <c r="AB15" s="174">
        <f>'IEPR Gas Prices Nominal'!AS16</f>
        <v>9.5745507752140568</v>
      </c>
      <c r="AC15" s="174">
        <f>'IEPR Gas Prices Nominal'!AT16</f>
        <v>9.7870001080259215</v>
      </c>
      <c r="AD15" s="174">
        <f>'IEPR Gas Prices Nominal'!AU16</f>
        <v>10.003564712276861</v>
      </c>
      <c r="AE15" s="174">
        <f>'IEPR Gas Prices Nominal'!AV16</f>
        <v>10.203604238756961</v>
      </c>
      <c r="AF15" s="174">
        <f>'IEPR Gas Prices Nominal'!AW16</f>
        <v>10.415380457164362</v>
      </c>
      <c r="AG15" s="174">
        <f>'IEPR Gas Prices Nominal'!AX16</f>
        <v>10.627548762533781</v>
      </c>
      <c r="AH15" s="174">
        <f>'IEPR Gas Prices Nominal'!AY16</f>
        <v>10.838716836815484</v>
      </c>
    </row>
    <row r="16" spans="1:36">
      <c r="B16" s="128">
        <v>36861</v>
      </c>
      <c r="C16" s="177">
        <f>'IEPR Gas Prices Nominal'!T17</f>
        <v>5.6542168990483601</v>
      </c>
      <c r="D16" s="178">
        <f>'IEPR Gas Prices Nominal'!U17</f>
        <v>5.8022797937611896</v>
      </c>
      <c r="E16" s="178">
        <f>'IEPR Gas Prices Nominal'!V17</f>
        <v>5.9372573783484874</v>
      </c>
      <c r="F16" s="178">
        <f>'IEPR Gas Prices Nominal'!W17</f>
        <v>6.0689790537941617</v>
      </c>
      <c r="G16" s="178">
        <f>'IEPR Gas Prices Nominal'!X17</f>
        <v>6.1929841860548649</v>
      </c>
      <c r="H16" s="178">
        <f>'IEPR Gas Prices Nominal'!Y17</f>
        <v>6.3194849558042705</v>
      </c>
      <c r="I16" s="178">
        <f>'IEPR Gas Prices Nominal'!Z17</f>
        <v>6.4484413206443598</v>
      </c>
      <c r="J16" s="178">
        <f>'IEPR Gas Prices Nominal'!AA17</f>
        <v>6.5788791025056623</v>
      </c>
      <c r="K16" s="178">
        <f>'IEPR Gas Prices Nominal'!AB17</f>
        <v>6.7119459574423148</v>
      </c>
      <c r="L16" s="178">
        <f>'IEPR Gas Prices Nominal'!AC17</f>
        <v>6.8507993987140834</v>
      </c>
      <c r="M16" s="178">
        <f>'IEPR Gas Prices Nominal'!AD17</f>
        <v>6.9914493923723304</v>
      </c>
      <c r="N16" s="178">
        <f>'IEPR Gas Prices Nominal'!AE17</f>
        <v>7.1401493151839368</v>
      </c>
      <c r="O16" s="178">
        <f>'IEPR Gas Prices Nominal'!AF17</f>
        <v>7.2869632498753658</v>
      </c>
      <c r="P16" s="178">
        <f>'IEPR Gas Prices Nominal'!AG17</f>
        <v>7.4389813323204974</v>
      </c>
      <c r="Q16" s="178">
        <f>'IEPR Gas Prices Nominal'!AH17</f>
        <v>7.5987441859486786</v>
      </c>
      <c r="R16" s="178">
        <f>'IEPR Gas Prices Nominal'!AI17</f>
        <v>7.7639190936263427</v>
      </c>
      <c r="S16" s="178">
        <f>'IEPR Gas Prices Nominal'!AJ17</f>
        <v>7.9345494591833772</v>
      </c>
      <c r="T16" s="178">
        <f>'IEPR Gas Prices Nominal'!AK17</f>
        <v>8.1080552317530419</v>
      </c>
      <c r="U16" s="178">
        <f>'IEPR Gas Prices Nominal'!AL17</f>
        <v>8.2860873360988379</v>
      </c>
      <c r="V16" s="178">
        <f>'IEPR Gas Prices Nominal'!AM17</f>
        <v>8.4674657581384682</v>
      </c>
      <c r="W16" s="178">
        <f>'IEPR Gas Prices Nominal'!AN17</f>
        <v>8.6534415721994904</v>
      </c>
      <c r="X16" s="178">
        <f>'IEPR Gas Prices Nominal'!AO17</f>
        <v>8.8438271670232851</v>
      </c>
      <c r="Y16" s="178">
        <f>'IEPR Gas Prices Nominal'!AP17</f>
        <v>9.0384008831326579</v>
      </c>
      <c r="Z16" s="178">
        <f>'IEPR Gas Prices Nominal'!AQ17</f>
        <v>9.237544125129503</v>
      </c>
      <c r="AA16" s="178">
        <f>'IEPR Gas Prices Nominal'!AR17</f>
        <v>9.4419375712677915</v>
      </c>
      <c r="AB16" s="178">
        <f>'IEPR Gas Prices Nominal'!AS17</f>
        <v>9.6514947864856762</v>
      </c>
      <c r="AC16" s="178">
        <f>'IEPR Gas Prices Nominal'!AT17</f>
        <v>9.8656819602510168</v>
      </c>
      <c r="AD16" s="178">
        <f>'IEPR Gas Prices Nominal'!AU17</f>
        <v>10.083999257929332</v>
      </c>
      <c r="AE16" s="178">
        <f>'IEPR Gas Prices Nominal'!AV17</f>
        <v>10.28568606163538</v>
      </c>
      <c r="AF16" s="178">
        <f>'IEPR Gas Prices Nominal'!AW17</f>
        <v>10.499158861564974</v>
      </c>
      <c r="AG16" s="178">
        <f>'IEPR Gas Prices Nominal'!AX17</f>
        <v>10.713158468448832</v>
      </c>
      <c r="AH16" s="178">
        <f>'IEPR Gas Prices Nominal'!AY17</f>
        <v>10.926066707568102</v>
      </c>
    </row>
    <row r="17" spans="1:35">
      <c r="B17" s="129"/>
      <c r="C17" s="129"/>
      <c r="D17" s="127"/>
      <c r="E17" s="127"/>
      <c r="F17" s="127"/>
      <c r="G17" s="127"/>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row>
    <row r="18" spans="1:35">
      <c r="B18" s="127" t="s">
        <v>91</v>
      </c>
      <c r="C18" s="173">
        <f>'User Dashboard'!E$58</f>
        <v>2023</v>
      </c>
      <c r="D18" s="173">
        <f>'User Dashboard'!F$58</f>
        <v>2024</v>
      </c>
      <c r="E18" s="173">
        <f>'User Dashboard'!G$58</f>
        <v>2025</v>
      </c>
      <c r="F18" s="173">
        <f>'User Dashboard'!H$58</f>
        <v>2026</v>
      </c>
      <c r="G18" s="173">
        <f>'User Dashboard'!I$58</f>
        <v>2027</v>
      </c>
      <c r="H18" s="173">
        <f>'User Dashboard'!J$58</f>
        <v>2028</v>
      </c>
      <c r="I18" s="173">
        <f>'User Dashboard'!K$58</f>
        <v>2029</v>
      </c>
      <c r="J18" s="173">
        <f>'User Dashboard'!L$58</f>
        <v>2030</v>
      </c>
      <c r="K18" s="173">
        <f>'User Dashboard'!M$58</f>
        <v>2031</v>
      </c>
      <c r="L18" s="173">
        <f>'User Dashboard'!N$58</f>
        <v>2032</v>
      </c>
      <c r="M18" s="173">
        <f>'User Dashboard'!O$58</f>
        <v>2033</v>
      </c>
      <c r="N18" s="173">
        <f>'User Dashboard'!P$58</f>
        <v>2034</v>
      </c>
      <c r="O18" s="173">
        <f>'User Dashboard'!Q$58</f>
        <v>2035</v>
      </c>
      <c r="P18" s="173">
        <f>'User Dashboard'!R$58</f>
        <v>2036</v>
      </c>
      <c r="Q18" s="173">
        <f>'User Dashboard'!S$58</f>
        <v>2037</v>
      </c>
      <c r="R18" s="173">
        <f>'User Dashboard'!T$58</f>
        <v>2038</v>
      </c>
      <c r="S18" s="173">
        <f>'User Dashboard'!U$58</f>
        <v>2039</v>
      </c>
      <c r="T18" s="173">
        <f>'User Dashboard'!V$58</f>
        <v>2040</v>
      </c>
      <c r="U18" s="173">
        <f>'User Dashboard'!W$58</f>
        <v>2041</v>
      </c>
      <c r="V18" s="173">
        <f>'User Dashboard'!X$58</f>
        <v>2042</v>
      </c>
      <c r="W18" s="173">
        <f>'User Dashboard'!Y$58</f>
        <v>2043</v>
      </c>
      <c r="X18" s="173">
        <f>'User Dashboard'!Z$58</f>
        <v>2044</v>
      </c>
      <c r="Y18" s="173">
        <f>'User Dashboard'!AA$58</f>
        <v>2045</v>
      </c>
      <c r="Z18" s="173">
        <f>'User Dashboard'!AB$58</f>
        <v>2046</v>
      </c>
      <c r="AA18" s="173">
        <f>'User Dashboard'!AC$58</f>
        <v>2047</v>
      </c>
      <c r="AB18" s="173">
        <f>'User Dashboard'!AD$58</f>
        <v>2048</v>
      </c>
      <c r="AC18" s="173">
        <f>'User Dashboard'!AE$58</f>
        <v>2049</v>
      </c>
      <c r="AD18" s="173">
        <f>'User Dashboard'!AF$58</f>
        <v>2050</v>
      </c>
      <c r="AE18" s="173">
        <f>'User Dashboard'!AG$58</f>
        <v>2051</v>
      </c>
      <c r="AF18" s="173">
        <f>'User Dashboard'!AH$58</f>
        <v>2052</v>
      </c>
      <c r="AG18" s="173">
        <f>'User Dashboard'!AI$58</f>
        <v>2053</v>
      </c>
      <c r="AH18" s="173">
        <f>'User Dashboard'!AJ$58</f>
        <v>2054</v>
      </c>
    </row>
    <row r="19" spans="1:35">
      <c r="A19" s="125"/>
      <c r="B19" s="128">
        <v>36526</v>
      </c>
      <c r="C19" s="172">
        <f>'IEPR Gas Prices Real'!T6</f>
        <v>5.6743612037801938</v>
      </c>
      <c r="D19" s="175">
        <f>'IEPR Gas Prices Real'!U6</f>
        <v>5.5275615737470085</v>
      </c>
      <c r="E19" s="175">
        <f>'IEPR Gas Prices Real'!V6</f>
        <v>5.5416814310859932</v>
      </c>
      <c r="F19" s="175">
        <f>'IEPR Gas Prices Real'!W6</f>
        <v>5.5406483233614097</v>
      </c>
      <c r="G19" s="175">
        <f>'IEPR Gas Prices Real'!X6</f>
        <v>5.5355627248575656</v>
      </c>
      <c r="H19" s="175">
        <f>'IEPR Gas Prices Real'!Y6</f>
        <v>5.5298932774110057</v>
      </c>
      <c r="I19" s="175">
        <f>'IEPR Gas Prices Real'!Z6</f>
        <v>5.5256846082773583</v>
      </c>
      <c r="J19" s="175">
        <f>'IEPR Gas Prices Real'!AA6</f>
        <v>5.5221248053937479</v>
      </c>
      <c r="K19" s="175">
        <f>'IEPR Gas Prices Real'!AB6</f>
        <v>5.5178788613960235</v>
      </c>
      <c r="L19" s="175">
        <f>'IEPR Gas Prices Real'!AC6</f>
        <v>5.5136318086028906</v>
      </c>
      <c r="M19" s="175">
        <f>'IEPR Gas Prices Real'!AD6</f>
        <v>5.5104434142509975</v>
      </c>
      <c r="N19" s="175">
        <f>'IEPR Gas Prices Real'!AE6</f>
        <v>5.5054561984836639</v>
      </c>
      <c r="O19" s="175">
        <f>'IEPR Gas Prices Real'!AF6</f>
        <v>5.502566611162842</v>
      </c>
      <c r="P19" s="175">
        <f>'IEPR Gas Prices Real'!AG6</f>
        <v>5.4955100559738534</v>
      </c>
      <c r="Q19" s="175">
        <f>'IEPR Gas Prices Real'!AH6</f>
        <v>5.4891654272736696</v>
      </c>
      <c r="R19" s="175">
        <f>'IEPR Gas Prices Real'!AI6</f>
        <v>5.4850872797197958</v>
      </c>
      <c r="S19" s="175">
        <f>'IEPR Gas Prices Real'!AJ6</f>
        <v>5.4813584507119648</v>
      </c>
      <c r="T19" s="175">
        <f>'IEPR Gas Prices Real'!AK6</f>
        <v>5.477844222909571</v>
      </c>
      <c r="U19" s="175">
        <f>'IEPR Gas Prices Real'!AL6</f>
        <v>5.4731301884718926</v>
      </c>
      <c r="V19" s="175">
        <f>'IEPR Gas Prices Real'!AM6</f>
        <v>5.4687842256927404</v>
      </c>
      <c r="W19" s="175">
        <f>'IEPR Gas Prices Real'!AN6</f>
        <v>5.4645824706956416</v>
      </c>
      <c r="X19" s="175">
        <f>'IEPR Gas Prices Real'!AO6</f>
        <v>5.4605953462772021</v>
      </c>
      <c r="Y19" s="175">
        <f>'IEPR Gas Prices Real'!AP6</f>
        <v>5.4566944056464957</v>
      </c>
      <c r="Z19" s="175">
        <f>'IEPR Gas Prices Real'!AQ6</f>
        <v>5.4530410660728608</v>
      </c>
      <c r="AA19" s="175">
        <f>'IEPR Gas Prices Real'!AR6</f>
        <v>5.4494533855446106</v>
      </c>
      <c r="AB19" s="175">
        <f>'IEPR Gas Prices Real'!AS6</f>
        <v>5.4461346542652045</v>
      </c>
      <c r="AC19" s="175">
        <f>'IEPR Gas Prices Real'!AT6</f>
        <v>5.4429559278051824</v>
      </c>
      <c r="AD19" s="175">
        <f>'IEPR Gas Prices Real'!AU6</f>
        <v>5.4399704360330281</v>
      </c>
      <c r="AE19" s="175">
        <f>'IEPR Gas Prices Real'!AV6</f>
        <v>5.4370760904811526</v>
      </c>
      <c r="AF19" s="175">
        <f>'IEPR Gas Prices Real'!AW6</f>
        <v>5.4344052896056461</v>
      </c>
      <c r="AG19" s="175">
        <f>'IEPR Gas Prices Real'!AX6</f>
        <v>5.4317589753010518</v>
      </c>
      <c r="AH19" s="175">
        <f>'IEPR Gas Prices Real'!AY6</f>
        <v>5.4298281947506881</v>
      </c>
    </row>
    <row r="20" spans="1:35">
      <c r="B20" s="128">
        <v>36557</v>
      </c>
      <c r="C20" s="176">
        <f>'IEPR Gas Prices Real'!T7</f>
        <v>5.5370138478692335</v>
      </c>
      <c r="D20" s="180">
        <f>'IEPR Gas Prices Real'!U7</f>
        <v>5.4078552822790158</v>
      </c>
      <c r="E20" s="180">
        <f>'IEPR Gas Prices Real'!V7</f>
        <v>5.4203509771348513</v>
      </c>
      <c r="F20" s="180">
        <f>'IEPR Gas Prices Real'!W7</f>
        <v>5.4189858779831779</v>
      </c>
      <c r="G20" s="180">
        <f>'IEPR Gas Prices Real'!X7</f>
        <v>5.413948372232646</v>
      </c>
      <c r="H20" s="180">
        <f>'IEPR Gas Prices Real'!Y7</f>
        <v>5.408527146707315</v>
      </c>
      <c r="I20" s="180">
        <f>'IEPR Gas Prices Real'!Z7</f>
        <v>5.4044737409237511</v>
      </c>
      <c r="J20" s="180">
        <f>'IEPR Gas Prices Real'!AA7</f>
        <v>5.4009317526008838</v>
      </c>
      <c r="K20" s="180">
        <f>'IEPR Gas Prices Real'!AB7</f>
        <v>5.3967685841031274</v>
      </c>
      <c r="L20" s="180">
        <f>'IEPR Gas Prices Real'!AC7</f>
        <v>5.3927249744787185</v>
      </c>
      <c r="M20" s="180">
        <f>'IEPR Gas Prices Real'!AD7</f>
        <v>5.389426352838945</v>
      </c>
      <c r="N20" s="180">
        <f>'IEPR Gas Prices Real'!AE7</f>
        <v>5.3847688568847332</v>
      </c>
      <c r="O20" s="180">
        <f>'IEPR Gas Prices Real'!AF7</f>
        <v>5.3815678702847691</v>
      </c>
      <c r="P20" s="180">
        <f>'IEPR Gas Prices Real'!AG7</f>
        <v>5.3747109606175245</v>
      </c>
      <c r="Q20" s="180">
        <f>'IEPR Gas Prices Real'!AH7</f>
        <v>5.3687041305412322</v>
      </c>
      <c r="R20" s="180">
        <f>'IEPR Gas Prices Real'!AI7</f>
        <v>5.364743651358638</v>
      </c>
      <c r="S20" s="180">
        <f>'IEPR Gas Prices Real'!AJ7</f>
        <v>5.3611254682811689</v>
      </c>
      <c r="T20" s="180">
        <f>'IEPR Gas Prices Real'!AK7</f>
        <v>5.3575785772221947</v>
      </c>
      <c r="U20" s="180">
        <f>'IEPR Gas Prices Real'!AL7</f>
        <v>5.352999422627577</v>
      </c>
      <c r="V20" s="180">
        <f>'IEPR Gas Prices Real'!AM7</f>
        <v>5.3487597031443856</v>
      </c>
      <c r="W20" s="180">
        <f>'IEPR Gas Prices Real'!AN7</f>
        <v>5.3446684679227872</v>
      </c>
      <c r="X20" s="180">
        <f>'IEPR Gas Prices Real'!AO7</f>
        <v>5.3407742918657908</v>
      </c>
      <c r="Y20" s="180">
        <f>'IEPR Gas Prices Real'!AP7</f>
        <v>5.3369803958264681</v>
      </c>
      <c r="Z20" s="180">
        <f>'IEPR Gas Prices Real'!AQ7</f>
        <v>5.333410761719624</v>
      </c>
      <c r="AA20" s="180">
        <f>'IEPR Gas Prices Real'!AR7</f>
        <v>5.3299245154652501</v>
      </c>
      <c r="AB20" s="180">
        <f>'IEPR Gas Prices Real'!AS7</f>
        <v>5.326689351235685</v>
      </c>
      <c r="AC20" s="180">
        <f>'IEPR Gas Prices Real'!AT7</f>
        <v>5.3235968013975183</v>
      </c>
      <c r="AD20" s="180">
        <f>'IEPR Gas Prices Real'!AU7</f>
        <v>5.3206829141445269</v>
      </c>
      <c r="AE20" s="180">
        <f>'IEPR Gas Prices Real'!AV7</f>
        <v>5.3178721003814848</v>
      </c>
      <c r="AF20" s="180">
        <f>'IEPR Gas Prices Real'!AW7</f>
        <v>5.3152562988403771</v>
      </c>
      <c r="AG20" s="180">
        <f>'IEPR Gas Prices Real'!AX7</f>
        <v>5.3127297898425532</v>
      </c>
      <c r="AH20" s="180">
        <f>'IEPR Gas Prices Real'!AY7</f>
        <v>5.3108603194679063</v>
      </c>
    </row>
    <row r="21" spans="1:35">
      <c r="B21" s="128">
        <v>36586</v>
      </c>
      <c r="C21" s="176">
        <f>'IEPR Gas Prices Real'!T8</f>
        <v>5.0711161840361472</v>
      </c>
      <c r="D21" s="180">
        <f>'IEPR Gas Prices Real'!U8</f>
        <v>4.9657892583210819</v>
      </c>
      <c r="E21" s="180">
        <f>'IEPR Gas Prices Real'!V8</f>
        <v>4.9760534466558513</v>
      </c>
      <c r="F21" s="180">
        <f>'IEPR Gas Prices Real'!W8</f>
        <v>4.9744746923420964</v>
      </c>
      <c r="G21" s="180">
        <f>'IEPR Gas Prices Real'!X8</f>
        <v>4.9697920342671633</v>
      </c>
      <c r="H21" s="180">
        <f>'IEPR Gas Prices Real'!Y8</f>
        <v>4.9649291025943532</v>
      </c>
      <c r="I21" s="180">
        <f>'IEPR Gas Prices Real'!Z8</f>
        <v>4.9612658935819143</v>
      </c>
      <c r="J21" s="180">
        <f>'IEPR Gas Prices Real'!AA8</f>
        <v>4.9579590392494763</v>
      </c>
      <c r="K21" s="180">
        <f>'IEPR Gas Prices Real'!AB8</f>
        <v>4.9541277678965621</v>
      </c>
      <c r="L21" s="180">
        <f>'IEPR Gas Prices Real'!AC8</f>
        <v>4.950517012046407</v>
      </c>
      <c r="M21" s="180">
        <f>'IEPR Gas Prices Real'!AD8</f>
        <v>4.9473234924722265</v>
      </c>
      <c r="N21" s="180">
        <f>'IEPR Gas Prices Real'!AE8</f>
        <v>4.9432502206357496</v>
      </c>
      <c r="O21" s="180">
        <f>'IEPR Gas Prices Real'!AF8</f>
        <v>4.9399676531462395</v>
      </c>
      <c r="P21" s="180">
        <f>'IEPR Gas Prices Real'!AG8</f>
        <v>4.9337142417281337</v>
      </c>
      <c r="Q21" s="180">
        <f>'IEPR Gas Prices Real'!AH8</f>
        <v>4.9283823713783681</v>
      </c>
      <c r="R21" s="180">
        <f>'IEPR Gas Prices Real'!AI8</f>
        <v>4.9247725813224195</v>
      </c>
      <c r="S21" s="180">
        <f>'IEPR Gas Prices Real'!AJ8</f>
        <v>4.9214776042328294</v>
      </c>
      <c r="T21" s="180">
        <f>'IEPR Gas Prices Real'!AK8</f>
        <v>4.9181208239242409</v>
      </c>
      <c r="U21" s="180">
        <f>'IEPR Gas Prices Real'!AL8</f>
        <v>4.9139460900022476</v>
      </c>
      <c r="V21" s="180">
        <f>'IEPR Gas Prices Real'!AM8</f>
        <v>4.9100640766678287</v>
      </c>
      <c r="W21" s="180">
        <f>'IEPR Gas Prices Real'!AN8</f>
        <v>4.9063252011662799</v>
      </c>
      <c r="X21" s="180">
        <f>'IEPR Gas Prices Real'!AO8</f>
        <v>4.9027554148257861</v>
      </c>
      <c r="Y21" s="180">
        <f>'IEPR Gas Prices Real'!AP8</f>
        <v>4.8992923620437008</v>
      </c>
      <c r="Z21" s="180">
        <f>'IEPR Gas Prices Real'!AQ8</f>
        <v>4.8960187390802092</v>
      </c>
      <c r="AA21" s="180">
        <f>'IEPR Gas Prices Real'!AR8</f>
        <v>4.8928392644756409</v>
      </c>
      <c r="AB21" s="180">
        <f>'IEPR Gas Prices Real'!AS8</f>
        <v>4.8898792939579288</v>
      </c>
      <c r="AC21" s="180">
        <f>'IEPR Gas Prices Real'!AT8</f>
        <v>4.8870554577629015</v>
      </c>
      <c r="AD21" s="180">
        <f>'IEPR Gas Prices Real'!AU8</f>
        <v>4.8843861455498958</v>
      </c>
      <c r="AE21" s="180">
        <f>'IEPR Gas Prices Real'!AV8</f>
        <v>4.881824239921472</v>
      </c>
      <c r="AF21" s="180">
        <f>'IEPR Gas Prices Real'!AW8</f>
        <v>4.8794196606845324</v>
      </c>
      <c r="AG21" s="180">
        <f>'IEPR Gas Prices Real'!AX8</f>
        <v>4.877157042131878</v>
      </c>
      <c r="AH21" s="180">
        <f>'IEPR Gas Prices Real'!AY8</f>
        <v>4.875458286514184</v>
      </c>
    </row>
    <row r="22" spans="1:35">
      <c r="B22" s="128">
        <v>36617</v>
      </c>
      <c r="C22" s="176">
        <f>'IEPR Gas Prices Real'!T9</f>
        <v>4.9731526671499671</v>
      </c>
      <c r="D22" s="180">
        <f>'IEPR Gas Prices Real'!U9</f>
        <v>4.8826346904184446</v>
      </c>
      <c r="E22" s="180">
        <f>'IEPR Gas Prices Real'!V9</f>
        <v>4.8915377731867453</v>
      </c>
      <c r="F22" s="180">
        <f>'IEPR Gas Prices Real'!W9</f>
        <v>4.8896658058736611</v>
      </c>
      <c r="G22" s="180">
        <f>'IEPR Gas Prices Real'!X9</f>
        <v>4.8850055967772859</v>
      </c>
      <c r="H22" s="180">
        <f>'IEPR Gas Prices Real'!Y9</f>
        <v>4.880337251408382</v>
      </c>
      <c r="I22" s="180">
        <f>'IEPR Gas Prices Real'!Z9</f>
        <v>4.8767932226243387</v>
      </c>
      <c r="J22" s="180">
        <f>'IEPR Gas Prices Real'!AA9</f>
        <v>4.8734882727420485</v>
      </c>
      <c r="K22" s="180">
        <f>'IEPR Gas Prices Real'!AB9</f>
        <v>4.869712881032922</v>
      </c>
      <c r="L22" s="180">
        <f>'IEPR Gas Prices Real'!AC9</f>
        <v>4.8662631372167704</v>
      </c>
      <c r="M22" s="180">
        <f>'IEPR Gas Prices Real'!AD9</f>
        <v>4.8629613811444052</v>
      </c>
      <c r="N22" s="180">
        <f>'IEPR Gas Prices Real'!AE9</f>
        <v>4.8591563136981195</v>
      </c>
      <c r="O22" s="180">
        <f>'IEPR Gas Prices Real'!AF9</f>
        <v>4.8555913734199265</v>
      </c>
      <c r="P22" s="180">
        <f>'IEPR Gas Prices Real'!AG9</f>
        <v>4.8494849180710347</v>
      </c>
      <c r="Q22" s="180">
        <f>'IEPR Gas Prices Real'!AH9</f>
        <v>4.8444230986318901</v>
      </c>
      <c r="R22" s="180">
        <f>'IEPR Gas Prices Real'!AI9</f>
        <v>4.840900231925052</v>
      </c>
      <c r="S22" s="180">
        <f>'IEPR Gas Prices Real'!AJ9</f>
        <v>4.8376873958346165</v>
      </c>
      <c r="T22" s="180">
        <f>'IEPR Gas Prices Real'!AK9</f>
        <v>4.8342887134545611</v>
      </c>
      <c r="U22" s="180">
        <f>'IEPR Gas Prices Real'!AL9</f>
        <v>4.8302134666389156</v>
      </c>
      <c r="V22" s="180">
        <f>'IEPR Gas Prices Real'!AM9</f>
        <v>4.8264073976244131</v>
      </c>
      <c r="W22" s="180">
        <f>'IEPR Gas Prices Real'!AN9</f>
        <v>4.8227487441340715</v>
      </c>
      <c r="X22" s="180">
        <f>'IEPR Gas Prices Real'!AO9</f>
        <v>4.8192446910133464</v>
      </c>
      <c r="Y22" s="180">
        <f>'IEPR Gas Prices Real'!AP9</f>
        <v>4.8158599830431266</v>
      </c>
      <c r="Z22" s="180">
        <f>'IEPR Gas Prices Real'!AQ9</f>
        <v>4.8126453168678776</v>
      </c>
      <c r="AA22" s="180">
        <f>'IEPR Gas Prices Real'!AR9</f>
        <v>4.8095404971620423</v>
      </c>
      <c r="AB22" s="180">
        <f>'IEPR Gas Prices Real'!AS9</f>
        <v>4.8066406427987713</v>
      </c>
      <c r="AC22" s="180">
        <f>'IEPR Gas Prices Real'!AT9</f>
        <v>4.8038797320107882</v>
      </c>
      <c r="AD22" s="180">
        <f>'IEPR Gas Prices Real'!AU9</f>
        <v>4.8012613878407384</v>
      </c>
      <c r="AE22" s="180">
        <f>'IEPR Gas Prices Real'!AV9</f>
        <v>4.7987611910348589</v>
      </c>
      <c r="AF22" s="180">
        <f>'IEPR Gas Prices Real'!AW9</f>
        <v>4.7963943156740454</v>
      </c>
      <c r="AG22" s="180">
        <f>'IEPR Gas Prices Real'!AX9</f>
        <v>4.7942259595138976</v>
      </c>
      <c r="AH22" s="180">
        <f>'IEPR Gas Prices Real'!AY9</f>
        <v>4.7925732371291829</v>
      </c>
    </row>
    <row r="23" spans="1:35">
      <c r="B23" s="128">
        <v>36647</v>
      </c>
      <c r="C23" s="176">
        <f>'IEPR Gas Prices Real'!T10</f>
        <v>5.1341494962609193</v>
      </c>
      <c r="D23" s="180">
        <f>'IEPR Gas Prices Real'!U10</f>
        <v>5.0539521330057431</v>
      </c>
      <c r="E23" s="180">
        <f>'IEPR Gas Prices Real'!V10</f>
        <v>5.0619372192560608</v>
      </c>
      <c r="F23" s="180">
        <f>'IEPR Gas Prices Real'!W10</f>
        <v>5.0596688585901139</v>
      </c>
      <c r="G23" s="180">
        <f>'IEPR Gas Prices Real'!X10</f>
        <v>5.0547872352557368</v>
      </c>
      <c r="H23" s="180">
        <f>'IEPR Gas Prices Real'!Y10</f>
        <v>5.050072161056649</v>
      </c>
      <c r="I23" s="180">
        <f>'IEPR Gas Prices Real'!Z10</f>
        <v>5.0464636220972521</v>
      </c>
      <c r="J23" s="180">
        <f>'IEPR Gas Prices Real'!AA10</f>
        <v>5.0429873903603584</v>
      </c>
      <c r="K23" s="180">
        <f>'IEPR Gas Prices Real'!AB10</f>
        <v>5.039070967855241</v>
      </c>
      <c r="L23" s="180">
        <f>'IEPR Gas Prices Real'!AC10</f>
        <v>5.0356042101889669</v>
      </c>
      <c r="M23" s="180">
        <f>'IEPR Gas Prices Real'!AD10</f>
        <v>5.0320192954797411</v>
      </c>
      <c r="N23" s="180">
        <f>'IEPR Gas Prices Real'!AE10</f>
        <v>5.0282876355746309</v>
      </c>
      <c r="O23" s="180">
        <f>'IEPR Gas Prices Real'!AF10</f>
        <v>5.0242485972809217</v>
      </c>
      <c r="P23" s="180">
        <f>'IEPR Gas Prices Real'!AG10</f>
        <v>5.0179715855212255</v>
      </c>
      <c r="Q23" s="180">
        <f>'IEPR Gas Prices Real'!AH10</f>
        <v>5.0129191830974271</v>
      </c>
      <c r="R23" s="180">
        <f>'IEPR Gas Prices Real'!AI10</f>
        <v>5.0093001010872227</v>
      </c>
      <c r="S23" s="180">
        <f>'IEPR Gas Prices Real'!AJ10</f>
        <v>5.0060024340463629</v>
      </c>
      <c r="T23" s="180">
        <f>'IEPR Gas Prices Real'!AK10</f>
        <v>5.0023829936036046</v>
      </c>
      <c r="U23" s="180">
        <f>'IEPR Gas Prices Real'!AL10</f>
        <v>4.9981953609663012</v>
      </c>
      <c r="V23" s="180">
        <f>'IEPR Gas Prices Real'!AM10</f>
        <v>4.9942670646875671</v>
      </c>
      <c r="W23" s="180">
        <f>'IEPR Gas Prices Real'!AN10</f>
        <v>4.9904982618929905</v>
      </c>
      <c r="X23" s="180">
        <f>'IEPR Gas Prices Real'!AO10</f>
        <v>4.9868774232342714</v>
      </c>
      <c r="Y23" s="180">
        <f>'IEPR Gas Prices Real'!AP10</f>
        <v>4.9833950143701395</v>
      </c>
      <c r="Z23" s="180">
        <f>'IEPR Gas Prices Real'!AQ10</f>
        <v>4.9800718364934715</v>
      </c>
      <c r="AA23" s="180">
        <f>'IEPR Gas Prices Real'!AR10</f>
        <v>4.9768802317381278</v>
      </c>
      <c r="AB23" s="180">
        <f>'IEPR Gas Prices Real'!AS10</f>
        <v>4.9738895450072649</v>
      </c>
      <c r="AC23" s="180">
        <f>'IEPR Gas Prices Real'!AT10</f>
        <v>4.9710479419662326</v>
      </c>
      <c r="AD23" s="180">
        <f>'IEPR Gas Prices Real'!AU10</f>
        <v>4.9683442137659695</v>
      </c>
      <c r="AE23" s="180">
        <f>'IEPR Gas Prices Real'!AV10</f>
        <v>4.965775751655495</v>
      </c>
      <c r="AF23" s="180">
        <f>'IEPR Gas Prices Real'!AW10</f>
        <v>4.963323178890688</v>
      </c>
      <c r="AG23" s="180">
        <f>'IEPR Gas Prices Real'!AX10</f>
        <v>4.9611370659694005</v>
      </c>
      <c r="AH23" s="180">
        <f>'IEPR Gas Prices Real'!AY10</f>
        <v>4.9594445496930026</v>
      </c>
    </row>
    <row r="24" spans="1:35">
      <c r="B24" s="128">
        <v>36678</v>
      </c>
      <c r="C24" s="176">
        <f>'IEPR Gas Prices Real'!T11</f>
        <v>5.2544815794902187</v>
      </c>
      <c r="D24" s="180">
        <f>'IEPR Gas Prices Real'!U11</f>
        <v>5.186031246344637</v>
      </c>
      <c r="E24" s="180">
        <f>'IEPR Gas Prices Real'!V11</f>
        <v>5.1929630671573799</v>
      </c>
      <c r="F24" s="180">
        <f>'IEPR Gas Prices Real'!W11</f>
        <v>5.1902962293720316</v>
      </c>
      <c r="G24" s="180">
        <f>'IEPR Gas Prices Real'!X11</f>
        <v>5.1852276439683838</v>
      </c>
      <c r="H24" s="180">
        <f>'IEPR Gas Prices Real'!Y11</f>
        <v>5.1805094201907034</v>
      </c>
      <c r="I24" s="180">
        <f>'IEPR Gas Prices Real'!Z11</f>
        <v>5.1768679510146383</v>
      </c>
      <c r="J24" s="180">
        <f>'IEPR Gas Prices Real'!AA11</f>
        <v>5.1732441319510114</v>
      </c>
      <c r="K24" s="180">
        <f>'IEPR Gas Prices Real'!AB11</f>
        <v>5.169216575349175</v>
      </c>
      <c r="L24" s="180">
        <f>'IEPR Gas Prices Real'!AC11</f>
        <v>5.1657659145813879</v>
      </c>
      <c r="M24" s="180">
        <f>'IEPR Gas Prices Real'!AD11</f>
        <v>5.1619157102232469</v>
      </c>
      <c r="N24" s="180">
        <f>'IEPR Gas Prices Real'!AE11</f>
        <v>5.1582987526735877</v>
      </c>
      <c r="O24" s="180">
        <f>'IEPR Gas Prices Real'!AF11</f>
        <v>5.1537961899242788</v>
      </c>
      <c r="P24" s="180">
        <f>'IEPR Gas Prices Real'!AG11</f>
        <v>5.1473999583570667</v>
      </c>
      <c r="Q24" s="180">
        <f>'IEPR Gas Prices Real'!AH11</f>
        <v>5.1424073370577483</v>
      </c>
      <c r="R24" s="180">
        <f>'IEPR Gas Prices Real'!AI11</f>
        <v>5.1387217691828617</v>
      </c>
      <c r="S24" s="180">
        <f>'IEPR Gas Prices Real'!AJ11</f>
        <v>5.1353665353506068</v>
      </c>
      <c r="T24" s="180">
        <f>'IEPR Gas Prices Real'!AK11</f>
        <v>5.1315483926017258</v>
      </c>
      <c r="U24" s="180">
        <f>'IEPR Gas Prices Real'!AL11</f>
        <v>5.1272827089663737</v>
      </c>
      <c r="V24" s="180">
        <f>'IEPR Gas Prices Real'!AM11</f>
        <v>5.123263358230183</v>
      </c>
      <c r="W24" s="180">
        <f>'IEPR Gas Prices Real'!AN11</f>
        <v>5.1194147519005284</v>
      </c>
      <c r="X24" s="180">
        <f>'IEPR Gas Prices Real'!AO11</f>
        <v>5.1157056064365216</v>
      </c>
      <c r="Y24" s="180">
        <f>'IEPR Gas Prices Real'!AP11</f>
        <v>5.1121537878380749</v>
      </c>
      <c r="Z24" s="180">
        <f>'IEPR Gas Prices Real'!AQ11</f>
        <v>5.1087481540316473</v>
      </c>
      <c r="AA24" s="180">
        <f>'IEPR Gas Prices Real'!AR11</f>
        <v>5.1054958628490725</v>
      </c>
      <c r="AB24" s="180">
        <f>'IEPR Gas Prices Real'!AS11</f>
        <v>5.1024382131467823</v>
      </c>
      <c r="AC24" s="180">
        <f>'IEPR Gas Prices Real'!AT11</f>
        <v>5.0995389433286853</v>
      </c>
      <c r="AD24" s="180">
        <f>'IEPR Gas Prices Real'!AU11</f>
        <v>5.0967712088146637</v>
      </c>
      <c r="AE24" s="180">
        <f>'IEPR Gas Prices Real'!AV11</f>
        <v>5.0941555815308606</v>
      </c>
      <c r="AF24" s="180">
        <f>'IEPR Gas Prices Real'!AW11</f>
        <v>5.0916361950126579</v>
      </c>
      <c r="AG24" s="180">
        <f>'IEPR Gas Prices Real'!AX11</f>
        <v>5.0894527715095146</v>
      </c>
      <c r="AH24" s="180">
        <f>'IEPR Gas Prices Real'!AY11</f>
        <v>5.0877346854497612</v>
      </c>
    </row>
    <row r="25" spans="1:35">
      <c r="B25" s="128">
        <v>36708</v>
      </c>
      <c r="C25" s="176">
        <f>'IEPR Gas Prices Real'!T12</f>
        <v>5.2836722783361934</v>
      </c>
      <c r="D25" s="180">
        <f>'IEPR Gas Prices Real'!U12</f>
        <v>5.2286099985596923</v>
      </c>
      <c r="E25" s="180">
        <f>'IEPR Gas Prices Real'!V12</f>
        <v>5.2343270167336913</v>
      </c>
      <c r="F25" s="180">
        <f>'IEPR Gas Prices Real'!W12</f>
        <v>5.2312964616415103</v>
      </c>
      <c r="G25" s="180">
        <f>'IEPR Gas Prices Real'!X12</f>
        <v>5.2261264154806275</v>
      </c>
      <c r="H25" s="180">
        <f>'IEPR Gas Prices Real'!Y12</f>
        <v>5.2214904566033615</v>
      </c>
      <c r="I25" s="180">
        <f>'IEPR Gas Prices Real'!Z12</f>
        <v>5.2178809397661565</v>
      </c>
      <c r="J25" s="180">
        <f>'IEPR Gas Prices Real'!AA12</f>
        <v>5.2141701888437817</v>
      </c>
      <c r="K25" s="180">
        <f>'IEPR Gas Prices Real'!AB12</f>
        <v>5.2101007139132571</v>
      </c>
      <c r="L25" s="180">
        <f>'IEPR Gas Prices Real'!AC12</f>
        <v>5.2067292447296998</v>
      </c>
      <c r="M25" s="180">
        <f>'IEPR Gas Prices Real'!AD12</f>
        <v>5.202674498680242</v>
      </c>
      <c r="N25" s="180">
        <f>'IEPR Gas Prices Real'!AE12</f>
        <v>5.1992417126149189</v>
      </c>
      <c r="O25" s="180">
        <f>'IEPR Gas Prices Real'!AF12</f>
        <v>5.1943414426796037</v>
      </c>
      <c r="P25" s="180">
        <f>'IEPR Gas Prices Real'!AG12</f>
        <v>5.1879378657789523</v>
      </c>
      <c r="Q25" s="180">
        <f>'IEPR Gas Prices Real'!AH12</f>
        <v>5.1830975582571375</v>
      </c>
      <c r="R25" s="180">
        <f>'IEPR Gas Prices Real'!AI12</f>
        <v>5.1794100429253653</v>
      </c>
      <c r="S25" s="180">
        <f>'IEPR Gas Prices Real'!AJ12</f>
        <v>5.1760560970596536</v>
      </c>
      <c r="T25" s="180">
        <f>'IEPR Gas Prices Real'!AK12</f>
        <v>5.1721016879117609</v>
      </c>
      <c r="U25" s="180">
        <f>'IEPR Gas Prices Real'!AL12</f>
        <v>5.1678326126718117</v>
      </c>
      <c r="V25" s="180">
        <f>'IEPR Gas Prices Real'!AM12</f>
        <v>5.1637919587607302</v>
      </c>
      <c r="W25" s="180">
        <f>'IEPR Gas Prices Real'!AN12</f>
        <v>5.159930588688491</v>
      </c>
      <c r="X25" s="180">
        <f>'IEPR Gas Prices Real'!AO12</f>
        <v>5.1561973585997469</v>
      </c>
      <c r="Y25" s="180">
        <f>'IEPR Gas Prices Real'!AP12</f>
        <v>5.152638144719174</v>
      </c>
      <c r="Z25" s="180">
        <f>'IEPR Gas Prices Real'!AQ12</f>
        <v>5.1492089751373431</v>
      </c>
      <c r="AA25" s="180">
        <f>'IEPR Gas Prices Real'!AR12</f>
        <v>5.1459528800549883</v>
      </c>
      <c r="AB25" s="180">
        <f>'IEPR Gas Prices Real'!AS12</f>
        <v>5.1428814079813687</v>
      </c>
      <c r="AC25" s="180">
        <f>'IEPR Gas Prices Real'!AT12</f>
        <v>5.139975058002527</v>
      </c>
      <c r="AD25" s="180">
        <f>'IEPR Gas Prices Real'!AU12</f>
        <v>5.137191303570078</v>
      </c>
      <c r="AE25" s="180">
        <f>'IEPR Gas Prices Real'!AV12</f>
        <v>5.1345743143303961</v>
      </c>
      <c r="AF25" s="180">
        <f>'IEPR Gas Prices Real'!AW12</f>
        <v>5.1320315032671351</v>
      </c>
      <c r="AG25" s="180">
        <f>'IEPR Gas Prices Real'!AX12</f>
        <v>5.129890437231837</v>
      </c>
      <c r="AH25" s="180">
        <f>'IEPR Gas Prices Real'!AY12</f>
        <v>5.1281770518153396</v>
      </c>
    </row>
    <row r="26" spans="1:35">
      <c r="B26" s="128">
        <v>36739</v>
      </c>
      <c r="C26" s="176">
        <f>'IEPR Gas Prices Real'!T13</f>
        <v>5.2304608908891774</v>
      </c>
      <c r="D26" s="180">
        <f>'IEPR Gas Prices Real'!U13</f>
        <v>5.1896485662689846</v>
      </c>
      <c r="E26" s="180">
        <f>'IEPR Gas Prices Real'!V13</f>
        <v>5.1940613326812839</v>
      </c>
      <c r="F26" s="180">
        <f>'IEPR Gas Prices Real'!W13</f>
        <v>5.190714243252561</v>
      </c>
      <c r="G26" s="180">
        <f>'IEPR Gas Prices Real'!X13</f>
        <v>5.1855233494644253</v>
      </c>
      <c r="H26" s="180">
        <f>'IEPR Gas Prices Real'!Y13</f>
        <v>5.1810419810802975</v>
      </c>
      <c r="I26" s="180">
        <f>'IEPR Gas Prices Real'!Z13</f>
        <v>5.1775207212167382</v>
      </c>
      <c r="J26" s="180">
        <f>'IEPR Gas Prices Real'!AA13</f>
        <v>5.1737808944659305</v>
      </c>
      <c r="K26" s="180">
        <f>'IEPR Gas Prices Real'!AB13</f>
        <v>5.1697329626435122</v>
      </c>
      <c r="L26" s="180">
        <f>'IEPR Gas Prices Real'!AC13</f>
        <v>5.1664932878198462</v>
      </c>
      <c r="M26" s="180">
        <f>'IEPR Gas Prices Real'!AD13</f>
        <v>5.1622971941171087</v>
      </c>
      <c r="N26" s="180">
        <f>'IEPR Gas Prices Real'!AE13</f>
        <v>5.159102162984472</v>
      </c>
      <c r="O26" s="180">
        <f>'IEPR Gas Prices Real'!AF13</f>
        <v>5.1538805226936084</v>
      </c>
      <c r="P26" s="180">
        <f>'IEPR Gas Prices Real'!AG13</f>
        <v>5.1475694746344152</v>
      </c>
      <c r="Q26" s="180">
        <f>'IEPR Gas Prices Real'!AH13</f>
        <v>5.1429570099137321</v>
      </c>
      <c r="R26" s="180">
        <f>'IEPR Gas Prices Real'!AI13</f>
        <v>5.1393250604403251</v>
      </c>
      <c r="S26" s="180">
        <f>'IEPR Gas Prices Real'!AJ13</f>
        <v>5.1360247139600883</v>
      </c>
      <c r="T26" s="180">
        <f>'IEPR Gas Prices Real'!AK13</f>
        <v>5.1319956833246811</v>
      </c>
      <c r="U26" s="180">
        <f>'IEPR Gas Prices Real'!AL13</f>
        <v>5.1277897999860214</v>
      </c>
      <c r="V26" s="180">
        <f>'IEPR Gas Prices Real'!AM13</f>
        <v>5.1237908595944051</v>
      </c>
      <c r="W26" s="180">
        <f>'IEPR Gas Prices Real'!AN13</f>
        <v>5.119976948182134</v>
      </c>
      <c r="X26" s="180">
        <f>'IEPR Gas Prices Real'!AO13</f>
        <v>5.1162778546634904</v>
      </c>
      <c r="Y26" s="180">
        <f>'IEPR Gas Prices Real'!AP13</f>
        <v>5.1127667564505153</v>
      </c>
      <c r="Z26" s="180">
        <f>'IEPR Gas Prices Real'!AQ13</f>
        <v>5.1093675300173658</v>
      </c>
      <c r="AA26" s="180">
        <f>'IEPR Gas Prices Real'!AR13</f>
        <v>5.1061584151067745</v>
      </c>
      <c r="AB26" s="180">
        <f>'IEPR Gas Prices Real'!AS13</f>
        <v>5.1031210228679189</v>
      </c>
      <c r="AC26" s="180">
        <f>'IEPR Gas Prices Real'!AT13</f>
        <v>5.1002529211054108</v>
      </c>
      <c r="AD26" s="180">
        <f>'IEPR Gas Prices Real'!AU13</f>
        <v>5.0974965609514937</v>
      </c>
      <c r="AE26" s="180">
        <f>'IEPR Gas Prices Real'!AV13</f>
        <v>5.094919026330456</v>
      </c>
      <c r="AF26" s="180">
        <f>'IEPR Gas Prices Real'!AW13</f>
        <v>5.0923924452367801</v>
      </c>
      <c r="AG26" s="180">
        <f>'IEPR Gas Prices Real'!AX13</f>
        <v>5.0903271404508112</v>
      </c>
      <c r="AH26" s="180">
        <f>'IEPR Gas Prices Real'!AY13</f>
        <v>5.0886451802482755</v>
      </c>
    </row>
    <row r="27" spans="1:35">
      <c r="B27" s="128">
        <v>36770</v>
      </c>
      <c r="C27" s="176">
        <f>'IEPR Gas Prices Real'!T14</f>
        <v>5.2914566285924627</v>
      </c>
      <c r="D27" s="180">
        <f>'IEPR Gas Prices Real'!U14</f>
        <v>5.2640905198081676</v>
      </c>
      <c r="E27" s="180">
        <f>'IEPR Gas Prices Real'!V14</f>
        <v>5.267287431513104</v>
      </c>
      <c r="F27" s="180">
        <f>'IEPR Gas Prices Real'!W14</f>
        <v>5.2635485092998415</v>
      </c>
      <c r="G27" s="180">
        <f>'IEPR Gas Prices Real'!X14</f>
        <v>5.2582229593992578</v>
      </c>
      <c r="H27" s="180">
        <f>'IEPR Gas Prices Real'!Y14</f>
        <v>5.2537990194013329</v>
      </c>
      <c r="I27" s="180">
        <f>'IEPR Gas Prices Real'!Z14</f>
        <v>5.2502894610336179</v>
      </c>
      <c r="J27" s="180">
        <f>'IEPR Gas Prices Real'!AA14</f>
        <v>5.2464384752984019</v>
      </c>
      <c r="K27" s="180">
        <f>'IEPR Gas Prices Real'!AB14</f>
        <v>5.2423235759253757</v>
      </c>
      <c r="L27" s="180">
        <f>'IEPR Gas Prices Real'!AC14</f>
        <v>5.2391455815280219</v>
      </c>
      <c r="M27" s="180">
        <f>'IEPR Gas Prices Real'!AD14</f>
        <v>5.2347153558514963</v>
      </c>
      <c r="N27" s="180">
        <f>'IEPR Gas Prices Real'!AE14</f>
        <v>5.2316896127636561</v>
      </c>
      <c r="O27" s="180">
        <f>'IEPR Gas Prices Real'!AF14</f>
        <v>5.2260302218231667</v>
      </c>
      <c r="P27" s="180">
        <f>'IEPR Gas Prices Real'!AG14</f>
        <v>5.2196740797889474</v>
      </c>
      <c r="Q27" s="180">
        <f>'IEPR Gas Prices Real'!AH14</f>
        <v>5.2151898876029144</v>
      </c>
      <c r="R27" s="180">
        <f>'IEPR Gas Prices Real'!AI14</f>
        <v>5.2115343179698392</v>
      </c>
      <c r="S27" s="180">
        <f>'IEPR Gas Prices Real'!AJ14</f>
        <v>5.2082156342978152</v>
      </c>
      <c r="T27" s="180">
        <f>'IEPR Gas Prices Real'!AK14</f>
        <v>5.2040232779407587</v>
      </c>
      <c r="U27" s="180">
        <f>'IEPR Gas Prices Real'!AL14</f>
        <v>5.1997888799283833</v>
      </c>
      <c r="V27" s="180">
        <f>'IEPR Gas Prices Real'!AM14</f>
        <v>5.195744342696007</v>
      </c>
      <c r="W27" s="180">
        <f>'IEPR Gas Prices Real'!AN14</f>
        <v>5.1918946678766673</v>
      </c>
      <c r="X27" s="180">
        <f>'IEPR Gas Prices Real'!AO14</f>
        <v>5.1881489191299286</v>
      </c>
      <c r="Y27" s="180">
        <f>'IEPR Gas Prices Real'!AP14</f>
        <v>5.1846093500560499</v>
      </c>
      <c r="Z27" s="180">
        <f>'IEPR Gas Prices Real'!AQ14</f>
        <v>5.1811658153527187</v>
      </c>
      <c r="AA27" s="180">
        <f>'IEPR Gas Prices Real'!AR14</f>
        <v>5.1779337001260641</v>
      </c>
      <c r="AB27" s="180">
        <f>'IEPR Gas Prices Real'!AS14</f>
        <v>5.1748640863404161</v>
      </c>
      <c r="AC27" s="180">
        <f>'IEPR Gas Prices Real'!AT14</f>
        <v>5.1719716650833405</v>
      </c>
      <c r="AD27" s="180">
        <f>'IEPR Gas Prices Real'!AU14</f>
        <v>5.1691825099894757</v>
      </c>
      <c r="AE27" s="180">
        <f>'IEPR Gas Prices Real'!AV14</f>
        <v>5.1665882331056663</v>
      </c>
      <c r="AF27" s="180">
        <f>'IEPR Gas Prices Real'!AW14</f>
        <v>5.1640226542288552</v>
      </c>
      <c r="AG27" s="180">
        <f>'IEPR Gas Prices Real'!AX14</f>
        <v>5.16198836062906</v>
      </c>
      <c r="AH27" s="180">
        <f>'IEPR Gas Prices Real'!AY14</f>
        <v>5.1603011904612428</v>
      </c>
    </row>
    <row r="28" spans="1:35">
      <c r="B28" s="128">
        <v>36800</v>
      </c>
      <c r="C28" s="176">
        <f>'IEPR Gas Prices Real'!T15</f>
        <v>5.2484607300222157</v>
      </c>
      <c r="D28" s="180">
        <f>'IEPR Gas Prices Real'!U15</f>
        <v>5.2351929691282066</v>
      </c>
      <c r="E28" s="180">
        <f>'IEPR Gas Prices Real'!V15</f>
        <v>5.2371007922891701</v>
      </c>
      <c r="F28" s="180">
        <f>'IEPR Gas Prices Real'!W15</f>
        <v>5.23304062057223</v>
      </c>
      <c r="G28" s="180">
        <f>'IEPR Gas Prices Real'!X15</f>
        <v>5.2276844676176069</v>
      </c>
      <c r="H28" s="180">
        <f>'IEPR Gas Prices Real'!Y15</f>
        <v>5.2234057991984235</v>
      </c>
      <c r="I28" s="180">
        <f>'IEPR Gas Prices Real'!Z15</f>
        <v>5.219977348022204</v>
      </c>
      <c r="J28" s="180">
        <f>'IEPR Gas Prices Real'!AA15</f>
        <v>5.2160903311196769</v>
      </c>
      <c r="K28" s="180">
        <f>'IEPR Gas Prices Real'!AB15</f>
        <v>5.2119891709916928</v>
      </c>
      <c r="L28" s="180">
        <f>'IEPR Gas Prices Real'!AC15</f>
        <v>5.2089361299828365</v>
      </c>
      <c r="M28" s="180">
        <f>'IEPR Gas Prices Real'!AD15</f>
        <v>5.2043573177769105</v>
      </c>
      <c r="N28" s="180">
        <f>'IEPR Gas Prices Real'!AE15</f>
        <v>5.2015620228173276</v>
      </c>
      <c r="O28" s="180">
        <f>'IEPR Gas Prices Real'!AF15</f>
        <v>5.1955730094528656</v>
      </c>
      <c r="P28" s="180">
        <f>'IEPR Gas Prices Real'!AG15</f>
        <v>5.189296923104159</v>
      </c>
      <c r="Q28" s="180">
        <f>'IEPR Gas Prices Real'!AH15</f>
        <v>5.1850306250106994</v>
      </c>
      <c r="R28" s="180">
        <f>'IEPR Gas Prices Real'!AI15</f>
        <v>5.18142343101281</v>
      </c>
      <c r="S28" s="180">
        <f>'IEPR Gas Prices Real'!AJ15</f>
        <v>5.1781517968367501</v>
      </c>
      <c r="T28" s="180">
        <f>'IEPR Gas Prices Real'!AK15</f>
        <v>5.1738775508019339</v>
      </c>
      <c r="U28" s="180">
        <f>'IEPR Gas Prices Real'!AL15</f>
        <v>5.1696980242431732</v>
      </c>
      <c r="V28" s="180">
        <f>'IEPR Gas Prices Real'!AM15</f>
        <v>5.1656873849376517</v>
      </c>
      <c r="W28" s="180">
        <f>'IEPR Gas Prices Real'!AN15</f>
        <v>5.1618776749220645</v>
      </c>
      <c r="X28" s="180">
        <f>'IEPR Gas Prices Real'!AO15</f>
        <v>5.1581588563003198</v>
      </c>
      <c r="Y28" s="180">
        <f>'IEPR Gas Prices Real'!AP15</f>
        <v>5.1546604810310059</v>
      </c>
      <c r="Z28" s="180">
        <f>'IEPR Gas Prices Real'!AQ15</f>
        <v>5.1512402746333477</v>
      </c>
      <c r="AA28" s="180">
        <f>'IEPR Gas Prices Real'!AR15</f>
        <v>5.1480487974470721</v>
      </c>
      <c r="AB28" s="180">
        <f>'IEPR Gas Prices Real'!AS15</f>
        <v>5.1450073147149338</v>
      </c>
      <c r="AC28" s="180">
        <f>'IEPR Gas Prices Real'!AT15</f>
        <v>5.1421474929171689</v>
      </c>
      <c r="AD28" s="180">
        <f>'IEPR Gas Prices Real'!AU15</f>
        <v>5.1393803520836343</v>
      </c>
      <c r="AE28" s="180">
        <f>'IEPR Gas Prices Real'!AV15</f>
        <v>5.1368204269294511</v>
      </c>
      <c r="AF28" s="180">
        <f>'IEPR Gas Prices Real'!AW15</f>
        <v>5.1342661926513324</v>
      </c>
      <c r="AG28" s="180">
        <f>'IEPR Gas Prices Real'!AX15</f>
        <v>5.1323033420727482</v>
      </c>
      <c r="AH28" s="180">
        <f>'IEPR Gas Prices Real'!AY15</f>
        <v>5.1306442377340318</v>
      </c>
    </row>
    <row r="29" spans="1:35">
      <c r="B29" s="128">
        <v>36831</v>
      </c>
      <c r="C29" s="176">
        <f>'IEPR Gas Prices Real'!T16</f>
        <v>5.4947526100576516</v>
      </c>
      <c r="D29" s="180">
        <f>'IEPR Gas Prices Real'!U16</f>
        <v>5.4954599818545438</v>
      </c>
      <c r="E29" s="180">
        <f>'IEPR Gas Prices Real'!V16</f>
        <v>5.4961285198395311</v>
      </c>
      <c r="F29" s="180">
        <f>'IEPR Gas Prices Real'!W16</f>
        <v>5.4915078982220082</v>
      </c>
      <c r="G29" s="180">
        <f>'IEPR Gas Prices Real'!X16</f>
        <v>5.4858226811348629</v>
      </c>
      <c r="H29" s="180">
        <f>'IEPR Gas Prices Real'!Y16</f>
        <v>5.4814582410253143</v>
      </c>
      <c r="I29" s="180">
        <f>'IEPR Gas Prices Real'!Z16</f>
        <v>5.4779242302813058</v>
      </c>
      <c r="J29" s="180">
        <f>'IEPR Gas Prices Real'!AA16</f>
        <v>5.4737839850405097</v>
      </c>
      <c r="K29" s="180">
        <f>'IEPR Gas Prices Real'!AB16</f>
        <v>5.4694696508188398</v>
      </c>
      <c r="L29" s="180">
        <f>'IEPR Gas Prices Real'!AC16</f>
        <v>5.4663776280498348</v>
      </c>
      <c r="M29" s="180">
        <f>'IEPR Gas Prices Real'!AD16</f>
        <v>5.4613897626041279</v>
      </c>
      <c r="N29" s="180">
        <f>'IEPR Gas Prices Real'!AE16</f>
        <v>5.4586798645183761</v>
      </c>
      <c r="O29" s="180">
        <f>'IEPR Gas Prices Real'!AF16</f>
        <v>5.452014662519157</v>
      </c>
      <c r="P29" s="180">
        <f>'IEPR Gas Prices Real'!AG16</f>
        <v>5.4454739477456604</v>
      </c>
      <c r="Q29" s="180">
        <f>'IEPR Gas Prices Real'!AH16</f>
        <v>5.4411983433812248</v>
      </c>
      <c r="R29" s="180">
        <f>'IEPR Gas Prices Real'!AI16</f>
        <v>5.4374415198238317</v>
      </c>
      <c r="S29" s="180">
        <f>'IEPR Gas Prices Real'!AJ16</f>
        <v>5.4340374873792685</v>
      </c>
      <c r="T29" s="180">
        <f>'IEPR Gas Prices Real'!AK16</f>
        <v>5.4294406797630677</v>
      </c>
      <c r="U29" s="180">
        <f>'IEPR Gas Prices Real'!AL16</f>
        <v>5.4250865518506766</v>
      </c>
      <c r="V29" s="180">
        <f>'IEPR Gas Prices Real'!AM16</f>
        <v>5.4208887949794766</v>
      </c>
      <c r="W29" s="180">
        <f>'IEPR Gas Prices Real'!AN16</f>
        <v>5.416909444470364</v>
      </c>
      <c r="X29" s="180">
        <f>'IEPR Gas Prices Real'!AO16</f>
        <v>5.4130124262718669</v>
      </c>
      <c r="Y29" s="180">
        <f>'IEPR Gas Prices Real'!AP16</f>
        <v>5.4093629641254601</v>
      </c>
      <c r="Z29" s="180">
        <f>'IEPR Gas Prices Real'!AQ16</f>
        <v>5.4057773651893983</v>
      </c>
      <c r="AA29" s="180">
        <f>'IEPR Gas Prices Real'!AR16</f>
        <v>5.4024512462770389</v>
      </c>
      <c r="AB29" s="180">
        <f>'IEPR Gas Prices Real'!AS16</f>
        <v>5.3992703920877991</v>
      </c>
      <c r="AC29" s="180">
        <f>'IEPR Gas Prices Real'!AT16</f>
        <v>5.3962859390477966</v>
      </c>
      <c r="AD29" s="180">
        <f>'IEPR Gas Prices Real'!AU16</f>
        <v>5.3933882631153756</v>
      </c>
      <c r="AE29" s="180">
        <f>'IEPR Gas Prices Real'!AV16</f>
        <v>5.3907221718246516</v>
      </c>
      <c r="AF29" s="180">
        <f>'IEPR Gas Prices Real'!AW16</f>
        <v>5.3880380799330316</v>
      </c>
      <c r="AG29" s="180">
        <f>'IEPR Gas Prices Real'!AX16</f>
        <v>5.3860408892680098</v>
      </c>
      <c r="AH29" s="180">
        <f>'IEPR Gas Prices Real'!AY16</f>
        <v>5.3843190324095227</v>
      </c>
    </row>
    <row r="30" spans="1:35">
      <c r="B30" s="128">
        <v>36861</v>
      </c>
      <c r="C30" s="177">
        <f>'IEPR Gas Prices Real'!T17</f>
        <v>5.5257198814528179</v>
      </c>
      <c r="D30" s="178">
        <f>'IEPR Gas Prices Real'!U17</f>
        <v>5.5411827759722199</v>
      </c>
      <c r="E30" s="178">
        <f>'IEPR Gas Prices Real'!V17</f>
        <v>5.5405122694137283</v>
      </c>
      <c r="F30" s="178">
        <f>'IEPR Gas Prices Real'!W17</f>
        <v>5.5354917894024043</v>
      </c>
      <c r="G30" s="178">
        <f>'IEPR Gas Prices Real'!X17</f>
        <v>5.5296959941912123</v>
      </c>
      <c r="H30" s="178">
        <f>'IEPR Gas Prices Real'!Y17</f>
        <v>5.5254231799430356</v>
      </c>
      <c r="I30" s="178">
        <f>'IEPR Gas Prices Real'!Z17</f>
        <v>5.5219251607759796</v>
      </c>
      <c r="J30" s="178">
        <f>'IEPR Gas Prices Real'!AA17</f>
        <v>5.5176900115681748</v>
      </c>
      <c r="K30" s="178">
        <f>'IEPR Gas Prices Real'!AB17</f>
        <v>5.5133304233471963</v>
      </c>
      <c r="L30" s="178">
        <f>'IEPR Gas Prices Real'!AC17</f>
        <v>5.5103263600576291</v>
      </c>
      <c r="M30" s="178">
        <f>'IEPR Gas Prices Real'!AD17</f>
        <v>5.505114152596267</v>
      </c>
      <c r="N30" s="178">
        <f>'IEPR Gas Prices Real'!AE17</f>
        <v>5.5026078340371134</v>
      </c>
      <c r="O30" s="178">
        <f>'IEPR Gas Prices Real'!AF17</f>
        <v>5.4955057601110369</v>
      </c>
      <c r="P30" s="178">
        <f>'IEPR Gas Prices Real'!AG17</f>
        <v>5.4889583844356338</v>
      </c>
      <c r="Q30" s="178">
        <f>'IEPR Gas Prices Real'!AH17</f>
        <v>5.4848515909978266</v>
      </c>
      <c r="R30" s="178">
        <f>'IEPR Gas Prices Real'!AI17</f>
        <v>5.4810934451456035</v>
      </c>
      <c r="S30" s="178">
        <f>'IEPR Gas Prices Real'!AJ17</f>
        <v>5.4776915789480283</v>
      </c>
      <c r="T30" s="178">
        <f>'IEPR Gas Prices Real'!AK17</f>
        <v>5.4729455933246554</v>
      </c>
      <c r="U30" s="178">
        <f>'IEPR Gas Prices Real'!AL17</f>
        <v>5.4685886824714407</v>
      </c>
      <c r="V30" s="178">
        <f>'IEPR Gas Prices Real'!AM17</f>
        <v>5.4643683670738845</v>
      </c>
      <c r="W30" s="178">
        <f>'IEPR Gas Prices Real'!AN17</f>
        <v>5.4603758218861786</v>
      </c>
      <c r="X30" s="178">
        <f>'IEPR Gas Prices Real'!AO17</f>
        <v>5.4564531136088528</v>
      </c>
      <c r="Y30" s="178">
        <f>'IEPR Gas Prices Real'!AP17</f>
        <v>5.4527963012819525</v>
      </c>
      <c r="Z30" s="178">
        <f>'IEPR Gas Prices Real'!AQ17</f>
        <v>5.4491855488696066</v>
      </c>
      <c r="AA30" s="178">
        <f>'IEPR Gas Prices Real'!AR17</f>
        <v>5.4458559670993267</v>
      </c>
      <c r="AB30" s="178">
        <f>'IEPR Gas Prices Real'!AS17</f>
        <v>5.4426605763022673</v>
      </c>
      <c r="AC30" s="178">
        <f>'IEPR Gas Prices Real'!AT17</f>
        <v>5.4396689745166862</v>
      </c>
      <c r="AD30" s="178">
        <f>'IEPR Gas Prices Real'!AU17</f>
        <v>5.436754277825977</v>
      </c>
      <c r="AE30" s="178">
        <f>'IEPR Gas Prices Real'!AV17</f>
        <v>5.4340872702879741</v>
      </c>
      <c r="AF30" s="178">
        <f>'IEPR Gas Prices Real'!AW17</f>
        <v>5.431377949757568</v>
      </c>
      <c r="AG30" s="178">
        <f>'IEPR Gas Prices Real'!AX17</f>
        <v>5.4294278815914154</v>
      </c>
      <c r="AH30" s="178">
        <f>'IEPR Gas Prices Real'!AY17</f>
        <v>5.4277115832670484</v>
      </c>
    </row>
    <row r="31" spans="1:35">
      <c r="B31" s="129"/>
      <c r="C31" s="129"/>
      <c r="D31" s="127"/>
      <c r="E31" s="127"/>
      <c r="F31" s="127"/>
      <c r="G31" s="127"/>
      <c r="H31" s="130"/>
      <c r="I31" s="130"/>
      <c r="J31" s="130"/>
      <c r="K31" s="130"/>
      <c r="L31" s="130"/>
      <c r="M31" s="130"/>
      <c r="N31" s="130"/>
      <c r="O31" s="130"/>
      <c r="P31" s="130"/>
      <c r="Q31" s="130"/>
      <c r="R31" s="130"/>
      <c r="S31" s="131"/>
      <c r="T31" s="130"/>
      <c r="U31" s="130"/>
      <c r="V31" s="130"/>
      <c r="W31" s="130"/>
      <c r="X31" s="130"/>
      <c r="Y31" s="130"/>
      <c r="Z31" s="130"/>
      <c r="AA31" s="130"/>
      <c r="AB31" s="130"/>
      <c r="AC31" s="130"/>
      <c r="AD31" s="130"/>
      <c r="AE31" s="130"/>
      <c r="AF31" s="130"/>
      <c r="AG31" s="130"/>
      <c r="AH31" s="130"/>
      <c r="AI31" s="130"/>
    </row>
    <row r="32" spans="1:35">
      <c r="B32" s="129"/>
      <c r="C32" s="129"/>
      <c r="D32" s="127"/>
      <c r="E32" s="127"/>
      <c r="F32" s="127"/>
      <c r="G32" s="127"/>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row>
    <row r="33" spans="1:36" s="37" customFormat="1">
      <c r="A33" s="59"/>
      <c r="B33" s="59" t="s">
        <v>92</v>
      </c>
      <c r="C33" s="59"/>
      <c r="D33" s="59"/>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spans="1:36">
      <c r="D34" s="8"/>
      <c r="E34" s="132"/>
      <c r="F34" s="132"/>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36">
      <c r="B35" s="127" t="s">
        <v>93</v>
      </c>
      <c r="C35" s="173">
        <f>'User Dashboard'!E$58</f>
        <v>2023</v>
      </c>
      <c r="D35" s="173">
        <f>'User Dashboard'!F$58</f>
        <v>2024</v>
      </c>
      <c r="E35" s="173">
        <f>'User Dashboard'!G$58</f>
        <v>2025</v>
      </c>
      <c r="F35" s="173">
        <f>'User Dashboard'!H$58</f>
        <v>2026</v>
      </c>
      <c r="G35" s="173">
        <f>'User Dashboard'!I$58</f>
        <v>2027</v>
      </c>
      <c r="H35" s="173">
        <f>'User Dashboard'!J$58</f>
        <v>2028</v>
      </c>
      <c r="I35" s="173">
        <f>'User Dashboard'!K$58</f>
        <v>2029</v>
      </c>
      <c r="J35" s="173">
        <f>'User Dashboard'!L$58</f>
        <v>2030</v>
      </c>
      <c r="K35" s="173">
        <f>'User Dashboard'!M$58</f>
        <v>2031</v>
      </c>
      <c r="L35" s="173">
        <f>'User Dashboard'!N$58</f>
        <v>2032</v>
      </c>
      <c r="M35" s="173">
        <f>'User Dashboard'!O$58</f>
        <v>2033</v>
      </c>
      <c r="N35" s="173">
        <f>'User Dashboard'!P$58</f>
        <v>2034</v>
      </c>
      <c r="O35" s="173">
        <f>'User Dashboard'!Q$58</f>
        <v>2035</v>
      </c>
      <c r="P35" s="173">
        <f>'User Dashboard'!R$58</f>
        <v>2036</v>
      </c>
      <c r="Q35" s="173">
        <f>'User Dashboard'!S$58</f>
        <v>2037</v>
      </c>
      <c r="R35" s="173">
        <f>'User Dashboard'!T$58</f>
        <v>2038</v>
      </c>
      <c r="S35" s="173">
        <f>'User Dashboard'!U$58</f>
        <v>2039</v>
      </c>
      <c r="T35" s="173">
        <f>'User Dashboard'!V$58</f>
        <v>2040</v>
      </c>
      <c r="U35" s="173">
        <f>'User Dashboard'!W$58</f>
        <v>2041</v>
      </c>
      <c r="V35" s="173">
        <f>'User Dashboard'!X$58</f>
        <v>2042</v>
      </c>
      <c r="W35" s="173">
        <f>'User Dashboard'!Y$58</f>
        <v>2043</v>
      </c>
      <c r="X35" s="173">
        <f>'User Dashboard'!Z$58</f>
        <v>2044</v>
      </c>
      <c r="Y35" s="173">
        <f>'User Dashboard'!AA$58</f>
        <v>2045</v>
      </c>
      <c r="Z35" s="173">
        <f>'User Dashboard'!AB$58</f>
        <v>2046</v>
      </c>
      <c r="AA35" s="173">
        <f>'User Dashboard'!AC$58</f>
        <v>2047</v>
      </c>
      <c r="AB35" s="173">
        <f>'User Dashboard'!AD$58</f>
        <v>2048</v>
      </c>
      <c r="AC35" s="173">
        <f>'User Dashboard'!AE$58</f>
        <v>2049</v>
      </c>
      <c r="AD35" s="173">
        <f>'User Dashboard'!AF$58</f>
        <v>2050</v>
      </c>
      <c r="AE35" s="173">
        <f>'User Dashboard'!AG$58</f>
        <v>2051</v>
      </c>
      <c r="AF35" s="173">
        <f>'User Dashboard'!AH$58</f>
        <v>2052</v>
      </c>
      <c r="AG35" s="173">
        <f>'User Dashboard'!AI$58</f>
        <v>2053</v>
      </c>
      <c r="AH35" s="173">
        <f>'User Dashboard'!AJ$58</f>
        <v>2054</v>
      </c>
    </row>
    <row r="36" spans="1:36">
      <c r="B36" s="128">
        <v>36526</v>
      </c>
      <c r="C36" s="161">
        <f>C5/'Other Inputs'!$C$22</f>
        <v>0.58063147785339497</v>
      </c>
      <c r="D36" s="162">
        <f>D5/'Other Inputs'!$C$22</f>
        <v>0.57880167691266682</v>
      </c>
      <c r="E36" s="162">
        <f>E5/'Other Inputs'!$C$22</f>
        <v>0.59385102613722196</v>
      </c>
      <c r="F36" s="162">
        <f>F5/'Other Inputs'!$C$22</f>
        <v>0.6074632552666166</v>
      </c>
      <c r="G36" s="162">
        <f>G5/'Other Inputs'!$C$22</f>
        <v>0.61995546322925466</v>
      </c>
      <c r="H36" s="162">
        <f>H5/'Other Inputs'!$C$22</f>
        <v>0.63245974535768146</v>
      </c>
      <c r="I36" s="162">
        <f>I5/'Other Inputs'!$C$22</f>
        <v>0.6452831560624952</v>
      </c>
      <c r="J36" s="162">
        <f>J5/'Other Inputs'!$C$22</f>
        <v>0.65841668175389123</v>
      </c>
      <c r="K36" s="162">
        <f>K5/'Other Inputs'!$C$22</f>
        <v>0.67174832403603169</v>
      </c>
      <c r="L36" s="162">
        <f>L5/'Other Inputs'!$C$22</f>
        <v>0.68549089492972393</v>
      </c>
      <c r="M36" s="162">
        <f>M5/'Other Inputs'!$C$22</f>
        <v>0.69982175105484434</v>
      </c>
      <c r="N36" s="162">
        <f>N5/'Other Inputs'!$C$22</f>
        <v>0.71438453349741582</v>
      </c>
      <c r="O36" s="162">
        <f>O5/'Other Inputs'!$C$22</f>
        <v>0.72963258389387431</v>
      </c>
      <c r="P36" s="162">
        <f>P5/'Other Inputs'!$C$22</f>
        <v>0.74478605693004174</v>
      </c>
      <c r="Q36" s="162">
        <f>Q5/'Other Inputs'!$C$22</f>
        <v>0.76047205989429711</v>
      </c>
      <c r="R36" s="162">
        <f>R5/'Other Inputs'!$C$22</f>
        <v>0.7769576324034414</v>
      </c>
      <c r="S36" s="175">
        <f>S5/'Other Inputs'!$C$22</f>
        <v>0.7939860998716427</v>
      </c>
      <c r="T36" s="175">
        <f>T5/'Other Inputs'!$C$22</f>
        <v>0.8115312449746005</v>
      </c>
      <c r="U36" s="175">
        <f>U5/'Other Inputs'!$C$22</f>
        <v>0.82929686938937264</v>
      </c>
      <c r="V36" s="175">
        <f>V5/'Other Inputs'!$C$22</f>
        <v>0.84743084761135701</v>
      </c>
      <c r="W36" s="175">
        <f>W5/'Other Inputs'!$C$22</f>
        <v>0.86601081444052996</v>
      </c>
      <c r="X36" s="175">
        <f>X5/'Other Inputs'!$C$22</f>
        <v>0.88505409037752969</v>
      </c>
      <c r="Y36" s="175">
        <f>Y5/'Other Inputs'!$C$22</f>
        <v>0.9044862270645474</v>
      </c>
      <c r="Z36" s="175">
        <f>Z5/'Other Inputs'!$C$22</f>
        <v>0.9244080057879609</v>
      </c>
      <c r="AA36" s="175">
        <f>AA5/'Other Inputs'!$C$22</f>
        <v>0.94481747175645892</v>
      </c>
      <c r="AB36" s="175">
        <f>AB5/'Other Inputs'!$C$22</f>
        <v>0.96576553847587188</v>
      </c>
      <c r="AC36" s="175">
        <f>AC5/'Other Inputs'!$C$22</f>
        <v>0.98716433589895092</v>
      </c>
      <c r="AD36" s="175">
        <f>AD5/'Other Inputs'!$C$22</f>
        <v>1.0089964533407305</v>
      </c>
      <c r="AE36" s="175">
        <f>AE5/'Other Inputs'!$C$22</f>
        <v>1.0291343325619673</v>
      </c>
      <c r="AF36" s="175">
        <f>AF5/'Other Inputs'!$C$22</f>
        <v>1.0505010879650798</v>
      </c>
      <c r="AG36" s="175">
        <f>AG5/'Other Inputs'!$C$22</f>
        <v>1.0717758101570547</v>
      </c>
      <c r="AH36" s="175">
        <f>AH5/'Other Inputs'!$C$22</f>
        <v>1.0930327478964936</v>
      </c>
      <c r="AJ36" s="56"/>
    </row>
    <row r="37" spans="1:36">
      <c r="B37" s="128">
        <v>36557</v>
      </c>
      <c r="C37" s="163">
        <f>C6/'Other Inputs'!$C$22</f>
        <v>0.56657734992993647</v>
      </c>
      <c r="D37" s="160">
        <f>D6/'Other Inputs'!$C$22</f>
        <v>0.56626699931310043</v>
      </c>
      <c r="E37" s="160">
        <f>E6/'Other Inputs'!$C$22</f>
        <v>0.58084915739456844</v>
      </c>
      <c r="F37" s="160">
        <f>F6/'Other Inputs'!$C$22</f>
        <v>0.59412447958552073</v>
      </c>
      <c r="G37" s="160">
        <f>G6/'Other Inputs'!$C$22</f>
        <v>0.60633526126164949</v>
      </c>
      <c r="H37" s="160">
        <f>H6/'Other Inputs'!$C$22</f>
        <v>0.61857897257071714</v>
      </c>
      <c r="I37" s="160">
        <f>I6/'Other Inputs'!$C$22</f>
        <v>0.63112828900442186</v>
      </c>
      <c r="J37" s="160">
        <f>J6/'Other Inputs'!$C$22</f>
        <v>0.64396653249367164</v>
      </c>
      <c r="K37" s="160">
        <f>K6/'Other Inputs'!$C$22</f>
        <v>0.65700432043634793</v>
      </c>
      <c r="L37" s="160">
        <f>L6/'Other Inputs'!$C$22</f>
        <v>0.67045896374462377</v>
      </c>
      <c r="M37" s="160">
        <f>M6/'Other Inputs'!$C$22</f>
        <v>0.68445268445561747</v>
      </c>
      <c r="N37" s="160">
        <f>N6/'Other Inputs'!$C$22</f>
        <v>0.69872421996137457</v>
      </c>
      <c r="O37" s="160">
        <f>O6/'Other Inputs'!$C$22</f>
        <v>0.71358832124457294</v>
      </c>
      <c r="P37" s="160">
        <f>P6/'Other Inputs'!$C$22</f>
        <v>0.72841460441793937</v>
      </c>
      <c r="Q37" s="160">
        <f>Q6/'Other Inputs'!$C$22</f>
        <v>0.74378328421840079</v>
      </c>
      <c r="R37" s="160">
        <f>R6/'Other Inputs'!$C$22</f>
        <v>0.75991106672489117</v>
      </c>
      <c r="S37" s="174">
        <f>S6/'Other Inputs'!$C$22</f>
        <v>0.77657010388185954</v>
      </c>
      <c r="T37" s="174">
        <f>T6/'Other Inputs'!$C$22</f>
        <v>0.79371413933947355</v>
      </c>
      <c r="U37" s="174">
        <f>U6/'Other Inputs'!$C$22</f>
        <v>0.81109447613333818</v>
      </c>
      <c r="V37" s="174">
        <f>V6/'Other Inputs'!$C$22</f>
        <v>0.82883210999807755</v>
      </c>
      <c r="W37" s="174">
        <f>W6/'Other Inputs'!$C$22</f>
        <v>0.84700719911199707</v>
      </c>
      <c r="X37" s="174">
        <f>X6/'Other Inputs'!$C$22</f>
        <v>0.86563347639768828</v>
      </c>
      <c r="Y37" s="174">
        <f>Y6/'Other Inputs'!$C$22</f>
        <v>0.88464277148146775</v>
      </c>
      <c r="Z37" s="174">
        <f>Z6/'Other Inputs'!$C$22</f>
        <v>0.90412809046382703</v>
      </c>
      <c r="AA37" s="174">
        <f>AA6/'Other Inputs'!$C$22</f>
        <v>0.92409374832213109</v>
      </c>
      <c r="AB37" s="174">
        <f>AB6/'Other Inputs'!$C$22</f>
        <v>0.94458424849282407</v>
      </c>
      <c r="AC37" s="174">
        <f>AC6/'Other Inputs'!$C$22</f>
        <v>0.96551671017562213</v>
      </c>
      <c r="AD37" s="174">
        <f>AD6/'Other Inputs'!$C$22</f>
        <v>0.98687120690261332</v>
      </c>
      <c r="AE37" s="174">
        <f>AE6/'Other Inputs'!$C$22</f>
        <v>1.0065713011185198</v>
      </c>
      <c r="AF37" s="174">
        <f>AF6/'Other Inputs'!$C$22</f>
        <v>1.0274689183423502</v>
      </c>
      <c r="AG37" s="174">
        <f>AG6/'Other Inputs'!$C$22</f>
        <v>1.0482893848099055</v>
      </c>
      <c r="AH37" s="174">
        <f>AH6/'Other Inputs'!$C$22</f>
        <v>1.0690843320410048</v>
      </c>
      <c r="AJ37" s="56"/>
    </row>
    <row r="38" spans="1:36">
      <c r="B38" s="128">
        <v>36586</v>
      </c>
      <c r="C38" s="163">
        <f>C7/'Other Inputs'!$C$22</f>
        <v>0.51890416886778712</v>
      </c>
      <c r="D38" s="160">
        <f>D7/'Other Inputs'!$C$22</f>
        <v>0.51997740985140939</v>
      </c>
      <c r="E38" s="160">
        <f>E7/'Other Inputs'!$C$22</f>
        <v>0.533237877737614</v>
      </c>
      <c r="F38" s="160">
        <f>F7/'Other Inputs'!$C$22</f>
        <v>0.54538935039613823</v>
      </c>
      <c r="G38" s="160">
        <f>G7/'Other Inputs'!$C$22</f>
        <v>0.55659196289505275</v>
      </c>
      <c r="H38" s="160">
        <f>H7/'Other Inputs'!$C$22</f>
        <v>0.56784419489120974</v>
      </c>
      <c r="I38" s="160">
        <f>I7/'Other Inputs'!$C$22</f>
        <v>0.57937098130430609</v>
      </c>
      <c r="J38" s="160">
        <f>J7/'Other Inputs'!$C$22</f>
        <v>0.59114979359137965</v>
      </c>
      <c r="K38" s="160">
        <f>K7/'Other Inputs'!$C$22</f>
        <v>0.60311708697115485</v>
      </c>
      <c r="L38" s="160">
        <f>L7/'Other Inputs'!$C$22</f>
        <v>0.6154807674421785</v>
      </c>
      <c r="M38" s="160">
        <f>M7/'Other Inputs'!$C$22</f>
        <v>0.62830598724282249</v>
      </c>
      <c r="N38" s="160">
        <f>N7/'Other Inputs'!$C$22</f>
        <v>0.64143303942777652</v>
      </c>
      <c r="O38" s="160">
        <f>O7/'Other Inputs'!$C$22</f>
        <v>0.65503275431599906</v>
      </c>
      <c r="P38" s="160">
        <f>P7/'Other Inputs'!$C$22</f>
        <v>0.66864795782183717</v>
      </c>
      <c r="Q38" s="160">
        <f>Q7/'Other Inputs'!$C$22</f>
        <v>0.6827808605087593</v>
      </c>
      <c r="R38" s="160">
        <f>R7/'Other Inputs'!$C$22</f>
        <v>0.69758956417282747</v>
      </c>
      <c r="S38" s="174">
        <f>S7/'Other Inputs'!$C$22</f>
        <v>0.71288620215722431</v>
      </c>
      <c r="T38" s="174">
        <f>T7/'Other Inputs'!$C$22</f>
        <v>0.7286093858753081</v>
      </c>
      <c r="U38" s="174">
        <f>U7/'Other Inputs'!$C$22</f>
        <v>0.7445684587168192</v>
      </c>
      <c r="V38" s="174">
        <f>V7/'Other Inputs'!$C$22</f>
        <v>0.76085279480735379</v>
      </c>
      <c r="W38" s="174">
        <f>W7/'Other Inputs'!$C$22</f>
        <v>0.77753985892928035</v>
      </c>
      <c r="X38" s="174">
        <f>X7/'Other Inputs'!$C$22</f>
        <v>0.79463931290393564</v>
      </c>
      <c r="Y38" s="174">
        <f>Y7/'Other Inputs'!$C$22</f>
        <v>0.81209284127137171</v>
      </c>
      <c r="Z38" s="174">
        <f>Z7/'Other Inputs'!$C$22</f>
        <v>0.8299807142573149</v>
      </c>
      <c r="AA38" s="174">
        <f>AA7/'Other Inputs'!$C$22</f>
        <v>0.8483126098179492</v>
      </c>
      <c r="AB38" s="174">
        <f>AB7/'Other Inputs'!$C$22</f>
        <v>0.86712452210722191</v>
      </c>
      <c r="AC38" s="174">
        <f>AC7/'Other Inputs'!$C$22</f>
        <v>0.88634317812843677</v>
      </c>
      <c r="AD38" s="174">
        <f>AD7/'Other Inputs'!$C$22</f>
        <v>0.90594762518605054</v>
      </c>
      <c r="AE38" s="174">
        <f>AE7/'Other Inputs'!$C$22</f>
        <v>0.92403579556890403</v>
      </c>
      <c r="AF38" s="174">
        <f>AF7/'Other Inputs'!$C$22</f>
        <v>0.94321924645396904</v>
      </c>
      <c r="AG38" s="174">
        <f>AG7/'Other Inputs'!$C$22</f>
        <v>0.96234368348502863</v>
      </c>
      <c r="AH38" s="174">
        <f>AH7/'Other Inputs'!$C$22</f>
        <v>0.98143723466521426</v>
      </c>
      <c r="AJ38" s="56"/>
    </row>
    <row r="39" spans="1:36">
      <c r="B39" s="128">
        <v>36617</v>
      </c>
      <c r="C39" s="163">
        <f>C8/'Other Inputs'!$C$22</f>
        <v>0.50888000939985534</v>
      </c>
      <c r="D39" s="160">
        <f>D8/'Other Inputs'!$C$22</f>
        <v>0.5112701340114465</v>
      </c>
      <c r="E39" s="160">
        <f>E8/'Other Inputs'!$C$22</f>
        <v>0.52418111039390336</v>
      </c>
      <c r="F39" s="160">
        <f>F8/'Other Inputs'!$C$22</f>
        <v>0.53609110960499595</v>
      </c>
      <c r="G39" s="160">
        <f>G8/'Other Inputs'!$C$22</f>
        <v>0.54709630405380127</v>
      </c>
      <c r="H39" s="160">
        <f>H8/'Other Inputs'!$C$22</f>
        <v>0.55816933536381907</v>
      </c>
      <c r="I39" s="160">
        <f>I8/'Other Inputs'!$C$22</f>
        <v>0.56950635898495061</v>
      </c>
      <c r="J39" s="160">
        <f>J8/'Other Inputs'!$C$22</f>
        <v>0.58107813390438645</v>
      </c>
      <c r="K39" s="160">
        <f>K8/'Other Inputs'!$C$22</f>
        <v>0.59284039184994408</v>
      </c>
      <c r="L39" s="160">
        <f>L8/'Other Inputs'!$C$22</f>
        <v>0.60500577272669009</v>
      </c>
      <c r="M39" s="160">
        <f>M8/'Other Inputs'!$C$22</f>
        <v>0.61759206895460683</v>
      </c>
      <c r="N39" s="160">
        <f>N8/'Other Inputs'!$C$22</f>
        <v>0.63052106695687382</v>
      </c>
      <c r="O39" s="160">
        <f>O8/'Other Inputs'!$C$22</f>
        <v>0.6438445784434581</v>
      </c>
      <c r="P39" s="160">
        <f>P8/'Other Inputs'!$C$22</f>
        <v>0.65723267057725065</v>
      </c>
      <c r="Q39" s="160">
        <f>Q8/'Other Inputs'!$C$22</f>
        <v>0.67114909572799675</v>
      </c>
      <c r="R39" s="160">
        <f>R8/'Other Inputs'!$C$22</f>
        <v>0.68570912204151813</v>
      </c>
      <c r="S39" s="174">
        <f>S8/'Other Inputs'!$C$22</f>
        <v>0.70074901730209271</v>
      </c>
      <c r="T39" s="174">
        <f>T8/'Other Inputs'!$C$22</f>
        <v>0.71618983281577042</v>
      </c>
      <c r="U39" s="174">
        <f>U8/'Other Inputs'!$C$22</f>
        <v>0.73188116643072831</v>
      </c>
      <c r="V39" s="174">
        <f>V8/'Other Inputs'!$C$22</f>
        <v>0.7478895387152501</v>
      </c>
      <c r="W39" s="174">
        <f>W8/'Other Inputs'!$C$22</f>
        <v>0.76429491002226835</v>
      </c>
      <c r="X39" s="174">
        <f>X8/'Other Inputs'!$C$22</f>
        <v>0.78110388260493413</v>
      </c>
      <c r="Y39" s="174">
        <f>Y8/'Other Inputs'!$C$22</f>
        <v>0.79826332616802254</v>
      </c>
      <c r="Z39" s="174">
        <f>Z8/'Other Inputs'!$C$22</f>
        <v>0.81584712200499698</v>
      </c>
      <c r="AA39" s="174">
        <f>AA8/'Other Inputs'!$C$22</f>
        <v>0.8338704033863038</v>
      </c>
      <c r="AB39" s="174">
        <f>AB8/'Other Inputs'!$C$22</f>
        <v>0.85236377418928888</v>
      </c>
      <c r="AC39" s="174">
        <f>AC8/'Other Inputs'!$C$22</f>
        <v>0.87125797237552016</v>
      </c>
      <c r="AD39" s="174">
        <f>AD8/'Other Inputs'!$C$22</f>
        <v>0.89052978667027549</v>
      </c>
      <c r="AE39" s="174">
        <f>AE8/'Other Inputs'!$C$22</f>
        <v>0.90831355185667328</v>
      </c>
      <c r="AF39" s="174">
        <f>AF8/'Other Inputs'!$C$22</f>
        <v>0.92716998059795819</v>
      </c>
      <c r="AG39" s="174">
        <f>AG8/'Other Inputs'!$C$22</f>
        <v>0.94598001037945578</v>
      </c>
      <c r="AH39" s="174">
        <f>AH8/'Other Inputs'!$C$22</f>
        <v>0.96475234703351942</v>
      </c>
      <c r="AJ39" s="56"/>
    </row>
    <row r="40" spans="1:36">
      <c r="B40" s="128">
        <v>36647</v>
      </c>
      <c r="C40" s="163">
        <f>C9/'Other Inputs'!$C$22</f>
        <v>0.52535407995322914</v>
      </c>
      <c r="D40" s="160">
        <f>D9/'Other Inputs'!$C$22</f>
        <v>0.52920911519346892</v>
      </c>
      <c r="E40" s="160">
        <f>E9/'Other Inputs'!$C$22</f>
        <v>0.54244125168131885</v>
      </c>
      <c r="F40" s="160">
        <f>F9/'Other Inputs'!$C$22</f>
        <v>0.55472983232864759</v>
      </c>
      <c r="G40" s="160">
        <f>G9/'Other Inputs'!$C$22</f>
        <v>0.5661110022087098</v>
      </c>
      <c r="H40" s="160">
        <f>H9/'Other Inputs'!$C$22</f>
        <v>0.57758209657803039</v>
      </c>
      <c r="I40" s="160">
        <f>I9/'Other Inputs'!$C$22</f>
        <v>0.58932027501958228</v>
      </c>
      <c r="J40" s="160">
        <f>J9/'Other Inputs'!$C$22</f>
        <v>0.60128793547813086</v>
      </c>
      <c r="K40" s="160">
        <f>K9/'Other Inputs'!$C$22</f>
        <v>0.61345809909624949</v>
      </c>
      <c r="L40" s="160">
        <f>L9/'Other Inputs'!$C$22</f>
        <v>0.62605936638141135</v>
      </c>
      <c r="M40" s="160">
        <f>M9/'Other Inputs'!$C$22</f>
        <v>0.63906228409806753</v>
      </c>
      <c r="N40" s="160">
        <f>N9/'Other Inputs'!$C$22</f>
        <v>0.65246744090347453</v>
      </c>
      <c r="O40" s="160">
        <f>O9/'Other Inputs'!$C$22</f>
        <v>0.66620828882334204</v>
      </c>
      <c r="P40" s="160">
        <f>P9/'Other Inputs'!$C$22</f>
        <v>0.68006704253133377</v>
      </c>
      <c r="Q40" s="160">
        <f>Q9/'Other Inputs'!$C$22</f>
        <v>0.69449263786301185</v>
      </c>
      <c r="R40" s="160">
        <f>R9/'Other Inputs'!$C$22</f>
        <v>0.70956281059175241</v>
      </c>
      <c r="S40" s="174">
        <f>S9/'Other Inputs'!$C$22</f>
        <v>0.72512979844260239</v>
      </c>
      <c r="T40" s="174">
        <f>T9/'Other Inputs'!$C$22</f>
        <v>0.74109265131359292</v>
      </c>
      <c r="U40" s="174">
        <f>U9/'Other Inputs'!$C$22</f>
        <v>0.75733403421984491</v>
      </c>
      <c r="V40" s="174">
        <f>V9/'Other Inputs'!$C$22</f>
        <v>0.77390070574407344</v>
      </c>
      <c r="W40" s="174">
        <f>W9/'Other Inputs'!$C$22</f>
        <v>0.79087935581944435</v>
      </c>
      <c r="X40" s="174">
        <f>X9/'Other Inputs'!$C$22</f>
        <v>0.80827382029944539</v>
      </c>
      <c r="Y40" s="174">
        <f>Y9/'Other Inputs'!$C$22</f>
        <v>0.82603345898493585</v>
      </c>
      <c r="Z40" s="174">
        <f>Z9/'Other Inputs'!$C$22</f>
        <v>0.84422952610718638</v>
      </c>
      <c r="AA40" s="174">
        <f>AA9/'Other Inputs'!$C$22</f>
        <v>0.8628834976841594</v>
      </c>
      <c r="AB40" s="174">
        <f>AB9/'Other Inputs'!$C$22</f>
        <v>0.88202209818507649</v>
      </c>
      <c r="AC40" s="174">
        <f>AC9/'Other Inputs'!$C$22</f>
        <v>0.90157651567311858</v>
      </c>
      <c r="AD40" s="174">
        <f>AD9/'Other Inputs'!$C$22</f>
        <v>0.9215200247156945</v>
      </c>
      <c r="AE40" s="174">
        <f>AE9/'Other Inputs'!$C$22</f>
        <v>0.93992620827569318</v>
      </c>
      <c r="AF40" s="174">
        <f>AF9/'Other Inputs'!$C$22</f>
        <v>0.95943826812470312</v>
      </c>
      <c r="AG40" s="174">
        <f>AG9/'Other Inputs'!$C$22</f>
        <v>0.97891433002784234</v>
      </c>
      <c r="AH40" s="174">
        <f>AH9/'Other Inputs'!$C$22</f>
        <v>0.99834379832346243</v>
      </c>
      <c r="AJ40" s="56"/>
    </row>
    <row r="41" spans="1:36">
      <c r="B41" s="128">
        <v>36678</v>
      </c>
      <c r="C41" s="163">
        <f>C10/'Other Inputs'!$C$22</f>
        <v>0.53766711269990375</v>
      </c>
      <c r="D41" s="160">
        <f>D10/'Other Inputs'!$C$22</f>
        <v>0.54303937493200827</v>
      </c>
      <c r="E41" s="160">
        <f>E10/'Other Inputs'!$C$22</f>
        <v>0.5564820866145983</v>
      </c>
      <c r="F41" s="160">
        <f>F10/'Other Inputs'!$C$22</f>
        <v>0.56905150070588939</v>
      </c>
      <c r="G41" s="160">
        <f>G10/'Other Inputs'!$C$22</f>
        <v>0.58071967851258888</v>
      </c>
      <c r="H41" s="160">
        <f>H10/'Other Inputs'!$C$22</f>
        <v>0.59250034392180218</v>
      </c>
      <c r="I41" s="160">
        <f>I10/'Other Inputs'!$C$22</f>
        <v>0.60454874404982184</v>
      </c>
      <c r="J41" s="160">
        <f>J10/'Other Inputs'!$C$22</f>
        <v>0.61681877090771464</v>
      </c>
      <c r="K41" s="160">
        <f>K10/'Other Inputs'!$C$22</f>
        <v>0.62930206666254418</v>
      </c>
      <c r="L41" s="160">
        <f>L10/'Other Inputs'!$C$22</f>
        <v>0.64224192378220146</v>
      </c>
      <c r="M41" s="160">
        <f>M10/'Other Inputs'!$C$22</f>
        <v>0.65555902121843279</v>
      </c>
      <c r="N41" s="160">
        <f>N10/'Other Inputs'!$C$22</f>
        <v>0.66933760168393741</v>
      </c>
      <c r="O41" s="160">
        <f>O10/'Other Inputs'!$C$22</f>
        <v>0.68338611717817732</v>
      </c>
      <c r="P41" s="160">
        <f>P10/'Other Inputs'!$C$22</f>
        <v>0.69760798895440324</v>
      </c>
      <c r="Q41" s="160">
        <f>Q10/'Other Inputs'!$C$22</f>
        <v>0.71243199940690749</v>
      </c>
      <c r="R41" s="160">
        <f>R10/'Other Inputs'!$C$22</f>
        <v>0.7278952723553197</v>
      </c>
      <c r="S41" s="174">
        <f>S10/'Other Inputs'!$C$22</f>
        <v>0.74386845587242534</v>
      </c>
      <c r="T41" s="174">
        <f>T10/'Other Inputs'!$C$22</f>
        <v>0.76022823691827268</v>
      </c>
      <c r="U41" s="174">
        <f>U10/'Other Inputs'!$C$22</f>
        <v>0.77689354219568663</v>
      </c>
      <c r="V41" s="174">
        <f>V10/'Other Inputs'!$C$22</f>
        <v>0.79388968937629845</v>
      </c>
      <c r="W41" s="174">
        <f>W10/'Other Inputs'!$C$22</f>
        <v>0.81130965861109205</v>
      </c>
      <c r="X41" s="174">
        <f>X10/'Other Inputs'!$C$22</f>
        <v>0.82915431102776727</v>
      </c>
      <c r="Y41" s="174">
        <f>Y10/'Other Inputs'!$C$22</f>
        <v>0.84737614900161717</v>
      </c>
      <c r="Z41" s="174">
        <f>Z10/'Other Inputs'!$C$22</f>
        <v>0.86604293566092527</v>
      </c>
      <c r="AA41" s="174">
        <f>AA10/'Other Inputs'!$C$22</f>
        <v>0.8851826691454564</v>
      </c>
      <c r="AB41" s="174">
        <f>AB10/'Other Inputs'!$C$22</f>
        <v>0.90481769204886164</v>
      </c>
      <c r="AC41" s="174">
        <f>AC10/'Other Inputs'!$C$22</f>
        <v>0.92488034831688304</v>
      </c>
      <c r="AD41" s="174">
        <f>AD10/'Other Inputs'!$C$22</f>
        <v>0.94534044507294845</v>
      </c>
      <c r="AE41" s="174">
        <f>AE10/'Other Inputs'!$C$22</f>
        <v>0.96422605038467357</v>
      </c>
      <c r="AF41" s="174">
        <f>AF10/'Other Inputs'!$C$22</f>
        <v>0.98424189535766404</v>
      </c>
      <c r="AG41" s="174">
        <f>AG10/'Other Inputs'!$C$22</f>
        <v>1.0042331392545549</v>
      </c>
      <c r="AH41" s="174">
        <f>AH10/'Other Inputs'!$C$22</f>
        <v>1.024168799517752</v>
      </c>
      <c r="AJ41" s="56"/>
    </row>
    <row r="42" spans="1:36">
      <c r="B42" s="128">
        <v>36708</v>
      </c>
      <c r="C42" s="163">
        <f>C11/'Other Inputs'!$C$22</f>
        <v>0.54065406365382274</v>
      </c>
      <c r="D42" s="160">
        <f>D11/'Other Inputs'!$C$22</f>
        <v>0.54749787853330178</v>
      </c>
      <c r="E42" s="160">
        <f>E11/'Other Inputs'!$C$22</f>
        <v>0.56091468062175098</v>
      </c>
      <c r="F42" s="160">
        <f>F11/'Other Inputs'!$C$22</f>
        <v>0.57354666681417532</v>
      </c>
      <c r="G42" s="160">
        <f>G11/'Other Inputs'!$C$22</f>
        <v>0.58530013728411023</v>
      </c>
      <c r="H42" s="160">
        <f>H11/'Other Inputs'!$C$22</f>
        <v>0.5971873884186496</v>
      </c>
      <c r="I42" s="160">
        <f>I11/'Other Inputs'!$C$22</f>
        <v>0.60933819417180157</v>
      </c>
      <c r="J42" s="160">
        <f>J11/'Other Inputs'!$C$22</f>
        <v>0.62169848651107962</v>
      </c>
      <c r="K42" s="160">
        <f>K11/'Other Inputs'!$C$22</f>
        <v>0.63427931466851628</v>
      </c>
      <c r="L42" s="160">
        <f>L11/'Other Inputs'!$C$22</f>
        <v>0.64733475384728756</v>
      </c>
      <c r="M42" s="160">
        <f>M11/'Other Inputs'!$C$22</f>
        <v>0.66073535360487567</v>
      </c>
      <c r="N42" s="160">
        <f>N11/'Other Inputs'!$C$22</f>
        <v>0.67465033441365141</v>
      </c>
      <c r="O42" s="160">
        <f>O11/'Other Inputs'!$C$22</f>
        <v>0.68876236059747253</v>
      </c>
      <c r="P42" s="160">
        <f>P11/'Other Inputs'!$C$22</f>
        <v>0.70310194091107769</v>
      </c>
      <c r="Q42" s="160">
        <f>Q11/'Other Inputs'!$C$22</f>
        <v>0.7180692454952301</v>
      </c>
      <c r="R42" s="160">
        <f>R11/'Other Inputs'!$C$22</f>
        <v>0.73365872938369603</v>
      </c>
      <c r="S42" s="174">
        <f>S11/'Other Inputs'!$C$22</f>
        <v>0.74976242297881968</v>
      </c>
      <c r="T42" s="174">
        <f>T11/'Other Inputs'!$C$22</f>
        <v>0.76623612339542679</v>
      </c>
      <c r="U42" s="174">
        <f>U11/'Other Inputs'!$C$22</f>
        <v>0.78303772423392703</v>
      </c>
      <c r="V42" s="174">
        <f>V11/'Other Inputs'!$C$22</f>
        <v>0.80016991270980409</v>
      </c>
      <c r="W42" s="174">
        <f>W11/'Other Inputs'!$C$22</f>
        <v>0.81773048819919736</v>
      </c>
      <c r="X42" s="174">
        <f>X11/'Other Inputs'!$C$22</f>
        <v>0.83571722012577376</v>
      </c>
      <c r="Y42" s="174">
        <f>Y11/'Other Inputs'!$C$22</f>
        <v>0.85408672146333087</v>
      </c>
      <c r="Z42" s="174">
        <f>Z11/'Other Inputs'!$C$22</f>
        <v>0.87290191700686903</v>
      </c>
      <c r="AA42" s="174">
        <f>AA11/'Other Inputs'!$C$22</f>
        <v>0.8921970417819296</v>
      </c>
      <c r="AB42" s="174">
        <f>AB11/'Other Inputs'!$C$22</f>
        <v>0.91198950220719488</v>
      </c>
      <c r="AC42" s="174">
        <f>AC11/'Other Inputs'!$C$22</f>
        <v>0.9322140638232721</v>
      </c>
      <c r="AD42" s="174">
        <f>AD11/'Other Inputs'!$C$22</f>
        <v>0.95283749542119422</v>
      </c>
      <c r="AE42" s="174">
        <f>AE11/'Other Inputs'!$C$22</f>
        <v>0.97187654210309449</v>
      </c>
      <c r="AF42" s="174">
        <f>AF11/'Other Inputs'!$C$22</f>
        <v>0.99205053549556066</v>
      </c>
      <c r="AG42" s="174">
        <f>AG11/'Other Inputs'!$C$22</f>
        <v>1.0122121589675934</v>
      </c>
      <c r="AH42" s="174">
        <f>AH11/'Other Inputs'!$C$22</f>
        <v>1.0323099099276063</v>
      </c>
      <c r="AJ42" s="56"/>
    </row>
    <row r="43" spans="1:36">
      <c r="B43" s="128">
        <v>36739</v>
      </c>
      <c r="C43" s="163">
        <f>C12/'Other Inputs'!$C$22</f>
        <v>0.53520918529264128</v>
      </c>
      <c r="D43" s="160">
        <f>D12/'Other Inputs'!$C$22</f>
        <v>0.5434181515064902</v>
      </c>
      <c r="E43" s="160">
        <f>E12/'Other Inputs'!$C$22</f>
        <v>0.55659977762886015</v>
      </c>
      <c r="F43" s="160">
        <f>F12/'Other Inputs'!$C$22</f>
        <v>0.56909733073475843</v>
      </c>
      <c r="G43" s="160">
        <f>G12/'Other Inputs'!$C$22</f>
        <v>0.58075279605580721</v>
      </c>
      <c r="H43" s="160">
        <f>H12/'Other Inputs'!$C$22</f>
        <v>0.59256125347425148</v>
      </c>
      <c r="I43" s="160">
        <f>I12/'Other Inputs'!$C$22</f>
        <v>0.60462497381066704</v>
      </c>
      <c r="J43" s="160">
        <f>J12/'Other Inputs'!$C$22</f>
        <v>0.61688277043804363</v>
      </c>
      <c r="K43" s="160">
        <f>K12/'Other Inputs'!$C$22</f>
        <v>0.62936493181566533</v>
      </c>
      <c r="L43" s="160">
        <f>L12/'Other Inputs'!$C$22</f>
        <v>0.6423323555972893</v>
      </c>
      <c r="M43" s="160">
        <f>M12/'Other Inputs'!$C$22</f>
        <v>0.65560746935709102</v>
      </c>
      <c r="N43" s="160">
        <f>N12/'Other Inputs'!$C$22</f>
        <v>0.66944185170054937</v>
      </c>
      <c r="O43" s="160">
        <f>O12/'Other Inputs'!$C$22</f>
        <v>0.68339729958463269</v>
      </c>
      <c r="P43" s="160">
        <f>P12/'Other Inputs'!$C$22</f>
        <v>0.69763096286556092</v>
      </c>
      <c r="Q43" s="160">
        <f>Q12/'Other Inputs'!$C$22</f>
        <v>0.71250815139296009</v>
      </c>
      <c r="R43" s="160">
        <f>R12/'Other Inputs'!$C$22</f>
        <v>0.72798072801411695</v>
      </c>
      <c r="S43" s="174">
        <f>S12/'Other Inputs'!$C$22</f>
        <v>0.74396379440426197</v>
      </c>
      <c r="T43" s="174">
        <f>T12/'Other Inputs'!$C$22</f>
        <v>0.76029450210992378</v>
      </c>
      <c r="U43" s="174">
        <f>U12/'Other Inputs'!$C$22</f>
        <v>0.77697037738516839</v>
      </c>
      <c r="V43" s="174">
        <f>V12/'Other Inputs'!$C$22</f>
        <v>0.7939714298344609</v>
      </c>
      <c r="W43" s="174">
        <f>W12/'Other Inputs'!$C$22</f>
        <v>0.81139875380954884</v>
      </c>
      <c r="X43" s="174">
        <f>X12/'Other Inputs'!$C$22</f>
        <v>0.82924706110388013</v>
      </c>
      <c r="Y43" s="174">
        <f>Y12/'Other Inputs'!$C$22</f>
        <v>0.84747775294465644</v>
      </c>
      <c r="Z43" s="174">
        <f>Z12/'Other Inputs'!$C$22</f>
        <v>0.86614793324169792</v>
      </c>
      <c r="AA43" s="174">
        <f>AA12/'Other Inputs'!$C$22</f>
        <v>0.88529754139130201</v>
      </c>
      <c r="AB43" s="174">
        <f>AB12/'Other Inputs'!$C$22</f>
        <v>0.90493877500767061</v>
      </c>
      <c r="AC43" s="174">
        <f>AC12/'Other Inputs'!$C$22</f>
        <v>0.92500983924187996</v>
      </c>
      <c r="AD43" s="174">
        <f>AD12/'Other Inputs'!$C$22</f>
        <v>0.9454749821521643</v>
      </c>
      <c r="AE43" s="174">
        <f>AE12/'Other Inputs'!$C$22</f>
        <v>0.96437055585805764</v>
      </c>
      <c r="AF43" s="174">
        <f>AF12/'Other Inputs'!$C$22</f>
        <v>0.98438808277668721</v>
      </c>
      <c r="AG43" s="174">
        <f>AG12/'Other Inputs'!$C$22</f>
        <v>1.0044056666963455</v>
      </c>
      <c r="AH43" s="174">
        <f>AH12/'Other Inputs'!$C$22</f>
        <v>1.0243520835178843</v>
      </c>
      <c r="AJ43" s="56"/>
    </row>
    <row r="44" spans="1:36" s="56" customFormat="1">
      <c r="B44" s="128">
        <v>36770</v>
      </c>
      <c r="C44" s="163">
        <f>C13/'Other Inputs'!$C$22</f>
        <v>0.54145060067906781</v>
      </c>
      <c r="D44" s="160">
        <f>D13/'Other Inputs'!$C$22</f>
        <v>0.55121311262384354</v>
      </c>
      <c r="E44" s="160">
        <f>E13/'Other Inputs'!$C$22</f>
        <v>0.56444674510111004</v>
      </c>
      <c r="F44" s="160">
        <f>F13/'Other Inputs'!$C$22</f>
        <v>0.57708270316157129</v>
      </c>
      <c r="G44" s="160">
        <f>G13/'Other Inputs'!$C$22</f>
        <v>0.58889479039205495</v>
      </c>
      <c r="H44" s="160">
        <f>H13/'Other Inputs'!$C$22</f>
        <v>0.60088255293177828</v>
      </c>
      <c r="I44" s="160">
        <f>I13/'Other Inputs'!$C$22</f>
        <v>0.61312282437951537</v>
      </c>
      <c r="J44" s="160">
        <f>J13/'Other Inputs'!$C$22</f>
        <v>0.62554591460118414</v>
      </c>
      <c r="K44" s="160">
        <f>K13/'Other Inputs'!$C$22</f>
        <v>0.6382021361178456</v>
      </c>
      <c r="L44" s="160">
        <f>L13/'Other Inputs'!$C$22</f>
        <v>0.65136496560128143</v>
      </c>
      <c r="M44" s="160">
        <f>M13/'Other Inputs'!$C$22</f>
        <v>0.66480451593633094</v>
      </c>
      <c r="N44" s="160">
        <f>N13/'Other Inputs'!$C$22</f>
        <v>0.67886075352789521</v>
      </c>
      <c r="O44" s="160">
        <f>O13/'Other Inputs'!$C$22</f>
        <v>0.69296424808758583</v>
      </c>
      <c r="P44" s="160">
        <f>P13/'Other Inputs'!$C$22</f>
        <v>0.70740303206615596</v>
      </c>
      <c r="Q44" s="160">
        <f>Q13/'Other Inputs'!$C$22</f>
        <v>0.72251533481932428</v>
      </c>
      <c r="R44" s="160">
        <f>R13/'Other Inputs'!$C$22</f>
        <v>0.73820910377309057</v>
      </c>
      <c r="S44" s="174">
        <f>S13/'Other Inputs'!$C$22</f>
        <v>0.75442079841166287</v>
      </c>
      <c r="T44" s="174">
        <f>T13/'Other Inputs'!$C$22</f>
        <v>0.7709652406619345</v>
      </c>
      <c r="U44" s="174">
        <f>U13/'Other Inputs'!$C$22</f>
        <v>0.78787978562853178</v>
      </c>
      <c r="V44" s="174">
        <f>V13/'Other Inputs'!$C$22</f>
        <v>0.80512118426926038</v>
      </c>
      <c r="W44" s="174">
        <f>W13/'Other Inputs'!$C$22</f>
        <v>0.82279606061923827</v>
      </c>
      <c r="X44" s="174">
        <f>X13/'Other Inputs'!$C$22</f>
        <v>0.84089593371795801</v>
      </c>
      <c r="Y44" s="174">
        <f>Y13/'Other Inputs'!$C$22</f>
        <v>0.85938617800975836</v>
      </c>
      <c r="Z44" s="174">
        <f>Z13/'Other Inputs'!$C$22</f>
        <v>0.87831929028112798</v>
      </c>
      <c r="AA44" s="174">
        <f>AA13/'Other Inputs'!$C$22</f>
        <v>0.89774182497879185</v>
      </c>
      <c r="AB44" s="174">
        <f>AB13/'Other Inputs'!$C$22</f>
        <v>0.91766100512589988</v>
      </c>
      <c r="AC44" s="174">
        <f>AC13/'Other Inputs'!$C$22</f>
        <v>0.93801714395085389</v>
      </c>
      <c r="AD44" s="174">
        <f>AD13/'Other Inputs'!$C$22</f>
        <v>0.95877116991351419</v>
      </c>
      <c r="AE44" s="174">
        <f>AE13/'Other Inputs'!$C$22</f>
        <v>0.97793616355830282</v>
      </c>
      <c r="AF44" s="174">
        <f>AF13/'Other Inputs'!$C$22</f>
        <v>0.99823460479102211</v>
      </c>
      <c r="AG44" s="174">
        <f>AG13/'Other Inputs'!$C$22</f>
        <v>1.0185456096987187</v>
      </c>
      <c r="AH44" s="174">
        <f>AH13/'Other Inputs'!$C$22</f>
        <v>1.0387765483328297</v>
      </c>
    </row>
    <row r="45" spans="1:36">
      <c r="B45" s="128">
        <v>36800</v>
      </c>
      <c r="C45" s="163">
        <f>C14/'Other Inputs'!$C$22</f>
        <v>0.53705102665973237</v>
      </c>
      <c r="D45" s="160">
        <f>D14/'Other Inputs'!$C$22</f>
        <v>0.54818719412993311</v>
      </c>
      <c r="E45" s="160">
        <f>E14/'Other Inputs'!$C$22</f>
        <v>0.56121192063462044</v>
      </c>
      <c r="F45" s="160">
        <f>F14/'Other Inputs'!$C$22</f>
        <v>0.57373789217263915</v>
      </c>
      <c r="G45" s="160">
        <f>G14/'Other Inputs'!$C$22</f>
        <v>0.58547463136580125</v>
      </c>
      <c r="H45" s="160">
        <f>H14/'Other Inputs'!$C$22</f>
        <v>0.59740644817788491</v>
      </c>
      <c r="I45" s="160">
        <f>I14/'Other Inputs'!$C$22</f>
        <v>0.60958301034061291</v>
      </c>
      <c r="J45" s="160">
        <f>J14/'Other Inputs'!$C$22</f>
        <v>0.6219274298527</v>
      </c>
      <c r="K45" s="160">
        <f>K14/'Other Inputs'!$C$22</f>
        <v>0.63450921603266697</v>
      </c>
      <c r="L45" s="160">
        <f>L14/'Other Inputs'!$C$22</f>
        <v>0.64760912830675366</v>
      </c>
      <c r="M45" s="160">
        <f>M14/'Other Inputs'!$C$22</f>
        <v>0.6609490702368066</v>
      </c>
      <c r="N45" s="160">
        <f>N14/'Other Inputs'!$C$22</f>
        <v>0.67495141640608902</v>
      </c>
      <c r="O45" s="160">
        <f>O14/'Other Inputs'!$C$22</f>
        <v>0.68892566461730764</v>
      </c>
      <c r="P45" s="160">
        <f>P14/'Other Inputs'!$C$22</f>
        <v>0.70328612890019471</v>
      </c>
      <c r="Q45" s="160">
        <f>Q14/'Other Inputs'!$C$22</f>
        <v>0.71833705364848588</v>
      </c>
      <c r="R45" s="160">
        <f>R14/'Other Inputs'!$C$22</f>
        <v>0.73394392397801256</v>
      </c>
      <c r="S45" s="174">
        <f>S14/'Other Inputs'!$C$22</f>
        <v>0.75006598942270031</v>
      </c>
      <c r="T45" s="174">
        <f>T14/'Other Inputs'!$C$22</f>
        <v>0.76649921379440866</v>
      </c>
      <c r="U45" s="174">
        <f>U14/'Other Inputs'!$C$22</f>
        <v>0.78332037418431777</v>
      </c>
      <c r="V45" s="174">
        <f>V14/'Other Inputs'!$C$22</f>
        <v>0.8004636238063485</v>
      </c>
      <c r="W45" s="174">
        <f>W14/'Other Inputs'!$C$22</f>
        <v>0.81803905664774135</v>
      </c>
      <c r="X45" s="174">
        <f>X14/'Other Inputs'!$C$22</f>
        <v>0.83603513995924794</v>
      </c>
      <c r="Y45" s="174">
        <f>Y14/'Other Inputs'!$C$22</f>
        <v>0.85442193820895851</v>
      </c>
      <c r="Z45" s="174">
        <f>Z14/'Other Inputs'!$C$22</f>
        <v>0.87324626605788624</v>
      </c>
      <c r="AA45" s="174">
        <f>AA14/'Other Inputs'!$C$22</f>
        <v>0.89256042857163076</v>
      </c>
      <c r="AB45" s="174">
        <f>AB14/'Other Inputs'!$C$22</f>
        <v>0.91236649021642136</v>
      </c>
      <c r="AC45" s="174">
        <f>AC14/'Other Inputs'!$C$22</f>
        <v>0.93260806853288969</v>
      </c>
      <c r="AD45" s="174">
        <f>AD14/'Other Inputs'!$C$22</f>
        <v>0.95324351641199601</v>
      </c>
      <c r="AE45" s="174">
        <f>AE14/'Other Inputs'!$C$22</f>
        <v>0.97230168818382234</v>
      </c>
      <c r="AF45" s="174">
        <f>AF14/'Other Inputs'!$C$22</f>
        <v>0.99248251351417738</v>
      </c>
      <c r="AG45" s="174">
        <f>AG14/'Other Inputs'!$C$22</f>
        <v>1.0126882649679623</v>
      </c>
      <c r="AH45" s="174">
        <f>AH14/'Other Inputs'!$C$22</f>
        <v>1.0328065582390367</v>
      </c>
      <c r="AJ45" s="56"/>
    </row>
    <row r="46" spans="1:36">
      <c r="B46" s="128">
        <v>36831</v>
      </c>
      <c r="C46" s="163">
        <f>C15/'Other Inputs'!$C$22</f>
        <v>0.5622529503922219</v>
      </c>
      <c r="D46" s="160">
        <f>D15/'Other Inputs'!$C$22</f>
        <v>0.57544025705853585</v>
      </c>
      <c r="E46" s="160">
        <f>E15/'Other Inputs'!$C$22</f>
        <v>0.58896953963828647</v>
      </c>
      <c r="F46" s="160">
        <f>F15/'Other Inputs'!$C$22</f>
        <v>0.60207561813857446</v>
      </c>
      <c r="G46" s="160">
        <f>G15/'Other Inputs'!$C$22</f>
        <v>0.61438482599147592</v>
      </c>
      <c r="H46" s="160">
        <f>H15/'Other Inputs'!$C$22</f>
        <v>0.62692017899678665</v>
      </c>
      <c r="I46" s="160">
        <f>I15/'Other Inputs'!$C$22</f>
        <v>0.63970575350827341</v>
      </c>
      <c r="J46" s="160">
        <f>J15/'Other Inputs'!$C$22</f>
        <v>0.6526528854523026</v>
      </c>
      <c r="K46" s="160">
        <f>K15/'Other Inputs'!$C$22</f>
        <v>0.66585497137462446</v>
      </c>
      <c r="L46" s="160">
        <f>L15/'Other Inputs'!$C$22</f>
        <v>0.67961594505259515</v>
      </c>
      <c r="M46" s="160">
        <f>M15/'Other Inputs'!$C$22</f>
        <v>0.69359197791129534</v>
      </c>
      <c r="N46" s="160">
        <f>N15/'Other Inputs'!$C$22</f>
        <v>0.7083148658234244</v>
      </c>
      <c r="O46" s="160">
        <f>O15/'Other Inputs'!$C$22</f>
        <v>0.72292946669127001</v>
      </c>
      <c r="P46" s="160">
        <f>P15/'Other Inputs'!$C$22</f>
        <v>0.73800484911278164</v>
      </c>
      <c r="Q46" s="160">
        <f>Q15/'Other Inputs'!$C$22</f>
        <v>0.75382667316327123</v>
      </c>
      <c r="R46" s="160">
        <f>R15/'Other Inputs'!$C$22</f>
        <v>0.77020865377921766</v>
      </c>
      <c r="S46" s="174">
        <f>S15/'Other Inputs'!$C$22</f>
        <v>0.78713156053499067</v>
      </c>
      <c r="T46" s="174">
        <f>T15/'Other Inputs'!$C$22</f>
        <v>0.80436036058424443</v>
      </c>
      <c r="U46" s="174">
        <f>U15/'Other Inputs'!$C$22</f>
        <v>0.82201722573536706</v>
      </c>
      <c r="V46" s="174">
        <f>V15/'Other Inputs'!$C$22</f>
        <v>0.84000907637829825</v>
      </c>
      <c r="W46" s="174">
        <f>W15/'Other Inputs'!$C$22</f>
        <v>0.85845573470852954</v>
      </c>
      <c r="X46" s="174">
        <f>X15/'Other Inputs'!$C$22</f>
        <v>0.87734184376113455</v>
      </c>
      <c r="Y46" s="174">
        <f>Y15/'Other Inputs'!$C$22</f>
        <v>0.89664070122410655</v>
      </c>
      <c r="Z46" s="174">
        <f>Z15/'Other Inputs'!$C$22</f>
        <v>0.91639578967763824</v>
      </c>
      <c r="AA46" s="174">
        <f>AA15/'Other Inputs'!$C$22</f>
        <v>0.93666831637369508</v>
      </c>
      <c r="AB46" s="174">
        <f>AB15/'Other Inputs'!$C$22</f>
        <v>0.95745507752140568</v>
      </c>
      <c r="AC46" s="174">
        <f>AC15/'Other Inputs'!$C$22</f>
        <v>0.97870001080259217</v>
      </c>
      <c r="AD46" s="174">
        <f>AD15/'Other Inputs'!$C$22</f>
        <v>1.000356471227686</v>
      </c>
      <c r="AE46" s="174">
        <f>AE15/'Other Inputs'!$C$22</f>
        <v>1.020360423875696</v>
      </c>
      <c r="AF46" s="174">
        <f>AF15/'Other Inputs'!$C$22</f>
        <v>1.0415380457164363</v>
      </c>
      <c r="AG46" s="174">
        <f>AG15/'Other Inputs'!$C$22</f>
        <v>1.0627548762533781</v>
      </c>
      <c r="AH46" s="174">
        <f>AH15/'Other Inputs'!$C$22</f>
        <v>1.0838716836815485</v>
      </c>
      <c r="AJ46" s="56"/>
    </row>
    <row r="47" spans="1:36">
      <c r="B47" s="128">
        <v>36861</v>
      </c>
      <c r="C47" s="164">
        <f>C16/'Other Inputs'!$C$22</f>
        <v>0.56542168990483599</v>
      </c>
      <c r="D47" s="165">
        <f>D16/'Other Inputs'!$C$22</f>
        <v>0.58022797937611892</v>
      </c>
      <c r="E47" s="165">
        <f>E16/'Other Inputs'!$C$22</f>
        <v>0.59372573783484872</v>
      </c>
      <c r="F47" s="165">
        <f>F16/'Other Inputs'!$C$22</f>
        <v>0.60689790537941612</v>
      </c>
      <c r="G47" s="165">
        <f>G16/'Other Inputs'!$C$22</f>
        <v>0.61929841860548651</v>
      </c>
      <c r="H47" s="165">
        <f>H16/'Other Inputs'!$C$22</f>
        <v>0.63194849558042709</v>
      </c>
      <c r="I47" s="165">
        <f>I16/'Other Inputs'!$C$22</f>
        <v>0.64484413206443603</v>
      </c>
      <c r="J47" s="165">
        <f>J16/'Other Inputs'!$C$22</f>
        <v>0.65788791025056625</v>
      </c>
      <c r="K47" s="165">
        <f>K16/'Other Inputs'!$C$22</f>
        <v>0.67119459574423146</v>
      </c>
      <c r="L47" s="165">
        <f>L16/'Other Inputs'!$C$22</f>
        <v>0.68507993987140836</v>
      </c>
      <c r="M47" s="165">
        <f>M16/'Other Inputs'!$C$22</f>
        <v>0.69914493923723309</v>
      </c>
      <c r="N47" s="165">
        <f>N16/'Other Inputs'!$C$22</f>
        <v>0.71401493151839368</v>
      </c>
      <c r="O47" s="165">
        <f>O16/'Other Inputs'!$C$22</f>
        <v>0.72869632498753656</v>
      </c>
      <c r="P47" s="165">
        <f>P16/'Other Inputs'!$C$22</f>
        <v>0.74389813323204979</v>
      </c>
      <c r="Q47" s="165">
        <f>Q16/'Other Inputs'!$C$22</f>
        <v>0.75987441859486782</v>
      </c>
      <c r="R47" s="165">
        <f>R16/'Other Inputs'!$C$22</f>
        <v>0.77639190936263425</v>
      </c>
      <c r="S47" s="178">
        <f>S16/'Other Inputs'!$C$22</f>
        <v>0.79345494591833776</v>
      </c>
      <c r="T47" s="178">
        <f>T16/'Other Inputs'!$C$22</f>
        <v>0.81080552317530419</v>
      </c>
      <c r="U47" s="178">
        <f>U16/'Other Inputs'!$C$22</f>
        <v>0.82860873360988374</v>
      </c>
      <c r="V47" s="178">
        <f>V16/'Other Inputs'!$C$22</f>
        <v>0.84674657581384682</v>
      </c>
      <c r="W47" s="178">
        <f>W16/'Other Inputs'!$C$22</f>
        <v>0.86534415721994906</v>
      </c>
      <c r="X47" s="178">
        <f>X16/'Other Inputs'!$C$22</f>
        <v>0.88438271670232849</v>
      </c>
      <c r="Y47" s="178">
        <f>Y16/'Other Inputs'!$C$22</f>
        <v>0.90384008831326579</v>
      </c>
      <c r="Z47" s="178">
        <f>Z16/'Other Inputs'!$C$22</f>
        <v>0.92375441251295032</v>
      </c>
      <c r="AA47" s="178">
        <f>AA16/'Other Inputs'!$C$22</f>
        <v>0.94419375712677911</v>
      </c>
      <c r="AB47" s="178">
        <f>AB16/'Other Inputs'!$C$22</f>
        <v>0.96514947864856759</v>
      </c>
      <c r="AC47" s="178">
        <f>AC16/'Other Inputs'!$C$22</f>
        <v>0.98656819602510171</v>
      </c>
      <c r="AD47" s="178">
        <f>AD16/'Other Inputs'!$C$22</f>
        <v>1.0083999257929332</v>
      </c>
      <c r="AE47" s="178">
        <f>AE16/'Other Inputs'!$C$22</f>
        <v>1.028568606163538</v>
      </c>
      <c r="AF47" s="178">
        <f>AF16/'Other Inputs'!$C$22</f>
        <v>1.0499158861564974</v>
      </c>
      <c r="AG47" s="178">
        <f>AG16/'Other Inputs'!$C$22</f>
        <v>1.0713158468448831</v>
      </c>
      <c r="AH47" s="178">
        <f>AH16/'Other Inputs'!$C$22</f>
        <v>1.0926066707568103</v>
      </c>
      <c r="AJ47" s="56"/>
    </row>
    <row r="48" spans="1:36">
      <c r="AJ48" s="56"/>
    </row>
    <row r="49" spans="2:36">
      <c r="B49" s="127" t="s">
        <v>94</v>
      </c>
      <c r="C49" s="173">
        <f>'User Dashboard'!E$58</f>
        <v>2023</v>
      </c>
      <c r="D49" s="173">
        <f>'User Dashboard'!F$58</f>
        <v>2024</v>
      </c>
      <c r="E49" s="173">
        <f>'User Dashboard'!G$58</f>
        <v>2025</v>
      </c>
      <c r="F49" s="173">
        <f>'User Dashboard'!H$58</f>
        <v>2026</v>
      </c>
      <c r="G49" s="173">
        <f>'User Dashboard'!I$58</f>
        <v>2027</v>
      </c>
      <c r="H49" s="173">
        <f>'User Dashboard'!J$58</f>
        <v>2028</v>
      </c>
      <c r="I49" s="173">
        <f>'User Dashboard'!K$58</f>
        <v>2029</v>
      </c>
      <c r="J49" s="173">
        <f>'User Dashboard'!L$58</f>
        <v>2030</v>
      </c>
      <c r="K49" s="173">
        <f>'User Dashboard'!M$58</f>
        <v>2031</v>
      </c>
      <c r="L49" s="173">
        <f>'User Dashboard'!N$58</f>
        <v>2032</v>
      </c>
      <c r="M49" s="173">
        <f>'User Dashboard'!O$58</f>
        <v>2033</v>
      </c>
      <c r="N49" s="173">
        <f>'User Dashboard'!P$58</f>
        <v>2034</v>
      </c>
      <c r="O49" s="173">
        <f>'User Dashboard'!Q$58</f>
        <v>2035</v>
      </c>
      <c r="P49" s="173">
        <f>'User Dashboard'!R$58</f>
        <v>2036</v>
      </c>
      <c r="Q49" s="173">
        <f>'User Dashboard'!S$58</f>
        <v>2037</v>
      </c>
      <c r="R49" s="173">
        <f>'User Dashboard'!T$58</f>
        <v>2038</v>
      </c>
      <c r="S49" s="173">
        <f>'User Dashboard'!U$58</f>
        <v>2039</v>
      </c>
      <c r="T49" s="173">
        <f>'User Dashboard'!V$58</f>
        <v>2040</v>
      </c>
      <c r="U49" s="173">
        <f>'User Dashboard'!W$58</f>
        <v>2041</v>
      </c>
      <c r="V49" s="173">
        <f>'User Dashboard'!X$58</f>
        <v>2042</v>
      </c>
      <c r="W49" s="173">
        <f>'User Dashboard'!Y$58</f>
        <v>2043</v>
      </c>
      <c r="X49" s="173">
        <f>'User Dashboard'!Z$58</f>
        <v>2044</v>
      </c>
      <c r="Y49" s="173">
        <f>'User Dashboard'!AA$58</f>
        <v>2045</v>
      </c>
      <c r="Z49" s="173">
        <f>'User Dashboard'!AB$58</f>
        <v>2046</v>
      </c>
      <c r="AA49" s="173">
        <f>'User Dashboard'!AC$58</f>
        <v>2047</v>
      </c>
      <c r="AB49" s="173">
        <f>'User Dashboard'!AD$58</f>
        <v>2048</v>
      </c>
      <c r="AC49" s="173">
        <f>'User Dashboard'!AE$58</f>
        <v>2049</v>
      </c>
      <c r="AD49" s="173">
        <f>'User Dashboard'!AF$58</f>
        <v>2050</v>
      </c>
      <c r="AE49" s="173">
        <f>'User Dashboard'!AG$58</f>
        <v>2051</v>
      </c>
      <c r="AF49" s="173">
        <f>'User Dashboard'!AH$58</f>
        <v>2052</v>
      </c>
      <c r="AG49" s="173">
        <f>'User Dashboard'!AI$58</f>
        <v>2053</v>
      </c>
      <c r="AH49" s="173">
        <f>'User Dashboard'!AJ$58</f>
        <v>2054</v>
      </c>
    </row>
    <row r="50" spans="2:36">
      <c r="B50" s="128">
        <v>36526</v>
      </c>
      <c r="C50" s="172">
        <f>C19/'Other Inputs'!$C$22</f>
        <v>0.56743612037801938</v>
      </c>
      <c r="D50" s="175">
        <f>D19/'Other Inputs'!$C$22</f>
        <v>0.55275615737470085</v>
      </c>
      <c r="E50" s="175">
        <f>E19/'Other Inputs'!$C$22</f>
        <v>0.5541681431085993</v>
      </c>
      <c r="F50" s="175">
        <f>F19/'Other Inputs'!$C$22</f>
        <v>0.55406483233614101</v>
      </c>
      <c r="G50" s="175">
        <f>G19/'Other Inputs'!$C$22</f>
        <v>0.55355627248575656</v>
      </c>
      <c r="H50" s="175">
        <f>H19/'Other Inputs'!$C$22</f>
        <v>0.55298932774110054</v>
      </c>
      <c r="I50" s="175">
        <f>I19/'Other Inputs'!$C$22</f>
        <v>0.55256846082773581</v>
      </c>
      <c r="J50" s="175">
        <f>J19/'Other Inputs'!$C$22</f>
        <v>0.55221248053937477</v>
      </c>
      <c r="K50" s="175">
        <f>K19/'Other Inputs'!$C$22</f>
        <v>0.55178788613960239</v>
      </c>
      <c r="L50" s="175">
        <f>L19/'Other Inputs'!$C$22</f>
        <v>0.55136318086028901</v>
      </c>
      <c r="M50" s="175">
        <f>M19/'Other Inputs'!$C$22</f>
        <v>0.55104434142509973</v>
      </c>
      <c r="N50" s="175">
        <f>N19/'Other Inputs'!$C$22</f>
        <v>0.55054561984836636</v>
      </c>
      <c r="O50" s="175">
        <f>O19/'Other Inputs'!$C$22</f>
        <v>0.55025666111628424</v>
      </c>
      <c r="P50" s="175">
        <f>P19/'Other Inputs'!$C$22</f>
        <v>0.54955100559738534</v>
      </c>
      <c r="Q50" s="175">
        <f>Q19/'Other Inputs'!$C$22</f>
        <v>0.54891654272736701</v>
      </c>
      <c r="R50" s="175">
        <f>R19/'Other Inputs'!$C$22</f>
        <v>0.54850872797197958</v>
      </c>
      <c r="S50" s="175">
        <f>S19/'Other Inputs'!$C$22</f>
        <v>0.5481358450711965</v>
      </c>
      <c r="T50" s="175">
        <f>T19/'Other Inputs'!$C$22</f>
        <v>0.54778442229095714</v>
      </c>
      <c r="U50" s="175">
        <f>U19/'Other Inputs'!$C$22</f>
        <v>0.5473130188471893</v>
      </c>
      <c r="V50" s="175">
        <f>V19/'Other Inputs'!$C$22</f>
        <v>0.54687842256927399</v>
      </c>
      <c r="W50" s="175">
        <f>W19/'Other Inputs'!$C$22</f>
        <v>0.54645824706956414</v>
      </c>
      <c r="X50" s="175">
        <f>X19/'Other Inputs'!$C$22</f>
        <v>0.54605953462772017</v>
      </c>
      <c r="Y50" s="175">
        <f>Y19/'Other Inputs'!$C$22</f>
        <v>0.54566944056464961</v>
      </c>
      <c r="Z50" s="175">
        <f>Z19/'Other Inputs'!$C$22</f>
        <v>0.54530410660728612</v>
      </c>
      <c r="AA50" s="175">
        <f>AA19/'Other Inputs'!$C$22</f>
        <v>0.54494533855446103</v>
      </c>
      <c r="AB50" s="175">
        <f>AB19/'Other Inputs'!$C$22</f>
        <v>0.54461346542652045</v>
      </c>
      <c r="AC50" s="175">
        <f>AC19/'Other Inputs'!$C$22</f>
        <v>0.5442955927805182</v>
      </c>
      <c r="AD50" s="175">
        <f>AD19/'Other Inputs'!$C$22</f>
        <v>0.54399704360330281</v>
      </c>
      <c r="AE50" s="175">
        <f>AE19/'Other Inputs'!$C$22</f>
        <v>0.54370760904811521</v>
      </c>
      <c r="AF50" s="175">
        <f>AF19/'Other Inputs'!$C$22</f>
        <v>0.54344052896056461</v>
      </c>
      <c r="AG50" s="175">
        <f>AG19/'Other Inputs'!$C$22</f>
        <v>0.5431758975301052</v>
      </c>
      <c r="AH50" s="175">
        <f>AH19/'Other Inputs'!$C$22</f>
        <v>0.54298281947506877</v>
      </c>
      <c r="AJ50" s="56"/>
    </row>
    <row r="51" spans="2:36">
      <c r="B51" s="128">
        <v>36557</v>
      </c>
      <c r="C51" s="176">
        <f>C20/'Other Inputs'!$C$22</f>
        <v>0.55370138478692332</v>
      </c>
      <c r="D51" s="180">
        <f>D20/'Other Inputs'!$C$22</f>
        <v>0.5407855282279016</v>
      </c>
      <c r="E51" s="180">
        <f>E20/'Other Inputs'!$C$22</f>
        <v>0.54203509771348513</v>
      </c>
      <c r="F51" s="180">
        <f>F20/'Other Inputs'!$C$22</f>
        <v>0.54189858779831779</v>
      </c>
      <c r="G51" s="180">
        <f>G20/'Other Inputs'!$C$22</f>
        <v>0.54139483722326465</v>
      </c>
      <c r="H51" s="180">
        <f>H20/'Other Inputs'!$C$22</f>
        <v>0.54085271467073148</v>
      </c>
      <c r="I51" s="180">
        <f>I20/'Other Inputs'!$C$22</f>
        <v>0.54044737409237509</v>
      </c>
      <c r="J51" s="180">
        <f>J20/'Other Inputs'!$C$22</f>
        <v>0.54009317526008838</v>
      </c>
      <c r="K51" s="180">
        <f>K20/'Other Inputs'!$C$22</f>
        <v>0.53967685841031277</v>
      </c>
      <c r="L51" s="180">
        <f>L20/'Other Inputs'!$C$22</f>
        <v>0.53927249744787187</v>
      </c>
      <c r="M51" s="180">
        <f>M20/'Other Inputs'!$C$22</f>
        <v>0.53894263528389452</v>
      </c>
      <c r="N51" s="180">
        <f>N20/'Other Inputs'!$C$22</f>
        <v>0.53847688568847329</v>
      </c>
      <c r="O51" s="180">
        <f>O20/'Other Inputs'!$C$22</f>
        <v>0.53815678702847691</v>
      </c>
      <c r="P51" s="180">
        <f>P20/'Other Inputs'!$C$22</f>
        <v>0.53747109606175247</v>
      </c>
      <c r="Q51" s="180">
        <f>Q20/'Other Inputs'!$C$22</f>
        <v>0.5368704130541232</v>
      </c>
      <c r="R51" s="174">
        <f>R20/'Other Inputs'!$C$22</f>
        <v>0.53647436513586377</v>
      </c>
      <c r="S51" s="174">
        <f>S20/'Other Inputs'!$C$22</f>
        <v>0.53611254682811693</v>
      </c>
      <c r="T51" s="174">
        <f>T20/'Other Inputs'!$C$22</f>
        <v>0.53575785772221951</v>
      </c>
      <c r="U51" s="174">
        <f>U20/'Other Inputs'!$C$22</f>
        <v>0.53529994226275768</v>
      </c>
      <c r="V51" s="174">
        <f>V20/'Other Inputs'!$C$22</f>
        <v>0.53487597031443856</v>
      </c>
      <c r="W51" s="174">
        <f>W20/'Other Inputs'!$C$22</f>
        <v>0.53446684679227874</v>
      </c>
      <c r="X51" s="174">
        <f>X20/'Other Inputs'!$C$22</f>
        <v>0.53407742918657908</v>
      </c>
      <c r="Y51" s="174">
        <f>Y20/'Other Inputs'!$C$22</f>
        <v>0.53369803958264683</v>
      </c>
      <c r="Z51" s="174">
        <f>Z20/'Other Inputs'!$C$22</f>
        <v>0.53334107617196236</v>
      </c>
      <c r="AA51" s="174">
        <f>AA20/'Other Inputs'!$C$22</f>
        <v>0.53299245154652497</v>
      </c>
      <c r="AB51" s="174">
        <f>AB20/'Other Inputs'!$C$22</f>
        <v>0.5326689351235685</v>
      </c>
      <c r="AC51" s="174">
        <f>AC20/'Other Inputs'!$C$22</f>
        <v>0.53235968013975188</v>
      </c>
      <c r="AD51" s="174">
        <f>AD20/'Other Inputs'!$C$22</f>
        <v>0.53206829141445267</v>
      </c>
      <c r="AE51" s="174">
        <f>AE20/'Other Inputs'!$C$22</f>
        <v>0.53178721003814844</v>
      </c>
      <c r="AF51" s="174">
        <f>AF20/'Other Inputs'!$C$22</f>
        <v>0.53152562988403773</v>
      </c>
      <c r="AG51" s="174">
        <f>AG20/'Other Inputs'!$C$22</f>
        <v>0.5312729789842553</v>
      </c>
      <c r="AH51" s="174">
        <f>AH20/'Other Inputs'!$C$22</f>
        <v>0.5310860319467906</v>
      </c>
      <c r="AJ51" s="56"/>
    </row>
    <row r="52" spans="2:36">
      <c r="B52" s="128">
        <v>36586</v>
      </c>
      <c r="C52" s="176">
        <f>C21/'Other Inputs'!$C$22</f>
        <v>0.50711161840361474</v>
      </c>
      <c r="D52" s="180">
        <f>D21/'Other Inputs'!$C$22</f>
        <v>0.49657892583210816</v>
      </c>
      <c r="E52" s="180">
        <f>E21/'Other Inputs'!$C$22</f>
        <v>0.49760534466558515</v>
      </c>
      <c r="F52" s="180">
        <f>F21/'Other Inputs'!$C$22</f>
        <v>0.49744746923420963</v>
      </c>
      <c r="G52" s="180">
        <f>G21/'Other Inputs'!$C$22</f>
        <v>0.49697920342671631</v>
      </c>
      <c r="H52" s="180">
        <f>H21/'Other Inputs'!$C$22</f>
        <v>0.49649291025943532</v>
      </c>
      <c r="I52" s="180">
        <f>I21/'Other Inputs'!$C$22</f>
        <v>0.49612658935819143</v>
      </c>
      <c r="J52" s="180">
        <f>J21/'Other Inputs'!$C$22</f>
        <v>0.49579590392494766</v>
      </c>
      <c r="K52" s="180">
        <f>K21/'Other Inputs'!$C$22</f>
        <v>0.49541277678965623</v>
      </c>
      <c r="L52" s="180">
        <f>L21/'Other Inputs'!$C$22</f>
        <v>0.4950517012046407</v>
      </c>
      <c r="M52" s="180">
        <f>M21/'Other Inputs'!$C$22</f>
        <v>0.49473234924722265</v>
      </c>
      <c r="N52" s="180">
        <f>N21/'Other Inputs'!$C$22</f>
        <v>0.49432502206357498</v>
      </c>
      <c r="O52" s="180">
        <f>O21/'Other Inputs'!$C$22</f>
        <v>0.49399676531462394</v>
      </c>
      <c r="P52" s="180">
        <f>P21/'Other Inputs'!$C$22</f>
        <v>0.49337142417281338</v>
      </c>
      <c r="Q52" s="180">
        <f>Q21/'Other Inputs'!$C$22</f>
        <v>0.49283823713783681</v>
      </c>
      <c r="R52" s="174">
        <f>R21/'Other Inputs'!$C$22</f>
        <v>0.49247725813224197</v>
      </c>
      <c r="S52" s="174">
        <f>S21/'Other Inputs'!$C$22</f>
        <v>0.49214776042328295</v>
      </c>
      <c r="T52" s="174">
        <f>T21/'Other Inputs'!$C$22</f>
        <v>0.49181208239242408</v>
      </c>
      <c r="U52" s="174">
        <f>U21/'Other Inputs'!$C$22</f>
        <v>0.49139460900022475</v>
      </c>
      <c r="V52" s="174">
        <f>V21/'Other Inputs'!$C$22</f>
        <v>0.49100640766678288</v>
      </c>
      <c r="W52" s="174">
        <f>W21/'Other Inputs'!$C$22</f>
        <v>0.490632520116628</v>
      </c>
      <c r="X52" s="174">
        <f>X21/'Other Inputs'!$C$22</f>
        <v>0.49027554148257863</v>
      </c>
      <c r="Y52" s="174">
        <f>Y21/'Other Inputs'!$C$22</f>
        <v>0.48992923620437007</v>
      </c>
      <c r="Z52" s="174">
        <f>Z21/'Other Inputs'!$C$22</f>
        <v>0.4896018739080209</v>
      </c>
      <c r="AA52" s="174">
        <f>AA21/'Other Inputs'!$C$22</f>
        <v>0.48928392644756408</v>
      </c>
      <c r="AB52" s="174">
        <f>AB21/'Other Inputs'!$C$22</f>
        <v>0.48898792939579289</v>
      </c>
      <c r="AC52" s="174">
        <f>AC21/'Other Inputs'!$C$22</f>
        <v>0.48870554577629016</v>
      </c>
      <c r="AD52" s="174">
        <f>AD21/'Other Inputs'!$C$22</f>
        <v>0.4884386145549896</v>
      </c>
      <c r="AE52" s="174">
        <f>AE21/'Other Inputs'!$C$22</f>
        <v>0.48818242399214717</v>
      </c>
      <c r="AF52" s="174">
        <f>AF21/'Other Inputs'!$C$22</f>
        <v>0.48794196606845325</v>
      </c>
      <c r="AG52" s="174">
        <f>AG21/'Other Inputs'!$C$22</f>
        <v>0.48771570421318777</v>
      </c>
      <c r="AH52" s="174">
        <f>AH21/'Other Inputs'!$C$22</f>
        <v>0.48754582865141838</v>
      </c>
      <c r="AJ52" s="56"/>
    </row>
    <row r="53" spans="2:36">
      <c r="B53" s="128">
        <v>36617</v>
      </c>
      <c r="C53" s="176">
        <f>C22/'Other Inputs'!$C$22</f>
        <v>0.49731526671499671</v>
      </c>
      <c r="D53" s="180">
        <f>D22/'Other Inputs'!$C$22</f>
        <v>0.48826346904184448</v>
      </c>
      <c r="E53" s="180">
        <f>E22/'Other Inputs'!$C$22</f>
        <v>0.48915377731867454</v>
      </c>
      <c r="F53" s="180">
        <f>F22/'Other Inputs'!$C$22</f>
        <v>0.48896658058736608</v>
      </c>
      <c r="G53" s="180">
        <f>G22/'Other Inputs'!$C$22</f>
        <v>0.4885005596777286</v>
      </c>
      <c r="H53" s="180">
        <f>H22/'Other Inputs'!$C$22</f>
        <v>0.4880337251408382</v>
      </c>
      <c r="I53" s="180">
        <f>I22/'Other Inputs'!$C$22</f>
        <v>0.48767932226243388</v>
      </c>
      <c r="J53" s="180">
        <f>J22/'Other Inputs'!$C$22</f>
        <v>0.48734882727420487</v>
      </c>
      <c r="K53" s="180">
        <f>K22/'Other Inputs'!$C$22</f>
        <v>0.48697128810329221</v>
      </c>
      <c r="L53" s="180">
        <f>L22/'Other Inputs'!$C$22</f>
        <v>0.48662631372167703</v>
      </c>
      <c r="M53" s="180">
        <f>M22/'Other Inputs'!$C$22</f>
        <v>0.4862961381144405</v>
      </c>
      <c r="N53" s="180">
        <f>N22/'Other Inputs'!$C$22</f>
        <v>0.48591563136981197</v>
      </c>
      <c r="O53" s="180">
        <f>O22/'Other Inputs'!$C$22</f>
        <v>0.48555913734199263</v>
      </c>
      <c r="P53" s="180">
        <f>P22/'Other Inputs'!$C$22</f>
        <v>0.48494849180710348</v>
      </c>
      <c r="Q53" s="180">
        <f>Q22/'Other Inputs'!$C$22</f>
        <v>0.48444230986318904</v>
      </c>
      <c r="R53" s="174">
        <f>R22/'Other Inputs'!$C$22</f>
        <v>0.48409002319250521</v>
      </c>
      <c r="S53" s="174">
        <f>S22/'Other Inputs'!$C$22</f>
        <v>0.48376873958346167</v>
      </c>
      <c r="T53" s="174">
        <f>T22/'Other Inputs'!$C$22</f>
        <v>0.48342887134545609</v>
      </c>
      <c r="U53" s="174">
        <f>U22/'Other Inputs'!$C$22</f>
        <v>0.48302134666389157</v>
      </c>
      <c r="V53" s="174">
        <f>V22/'Other Inputs'!$C$22</f>
        <v>0.48264073976244132</v>
      </c>
      <c r="W53" s="174">
        <f>W22/'Other Inputs'!$C$22</f>
        <v>0.48227487441340716</v>
      </c>
      <c r="X53" s="174">
        <f>X22/'Other Inputs'!$C$22</f>
        <v>0.48192446910133463</v>
      </c>
      <c r="Y53" s="174">
        <f>Y22/'Other Inputs'!$C$22</f>
        <v>0.48158599830431265</v>
      </c>
      <c r="Z53" s="174">
        <f>Z22/'Other Inputs'!$C$22</f>
        <v>0.48126453168678773</v>
      </c>
      <c r="AA53" s="174">
        <f>AA22/'Other Inputs'!$C$22</f>
        <v>0.48095404971620426</v>
      </c>
      <c r="AB53" s="174">
        <f>AB22/'Other Inputs'!$C$22</f>
        <v>0.48066406427987712</v>
      </c>
      <c r="AC53" s="174">
        <f>AC22/'Other Inputs'!$C$22</f>
        <v>0.48038797320107884</v>
      </c>
      <c r="AD53" s="174">
        <f>AD22/'Other Inputs'!$C$22</f>
        <v>0.48012613878407384</v>
      </c>
      <c r="AE53" s="174">
        <f>AE22/'Other Inputs'!$C$22</f>
        <v>0.47987611910348588</v>
      </c>
      <c r="AF53" s="174">
        <f>AF22/'Other Inputs'!$C$22</f>
        <v>0.47963943156740452</v>
      </c>
      <c r="AG53" s="174">
        <f>AG22/'Other Inputs'!$C$22</f>
        <v>0.47942259595138975</v>
      </c>
      <c r="AH53" s="174">
        <f>AH22/'Other Inputs'!$C$22</f>
        <v>0.47925732371291829</v>
      </c>
      <c r="AJ53" s="56"/>
    </row>
    <row r="54" spans="2:36">
      <c r="B54" s="128">
        <v>36647</v>
      </c>
      <c r="C54" s="176">
        <f>C23/'Other Inputs'!$C$22</f>
        <v>0.51341494962609191</v>
      </c>
      <c r="D54" s="180">
        <f>D23/'Other Inputs'!$C$22</f>
        <v>0.50539521330057435</v>
      </c>
      <c r="E54" s="180">
        <f>E23/'Other Inputs'!$C$22</f>
        <v>0.50619372192560608</v>
      </c>
      <c r="F54" s="180">
        <f>F23/'Other Inputs'!$C$22</f>
        <v>0.50596688585901139</v>
      </c>
      <c r="G54" s="180">
        <f>G23/'Other Inputs'!$C$22</f>
        <v>0.50547872352557366</v>
      </c>
      <c r="H54" s="180">
        <f>H23/'Other Inputs'!$C$22</f>
        <v>0.5050072161056649</v>
      </c>
      <c r="I54" s="180">
        <f>I23/'Other Inputs'!$C$22</f>
        <v>0.50464636220972525</v>
      </c>
      <c r="J54" s="180">
        <f>J23/'Other Inputs'!$C$22</f>
        <v>0.50429873903603584</v>
      </c>
      <c r="K54" s="180">
        <f>K23/'Other Inputs'!$C$22</f>
        <v>0.50390709678552414</v>
      </c>
      <c r="L54" s="180">
        <f>L23/'Other Inputs'!$C$22</f>
        <v>0.50356042101889664</v>
      </c>
      <c r="M54" s="180">
        <f>M23/'Other Inputs'!$C$22</f>
        <v>0.50320192954797416</v>
      </c>
      <c r="N54" s="180">
        <f>N23/'Other Inputs'!$C$22</f>
        <v>0.50282876355746309</v>
      </c>
      <c r="O54" s="180">
        <f>O23/'Other Inputs'!$C$22</f>
        <v>0.50242485972809214</v>
      </c>
      <c r="P54" s="180">
        <f>P23/'Other Inputs'!$C$22</f>
        <v>0.50179715855212259</v>
      </c>
      <c r="Q54" s="180">
        <f>Q23/'Other Inputs'!$C$22</f>
        <v>0.50129191830974273</v>
      </c>
      <c r="R54" s="174">
        <f>R23/'Other Inputs'!$C$22</f>
        <v>0.50093001010872229</v>
      </c>
      <c r="S54" s="174">
        <f>S23/'Other Inputs'!$C$22</f>
        <v>0.50060024340463627</v>
      </c>
      <c r="T54" s="174">
        <f>T23/'Other Inputs'!$C$22</f>
        <v>0.50023829936036046</v>
      </c>
      <c r="U54" s="174">
        <f>U23/'Other Inputs'!$C$22</f>
        <v>0.4998195360966301</v>
      </c>
      <c r="V54" s="174">
        <f>V23/'Other Inputs'!$C$22</f>
        <v>0.4994267064687567</v>
      </c>
      <c r="W54" s="174">
        <f>W23/'Other Inputs'!$C$22</f>
        <v>0.49904982618929905</v>
      </c>
      <c r="X54" s="174">
        <f>X23/'Other Inputs'!$C$22</f>
        <v>0.49868774232342716</v>
      </c>
      <c r="Y54" s="174">
        <f>Y23/'Other Inputs'!$C$22</f>
        <v>0.49833950143701394</v>
      </c>
      <c r="Z54" s="174">
        <f>Z23/'Other Inputs'!$C$22</f>
        <v>0.49800718364934715</v>
      </c>
      <c r="AA54" s="174">
        <f>AA23/'Other Inputs'!$C$22</f>
        <v>0.49768802317381278</v>
      </c>
      <c r="AB54" s="174">
        <f>AB23/'Other Inputs'!$C$22</f>
        <v>0.49738895450072651</v>
      </c>
      <c r="AC54" s="174">
        <f>AC23/'Other Inputs'!$C$22</f>
        <v>0.49710479419662323</v>
      </c>
      <c r="AD54" s="174">
        <f>AD23/'Other Inputs'!$C$22</f>
        <v>0.49683442137659695</v>
      </c>
      <c r="AE54" s="174">
        <f>AE23/'Other Inputs'!$C$22</f>
        <v>0.49657757516554951</v>
      </c>
      <c r="AF54" s="174">
        <f>AF23/'Other Inputs'!$C$22</f>
        <v>0.49633231788906879</v>
      </c>
      <c r="AG54" s="174">
        <f>AG23/'Other Inputs'!$C$22</f>
        <v>0.49611370659694004</v>
      </c>
      <c r="AH54" s="174">
        <f>AH23/'Other Inputs'!$C$22</f>
        <v>0.49594445496930029</v>
      </c>
      <c r="AJ54" s="56"/>
    </row>
    <row r="55" spans="2:36">
      <c r="B55" s="128">
        <v>36678</v>
      </c>
      <c r="C55" s="176">
        <f>C24/'Other Inputs'!$C$22</f>
        <v>0.52544815794902189</v>
      </c>
      <c r="D55" s="180">
        <f>D24/'Other Inputs'!$C$22</f>
        <v>0.51860312463446367</v>
      </c>
      <c r="E55" s="180">
        <f>E24/'Other Inputs'!$C$22</f>
        <v>0.51929630671573801</v>
      </c>
      <c r="F55" s="180">
        <f>F24/'Other Inputs'!$C$22</f>
        <v>0.51902962293720312</v>
      </c>
      <c r="G55" s="180">
        <f>G24/'Other Inputs'!$C$22</f>
        <v>0.51852276439683842</v>
      </c>
      <c r="H55" s="180">
        <f>H24/'Other Inputs'!$C$22</f>
        <v>0.51805094201907032</v>
      </c>
      <c r="I55" s="180">
        <f>I24/'Other Inputs'!$C$22</f>
        <v>0.51768679510146387</v>
      </c>
      <c r="J55" s="180">
        <f>J24/'Other Inputs'!$C$22</f>
        <v>0.51732441319510114</v>
      </c>
      <c r="K55" s="180">
        <f>K24/'Other Inputs'!$C$22</f>
        <v>0.51692165753491748</v>
      </c>
      <c r="L55" s="180">
        <f>L24/'Other Inputs'!$C$22</f>
        <v>0.51657659145813883</v>
      </c>
      <c r="M55" s="180">
        <f>M24/'Other Inputs'!$C$22</f>
        <v>0.51619157102232471</v>
      </c>
      <c r="N55" s="180">
        <f>N24/'Other Inputs'!$C$22</f>
        <v>0.5158298752673588</v>
      </c>
      <c r="O55" s="180">
        <f>O24/'Other Inputs'!$C$22</f>
        <v>0.5153796189924279</v>
      </c>
      <c r="P55" s="180">
        <f>P24/'Other Inputs'!$C$22</f>
        <v>0.51473999583570662</v>
      </c>
      <c r="Q55" s="180">
        <f>Q24/'Other Inputs'!$C$22</f>
        <v>0.51424073370577483</v>
      </c>
      <c r="R55" s="174">
        <f>R24/'Other Inputs'!$C$22</f>
        <v>0.51387217691828613</v>
      </c>
      <c r="S55" s="174">
        <f>S24/'Other Inputs'!$C$22</f>
        <v>0.51353665353506073</v>
      </c>
      <c r="T55" s="174">
        <f>T24/'Other Inputs'!$C$22</f>
        <v>0.51315483926017258</v>
      </c>
      <c r="U55" s="174">
        <f>U24/'Other Inputs'!$C$22</f>
        <v>0.51272827089663742</v>
      </c>
      <c r="V55" s="174">
        <f>V24/'Other Inputs'!$C$22</f>
        <v>0.51232633582301834</v>
      </c>
      <c r="W55" s="174">
        <f>W24/'Other Inputs'!$C$22</f>
        <v>0.51194147519005284</v>
      </c>
      <c r="X55" s="174">
        <f>X24/'Other Inputs'!$C$22</f>
        <v>0.51157056064365214</v>
      </c>
      <c r="Y55" s="174">
        <f>Y24/'Other Inputs'!$C$22</f>
        <v>0.51121537878380752</v>
      </c>
      <c r="Z55" s="174">
        <f>Z24/'Other Inputs'!$C$22</f>
        <v>0.51087481540316471</v>
      </c>
      <c r="AA55" s="174">
        <f>AA24/'Other Inputs'!$C$22</f>
        <v>0.51054958628490721</v>
      </c>
      <c r="AB55" s="174">
        <f>AB24/'Other Inputs'!$C$22</f>
        <v>0.51024382131467827</v>
      </c>
      <c r="AC55" s="174">
        <f>AC24/'Other Inputs'!$C$22</f>
        <v>0.50995389433286853</v>
      </c>
      <c r="AD55" s="174">
        <f>AD24/'Other Inputs'!$C$22</f>
        <v>0.50967712088146633</v>
      </c>
      <c r="AE55" s="174">
        <f>AE24/'Other Inputs'!$C$22</f>
        <v>0.50941555815308603</v>
      </c>
      <c r="AF55" s="174">
        <f>AF24/'Other Inputs'!$C$22</f>
        <v>0.50916361950126576</v>
      </c>
      <c r="AG55" s="174">
        <f>AG24/'Other Inputs'!$C$22</f>
        <v>0.5089452771509515</v>
      </c>
      <c r="AH55" s="174">
        <f>AH24/'Other Inputs'!$C$22</f>
        <v>0.50877346854497607</v>
      </c>
      <c r="AJ55" s="56"/>
    </row>
    <row r="56" spans="2:36">
      <c r="B56" s="128">
        <v>36708</v>
      </c>
      <c r="C56" s="176">
        <f>C25/'Other Inputs'!$C$22</f>
        <v>0.52836722783361934</v>
      </c>
      <c r="D56" s="180">
        <f>D25/'Other Inputs'!$C$22</f>
        <v>0.52286099985596923</v>
      </c>
      <c r="E56" s="180">
        <f>E25/'Other Inputs'!$C$22</f>
        <v>0.52343270167336908</v>
      </c>
      <c r="F56" s="180">
        <f>F25/'Other Inputs'!$C$22</f>
        <v>0.52312964616415103</v>
      </c>
      <c r="G56" s="180">
        <f>G25/'Other Inputs'!$C$22</f>
        <v>0.52261264154806275</v>
      </c>
      <c r="H56" s="180">
        <f>H25/'Other Inputs'!$C$22</f>
        <v>0.52214904566033615</v>
      </c>
      <c r="I56" s="180">
        <f>I25/'Other Inputs'!$C$22</f>
        <v>0.52178809397661563</v>
      </c>
      <c r="J56" s="180">
        <f>J25/'Other Inputs'!$C$22</f>
        <v>0.52141701888437819</v>
      </c>
      <c r="K56" s="180">
        <f>K25/'Other Inputs'!$C$22</f>
        <v>0.52101007139132571</v>
      </c>
      <c r="L56" s="180">
        <f>L25/'Other Inputs'!$C$22</f>
        <v>0.52067292447296998</v>
      </c>
      <c r="M56" s="180">
        <f>M25/'Other Inputs'!$C$22</f>
        <v>0.5202674498680242</v>
      </c>
      <c r="N56" s="180">
        <f>N25/'Other Inputs'!$C$22</f>
        <v>0.51992417126149193</v>
      </c>
      <c r="O56" s="180">
        <f>O25/'Other Inputs'!$C$22</f>
        <v>0.51943414426796042</v>
      </c>
      <c r="P56" s="180">
        <f>P25/'Other Inputs'!$C$22</f>
        <v>0.51879378657789521</v>
      </c>
      <c r="Q56" s="180">
        <f>Q25/'Other Inputs'!$C$22</f>
        <v>0.5183097558257137</v>
      </c>
      <c r="R56" s="174">
        <f>R25/'Other Inputs'!$C$22</f>
        <v>0.51794100429253653</v>
      </c>
      <c r="S56" s="174">
        <f>S25/'Other Inputs'!$C$22</f>
        <v>0.51760560970596536</v>
      </c>
      <c r="T56" s="174">
        <f>T25/'Other Inputs'!$C$22</f>
        <v>0.51721016879117609</v>
      </c>
      <c r="U56" s="174">
        <f>U25/'Other Inputs'!$C$22</f>
        <v>0.51678326126718122</v>
      </c>
      <c r="V56" s="174">
        <f>V25/'Other Inputs'!$C$22</f>
        <v>0.51637919587607306</v>
      </c>
      <c r="W56" s="174">
        <f>W25/'Other Inputs'!$C$22</f>
        <v>0.51599305886884905</v>
      </c>
      <c r="X56" s="174">
        <f>X25/'Other Inputs'!$C$22</f>
        <v>0.51561973585997467</v>
      </c>
      <c r="Y56" s="174">
        <f>Y25/'Other Inputs'!$C$22</f>
        <v>0.51526381447191738</v>
      </c>
      <c r="Z56" s="174">
        <f>Z25/'Other Inputs'!$C$22</f>
        <v>0.51492089751373427</v>
      </c>
      <c r="AA56" s="174">
        <f>AA25/'Other Inputs'!$C$22</f>
        <v>0.51459528800549881</v>
      </c>
      <c r="AB56" s="174">
        <f>AB25/'Other Inputs'!$C$22</f>
        <v>0.51428814079813689</v>
      </c>
      <c r="AC56" s="174">
        <f>AC25/'Other Inputs'!$C$22</f>
        <v>0.51399750580025272</v>
      </c>
      <c r="AD56" s="174">
        <f>AD25/'Other Inputs'!$C$22</f>
        <v>0.51371913035700778</v>
      </c>
      <c r="AE56" s="174">
        <f>AE25/'Other Inputs'!$C$22</f>
        <v>0.51345743143303957</v>
      </c>
      <c r="AF56" s="174">
        <f>AF25/'Other Inputs'!$C$22</f>
        <v>0.51320315032671349</v>
      </c>
      <c r="AG56" s="174">
        <f>AG25/'Other Inputs'!$C$22</f>
        <v>0.51298904372318366</v>
      </c>
      <c r="AH56" s="174">
        <f>AH25/'Other Inputs'!$C$22</f>
        <v>0.51281770518153391</v>
      </c>
      <c r="AJ56" s="56"/>
    </row>
    <row r="57" spans="2:36">
      <c r="B57" s="128">
        <v>36739</v>
      </c>
      <c r="C57" s="176">
        <f>C26/'Other Inputs'!$C$22</f>
        <v>0.5230460890889177</v>
      </c>
      <c r="D57" s="180">
        <f>D26/'Other Inputs'!$C$22</f>
        <v>0.51896485662689851</v>
      </c>
      <c r="E57" s="180">
        <f>E26/'Other Inputs'!$C$22</f>
        <v>0.51940613326812834</v>
      </c>
      <c r="F57" s="180">
        <f>F26/'Other Inputs'!$C$22</f>
        <v>0.5190714243252561</v>
      </c>
      <c r="G57" s="180">
        <f>G26/'Other Inputs'!$C$22</f>
        <v>0.51855233494644248</v>
      </c>
      <c r="H57" s="180">
        <f>H26/'Other Inputs'!$C$22</f>
        <v>0.51810419810802977</v>
      </c>
      <c r="I57" s="180">
        <f>I26/'Other Inputs'!$C$22</f>
        <v>0.51775207212167385</v>
      </c>
      <c r="J57" s="180">
        <f>J26/'Other Inputs'!$C$22</f>
        <v>0.51737808944659303</v>
      </c>
      <c r="K57" s="180">
        <f>K26/'Other Inputs'!$C$22</f>
        <v>0.51697329626435118</v>
      </c>
      <c r="L57" s="180">
        <f>L26/'Other Inputs'!$C$22</f>
        <v>0.51664932878198466</v>
      </c>
      <c r="M57" s="180">
        <f>M26/'Other Inputs'!$C$22</f>
        <v>0.51622971941171092</v>
      </c>
      <c r="N57" s="180">
        <f>N26/'Other Inputs'!$C$22</f>
        <v>0.51591021629844724</v>
      </c>
      <c r="O57" s="180">
        <f>O26/'Other Inputs'!$C$22</f>
        <v>0.5153880522693608</v>
      </c>
      <c r="P57" s="180">
        <f>P26/'Other Inputs'!$C$22</f>
        <v>0.51475694746344147</v>
      </c>
      <c r="Q57" s="180">
        <f>Q26/'Other Inputs'!$C$22</f>
        <v>0.51429570099137323</v>
      </c>
      <c r="R57" s="174">
        <f>R26/'Other Inputs'!$C$22</f>
        <v>0.51393250604403251</v>
      </c>
      <c r="S57" s="174">
        <f>S26/'Other Inputs'!$C$22</f>
        <v>0.51360247139600879</v>
      </c>
      <c r="T57" s="174">
        <f>T26/'Other Inputs'!$C$22</f>
        <v>0.51319956833246816</v>
      </c>
      <c r="U57" s="174">
        <f>U26/'Other Inputs'!$C$22</f>
        <v>0.51277897999860211</v>
      </c>
      <c r="V57" s="174">
        <f>V26/'Other Inputs'!$C$22</f>
        <v>0.51237908595944048</v>
      </c>
      <c r="W57" s="174">
        <f>W26/'Other Inputs'!$C$22</f>
        <v>0.51199769481821344</v>
      </c>
      <c r="X57" s="174">
        <f>X26/'Other Inputs'!$C$22</f>
        <v>0.51162778546634902</v>
      </c>
      <c r="Y57" s="174">
        <f>Y26/'Other Inputs'!$C$22</f>
        <v>0.51127667564505153</v>
      </c>
      <c r="Z57" s="174">
        <f>Z26/'Other Inputs'!$C$22</f>
        <v>0.51093675300173658</v>
      </c>
      <c r="AA57" s="174">
        <f>AA26/'Other Inputs'!$C$22</f>
        <v>0.5106158415106774</v>
      </c>
      <c r="AB57" s="174">
        <f>AB26/'Other Inputs'!$C$22</f>
        <v>0.51031210228679191</v>
      </c>
      <c r="AC57" s="174">
        <f>AC26/'Other Inputs'!$C$22</f>
        <v>0.51002529211054104</v>
      </c>
      <c r="AD57" s="174">
        <f>AD26/'Other Inputs'!$C$22</f>
        <v>0.50974965609514933</v>
      </c>
      <c r="AE57" s="174">
        <f>AE26/'Other Inputs'!$C$22</f>
        <v>0.50949190263304556</v>
      </c>
      <c r="AF57" s="174">
        <f>AF26/'Other Inputs'!$C$22</f>
        <v>0.50923924452367797</v>
      </c>
      <c r="AG57" s="174">
        <f>AG26/'Other Inputs'!$C$22</f>
        <v>0.5090327140450811</v>
      </c>
      <c r="AH57" s="174">
        <f>AH26/'Other Inputs'!$C$22</f>
        <v>0.50886451802482757</v>
      </c>
      <c r="AJ57" s="56"/>
    </row>
    <row r="58" spans="2:36" s="179" customFormat="1">
      <c r="B58" s="128">
        <v>36770</v>
      </c>
      <c r="C58" s="176">
        <f>C27/'Other Inputs'!$C$22</f>
        <v>0.52914566285924625</v>
      </c>
      <c r="D58" s="180">
        <f>D27/'Other Inputs'!$C$22</f>
        <v>0.52640905198081678</v>
      </c>
      <c r="E58" s="180">
        <f>E27/'Other Inputs'!$C$22</f>
        <v>0.52672874315131035</v>
      </c>
      <c r="F58" s="180">
        <f>F27/'Other Inputs'!$C$22</f>
        <v>0.52635485092998413</v>
      </c>
      <c r="G58" s="180">
        <f>G27/'Other Inputs'!$C$22</f>
        <v>0.5258222959399258</v>
      </c>
      <c r="H58" s="180">
        <f>H27/'Other Inputs'!$C$22</f>
        <v>0.52537990194013329</v>
      </c>
      <c r="I58" s="180">
        <f>I27/'Other Inputs'!$C$22</f>
        <v>0.52502894610336182</v>
      </c>
      <c r="J58" s="180">
        <f>J27/'Other Inputs'!$C$22</f>
        <v>0.52464384752984017</v>
      </c>
      <c r="K58" s="180">
        <f>K27/'Other Inputs'!$C$22</f>
        <v>0.52423235759253761</v>
      </c>
      <c r="L58" s="180">
        <f>L27/'Other Inputs'!$C$22</f>
        <v>0.52391455815280219</v>
      </c>
      <c r="M58" s="180">
        <f>M27/'Other Inputs'!$C$22</f>
        <v>0.52347153558514958</v>
      </c>
      <c r="N58" s="180">
        <f>N27/'Other Inputs'!$C$22</f>
        <v>0.52316896127636559</v>
      </c>
      <c r="O58" s="180">
        <f>O27/'Other Inputs'!$C$22</f>
        <v>0.52260302218231669</v>
      </c>
      <c r="P58" s="180">
        <f>P27/'Other Inputs'!$C$22</f>
        <v>0.52196740797889474</v>
      </c>
      <c r="Q58" s="180">
        <f>Q27/'Other Inputs'!$C$22</f>
        <v>0.52151898876029146</v>
      </c>
      <c r="R58" s="174">
        <f>R27/'Other Inputs'!$C$22</f>
        <v>0.52115343179698392</v>
      </c>
      <c r="S58" s="174">
        <f>S27/'Other Inputs'!$C$22</f>
        <v>0.52082156342978148</v>
      </c>
      <c r="T58" s="174">
        <f>T27/'Other Inputs'!$C$22</f>
        <v>0.52040232779407591</v>
      </c>
      <c r="U58" s="174">
        <f>U27/'Other Inputs'!$C$22</f>
        <v>0.51997888799283831</v>
      </c>
      <c r="V58" s="174">
        <f>V27/'Other Inputs'!$C$22</f>
        <v>0.5195744342696007</v>
      </c>
      <c r="W58" s="174">
        <f>W27/'Other Inputs'!$C$22</f>
        <v>0.51918946678766675</v>
      </c>
      <c r="X58" s="174">
        <f>X27/'Other Inputs'!$C$22</f>
        <v>0.5188148919129929</v>
      </c>
      <c r="Y58" s="174">
        <f>Y27/'Other Inputs'!$C$22</f>
        <v>0.51846093500560497</v>
      </c>
      <c r="Z58" s="174">
        <f>Z27/'Other Inputs'!$C$22</f>
        <v>0.51811658153527185</v>
      </c>
      <c r="AA58" s="174">
        <f>AA27/'Other Inputs'!$C$22</f>
        <v>0.51779337001260639</v>
      </c>
      <c r="AB58" s="174">
        <f>AB27/'Other Inputs'!$C$22</f>
        <v>0.51748640863404161</v>
      </c>
      <c r="AC58" s="174">
        <f>AC27/'Other Inputs'!$C$22</f>
        <v>0.51719716650833403</v>
      </c>
      <c r="AD58" s="174">
        <f>AD27/'Other Inputs'!$C$22</f>
        <v>0.51691825099894761</v>
      </c>
      <c r="AE58" s="174">
        <f>AE27/'Other Inputs'!$C$22</f>
        <v>0.51665882331056667</v>
      </c>
      <c r="AF58" s="174">
        <f>AF27/'Other Inputs'!$C$22</f>
        <v>0.51640226542288548</v>
      </c>
      <c r="AG58" s="174">
        <f>AG27/'Other Inputs'!$C$22</f>
        <v>0.51619883606290595</v>
      </c>
      <c r="AH58" s="174">
        <f>AH27/'Other Inputs'!$C$22</f>
        <v>0.51603011904612428</v>
      </c>
      <c r="AI58" s="56"/>
      <c r="AJ58" s="56"/>
    </row>
    <row r="59" spans="2:36">
      <c r="B59" s="128">
        <v>36800</v>
      </c>
      <c r="C59" s="176">
        <f>C28/'Other Inputs'!$C$22</f>
        <v>0.52484607300222152</v>
      </c>
      <c r="D59" s="180">
        <f>D28/'Other Inputs'!$C$22</f>
        <v>0.52351929691282062</v>
      </c>
      <c r="E59" s="180">
        <f>E28/'Other Inputs'!$C$22</f>
        <v>0.52371007922891699</v>
      </c>
      <c r="F59" s="180">
        <f>F28/'Other Inputs'!$C$22</f>
        <v>0.52330406205722302</v>
      </c>
      <c r="G59" s="180">
        <f>G28/'Other Inputs'!$C$22</f>
        <v>0.52276844676176071</v>
      </c>
      <c r="H59" s="180">
        <f>H28/'Other Inputs'!$C$22</f>
        <v>0.5223405799198424</v>
      </c>
      <c r="I59" s="180">
        <f>I28/'Other Inputs'!$C$22</f>
        <v>0.52199773480222045</v>
      </c>
      <c r="J59" s="180">
        <f>J28/'Other Inputs'!$C$22</f>
        <v>0.52160903311196771</v>
      </c>
      <c r="K59" s="180">
        <f>K28/'Other Inputs'!$C$22</f>
        <v>0.52119891709916932</v>
      </c>
      <c r="L59" s="180">
        <f>L28/'Other Inputs'!$C$22</f>
        <v>0.52089361299828363</v>
      </c>
      <c r="M59" s="180">
        <f>M28/'Other Inputs'!$C$22</f>
        <v>0.52043573177769109</v>
      </c>
      <c r="N59" s="180">
        <f>N28/'Other Inputs'!$C$22</f>
        <v>0.52015620228173276</v>
      </c>
      <c r="O59" s="180">
        <f>O28/'Other Inputs'!$C$22</f>
        <v>0.51955730094528652</v>
      </c>
      <c r="P59" s="180">
        <f>P28/'Other Inputs'!$C$22</f>
        <v>0.51892969231041586</v>
      </c>
      <c r="Q59" s="180">
        <f>Q28/'Other Inputs'!$C$22</f>
        <v>0.51850306250106992</v>
      </c>
      <c r="R59" s="174">
        <f>R28/'Other Inputs'!$C$22</f>
        <v>0.51814234310128104</v>
      </c>
      <c r="S59" s="174">
        <f>S28/'Other Inputs'!$C$22</f>
        <v>0.51781517968367496</v>
      </c>
      <c r="T59" s="174">
        <f>T28/'Other Inputs'!$C$22</f>
        <v>0.51738775508019341</v>
      </c>
      <c r="U59" s="174">
        <f>U28/'Other Inputs'!$C$22</f>
        <v>0.51696980242431734</v>
      </c>
      <c r="V59" s="174">
        <f>V28/'Other Inputs'!$C$22</f>
        <v>0.51656873849376517</v>
      </c>
      <c r="W59" s="174">
        <f>W28/'Other Inputs'!$C$22</f>
        <v>0.51618776749220641</v>
      </c>
      <c r="X59" s="174">
        <f>X28/'Other Inputs'!$C$22</f>
        <v>0.515815885630032</v>
      </c>
      <c r="Y59" s="174">
        <f>Y28/'Other Inputs'!$C$22</f>
        <v>0.51546604810310059</v>
      </c>
      <c r="Z59" s="174">
        <f>Z28/'Other Inputs'!$C$22</f>
        <v>0.51512402746333474</v>
      </c>
      <c r="AA59" s="174">
        <f>AA28/'Other Inputs'!$C$22</f>
        <v>0.51480487974470723</v>
      </c>
      <c r="AB59" s="174">
        <f>AB28/'Other Inputs'!$C$22</f>
        <v>0.51450073147149333</v>
      </c>
      <c r="AC59" s="174">
        <f>AC28/'Other Inputs'!$C$22</f>
        <v>0.51421474929171684</v>
      </c>
      <c r="AD59" s="174">
        <f>AD28/'Other Inputs'!$C$22</f>
        <v>0.51393803520836345</v>
      </c>
      <c r="AE59" s="174">
        <f>AE28/'Other Inputs'!$C$22</f>
        <v>0.51368204269294515</v>
      </c>
      <c r="AF59" s="174">
        <f>AF28/'Other Inputs'!$C$22</f>
        <v>0.51342661926513322</v>
      </c>
      <c r="AG59" s="174">
        <f>AG28/'Other Inputs'!$C$22</f>
        <v>0.51323033420727482</v>
      </c>
      <c r="AH59" s="174">
        <f>AH28/'Other Inputs'!$C$22</f>
        <v>0.51306442377340322</v>
      </c>
      <c r="AJ59" s="56"/>
    </row>
    <row r="60" spans="2:36">
      <c r="B60" s="128">
        <v>36831</v>
      </c>
      <c r="C60" s="176">
        <f>C29/'Other Inputs'!$C$22</f>
        <v>0.54947526100576516</v>
      </c>
      <c r="D60" s="180">
        <f>D29/'Other Inputs'!$C$22</f>
        <v>0.54954599818545435</v>
      </c>
      <c r="E60" s="180">
        <f>E29/'Other Inputs'!$C$22</f>
        <v>0.54961285198395315</v>
      </c>
      <c r="F60" s="180">
        <f>F29/'Other Inputs'!$C$22</f>
        <v>0.54915078982220078</v>
      </c>
      <c r="G60" s="180">
        <f>G29/'Other Inputs'!$C$22</f>
        <v>0.54858226811348632</v>
      </c>
      <c r="H60" s="180">
        <f>H29/'Other Inputs'!$C$22</f>
        <v>0.54814582410253143</v>
      </c>
      <c r="I60" s="180">
        <f>I29/'Other Inputs'!$C$22</f>
        <v>0.54779242302813058</v>
      </c>
      <c r="J60" s="180">
        <f>J29/'Other Inputs'!$C$22</f>
        <v>0.54737839850405101</v>
      </c>
      <c r="K60" s="180">
        <f>K29/'Other Inputs'!$C$22</f>
        <v>0.54694696508188401</v>
      </c>
      <c r="L60" s="180">
        <f>L29/'Other Inputs'!$C$22</f>
        <v>0.54663776280498344</v>
      </c>
      <c r="M60" s="180">
        <f>M29/'Other Inputs'!$C$22</f>
        <v>0.54613897626041275</v>
      </c>
      <c r="N60" s="180">
        <f>N29/'Other Inputs'!$C$22</f>
        <v>0.54586798645183765</v>
      </c>
      <c r="O60" s="180">
        <f>O29/'Other Inputs'!$C$22</f>
        <v>0.54520146625191568</v>
      </c>
      <c r="P60" s="180">
        <f>P29/'Other Inputs'!$C$22</f>
        <v>0.54454739477456604</v>
      </c>
      <c r="Q60" s="180">
        <f>Q29/'Other Inputs'!$C$22</f>
        <v>0.5441198343381225</v>
      </c>
      <c r="R60" s="174">
        <f>R29/'Other Inputs'!$C$22</f>
        <v>0.54374415198238313</v>
      </c>
      <c r="S60" s="174">
        <f>S29/'Other Inputs'!$C$22</f>
        <v>0.54340374873792685</v>
      </c>
      <c r="T60" s="174">
        <f>T29/'Other Inputs'!$C$22</f>
        <v>0.54294406797630679</v>
      </c>
      <c r="U60" s="174">
        <f>U29/'Other Inputs'!$C$22</f>
        <v>0.54250865518506763</v>
      </c>
      <c r="V60" s="174">
        <f>V29/'Other Inputs'!$C$22</f>
        <v>0.54208887949794771</v>
      </c>
      <c r="W60" s="174">
        <f>W29/'Other Inputs'!$C$22</f>
        <v>0.54169094444703636</v>
      </c>
      <c r="X60" s="174">
        <f>X29/'Other Inputs'!$C$22</f>
        <v>0.54130124262718671</v>
      </c>
      <c r="Y60" s="174">
        <f>Y29/'Other Inputs'!$C$22</f>
        <v>0.54093629641254604</v>
      </c>
      <c r="Z60" s="174">
        <f>Z29/'Other Inputs'!$C$22</f>
        <v>0.54057773651893981</v>
      </c>
      <c r="AA60" s="174">
        <f>AA29/'Other Inputs'!$C$22</f>
        <v>0.54024512462770391</v>
      </c>
      <c r="AB60" s="174">
        <f>AB29/'Other Inputs'!$C$22</f>
        <v>0.53992703920877994</v>
      </c>
      <c r="AC60" s="174">
        <f>AC29/'Other Inputs'!$C$22</f>
        <v>0.53962859390477969</v>
      </c>
      <c r="AD60" s="174">
        <f>AD29/'Other Inputs'!$C$22</f>
        <v>0.53933882631153751</v>
      </c>
      <c r="AE60" s="174">
        <f>AE29/'Other Inputs'!$C$22</f>
        <v>0.53907221718246512</v>
      </c>
      <c r="AF60" s="174">
        <f>AF29/'Other Inputs'!$C$22</f>
        <v>0.53880380799330319</v>
      </c>
      <c r="AG60" s="174">
        <f>AG29/'Other Inputs'!$C$22</f>
        <v>0.53860408892680101</v>
      </c>
      <c r="AH60" s="174">
        <f>AH29/'Other Inputs'!$C$22</f>
        <v>0.53843190324095225</v>
      </c>
      <c r="AJ60" s="56"/>
    </row>
    <row r="61" spans="2:36">
      <c r="B61" s="128">
        <v>36861</v>
      </c>
      <c r="C61" s="177">
        <f>C30/'Other Inputs'!$C$22</f>
        <v>0.55257198814528175</v>
      </c>
      <c r="D61" s="178">
        <f>D30/'Other Inputs'!$C$22</f>
        <v>0.55411827759722199</v>
      </c>
      <c r="E61" s="178">
        <f>E30/'Other Inputs'!$C$22</f>
        <v>0.55405122694137288</v>
      </c>
      <c r="F61" s="178">
        <f>F30/'Other Inputs'!$C$22</f>
        <v>0.55354917894024047</v>
      </c>
      <c r="G61" s="178">
        <f>G30/'Other Inputs'!$C$22</f>
        <v>0.55296959941912127</v>
      </c>
      <c r="H61" s="178">
        <f>H30/'Other Inputs'!$C$22</f>
        <v>0.55254231799430353</v>
      </c>
      <c r="I61" s="178">
        <f>I30/'Other Inputs'!$C$22</f>
        <v>0.55219251607759801</v>
      </c>
      <c r="J61" s="178">
        <f>J30/'Other Inputs'!$C$22</f>
        <v>0.55176900115681748</v>
      </c>
      <c r="K61" s="178">
        <f>K30/'Other Inputs'!$C$22</f>
        <v>0.55133304233471958</v>
      </c>
      <c r="L61" s="178">
        <f>L30/'Other Inputs'!$C$22</f>
        <v>0.55103263600576291</v>
      </c>
      <c r="M61" s="178">
        <f>M30/'Other Inputs'!$C$22</f>
        <v>0.55051141525962666</v>
      </c>
      <c r="N61" s="178">
        <f>N30/'Other Inputs'!$C$22</f>
        <v>0.55026078340371132</v>
      </c>
      <c r="O61" s="178">
        <f>O30/'Other Inputs'!$C$22</f>
        <v>0.54955057601110369</v>
      </c>
      <c r="P61" s="178">
        <f>P30/'Other Inputs'!$C$22</f>
        <v>0.54889583844356338</v>
      </c>
      <c r="Q61" s="178">
        <f>Q30/'Other Inputs'!$C$22</f>
        <v>0.54848515909978268</v>
      </c>
      <c r="R61" s="178">
        <f>R30/'Other Inputs'!$C$22</f>
        <v>0.54810934451456039</v>
      </c>
      <c r="S61" s="178">
        <f>S30/'Other Inputs'!$C$22</f>
        <v>0.54776915789480285</v>
      </c>
      <c r="T61" s="178">
        <f>T30/'Other Inputs'!$C$22</f>
        <v>0.54729455933246551</v>
      </c>
      <c r="U61" s="178">
        <f>U30/'Other Inputs'!$C$22</f>
        <v>0.54685886824714403</v>
      </c>
      <c r="V61" s="178">
        <f>V30/'Other Inputs'!$C$22</f>
        <v>0.54643683670738841</v>
      </c>
      <c r="W61" s="178">
        <f>W30/'Other Inputs'!$C$22</f>
        <v>0.54603758218861786</v>
      </c>
      <c r="X61" s="178">
        <f>X30/'Other Inputs'!$C$22</f>
        <v>0.54564531136088523</v>
      </c>
      <c r="Y61" s="178">
        <f>Y30/'Other Inputs'!$C$22</f>
        <v>0.54527963012819525</v>
      </c>
      <c r="Z61" s="178">
        <f>Z30/'Other Inputs'!$C$22</f>
        <v>0.54491855488696062</v>
      </c>
      <c r="AA61" s="178">
        <f>AA30/'Other Inputs'!$C$22</f>
        <v>0.54458559670993267</v>
      </c>
      <c r="AB61" s="178">
        <f>AB30/'Other Inputs'!$C$22</f>
        <v>0.54426605763022673</v>
      </c>
      <c r="AC61" s="178">
        <f>AC30/'Other Inputs'!$C$22</f>
        <v>0.5439668974516686</v>
      </c>
      <c r="AD61" s="178">
        <f>AD30/'Other Inputs'!$C$22</f>
        <v>0.5436754277825977</v>
      </c>
      <c r="AE61" s="178">
        <f>AE30/'Other Inputs'!$C$22</f>
        <v>0.54340872702879739</v>
      </c>
      <c r="AF61" s="178">
        <f>AF30/'Other Inputs'!$C$22</f>
        <v>0.54313779497575676</v>
      </c>
      <c r="AG61" s="178">
        <f>AG30/'Other Inputs'!$C$22</f>
        <v>0.54294278815914154</v>
      </c>
      <c r="AH61" s="178">
        <f>AH30/'Other Inputs'!$C$22</f>
        <v>0.54277115832670486</v>
      </c>
      <c r="AJ61" s="56"/>
    </row>
    <row r="62" spans="2:36">
      <c r="B62" s="133"/>
      <c r="C62" s="133"/>
      <c r="D62" s="133"/>
      <c r="E62" s="133"/>
      <c r="F62" s="133"/>
      <c r="AJ62" s="56"/>
    </row>
    <row r="63" spans="2:36">
      <c r="B63" s="133"/>
      <c r="C63" s="133"/>
      <c r="D63" s="133"/>
      <c r="E63" s="133"/>
      <c r="F63" s="133"/>
      <c r="AJ63" s="56"/>
    </row>
    <row r="64" spans="2:36">
      <c r="B64" s="133"/>
      <c r="C64" s="133"/>
      <c r="D64" s="133"/>
      <c r="E64" s="133"/>
      <c r="F64" s="133"/>
      <c r="AJ64" s="56"/>
    </row>
    <row r="65" spans="2:36">
      <c r="B65" s="133"/>
      <c r="C65" s="133"/>
      <c r="D65" s="133"/>
      <c r="E65" s="133"/>
      <c r="F65" s="133"/>
      <c r="AJ65" s="56"/>
    </row>
    <row r="66" spans="2:36">
      <c r="B66" s="133"/>
      <c r="C66" s="133"/>
      <c r="D66" s="133"/>
      <c r="E66" s="133"/>
      <c r="F66" s="133"/>
      <c r="AJ66" s="56"/>
    </row>
    <row r="67" spans="2:36">
      <c r="B67" s="133"/>
      <c r="C67" s="133"/>
      <c r="D67" s="133"/>
      <c r="E67" s="133"/>
      <c r="F67" s="133"/>
      <c r="AJ67" s="56"/>
    </row>
    <row r="68" spans="2:36">
      <c r="B68" s="133"/>
      <c r="C68" s="133"/>
      <c r="D68" s="133"/>
      <c r="E68" s="133"/>
      <c r="F68" s="133"/>
      <c r="AJ68" s="56"/>
    </row>
    <row r="69" spans="2:36">
      <c r="B69" s="133"/>
      <c r="C69" s="133"/>
      <c r="D69" s="133"/>
      <c r="E69" s="133"/>
      <c r="F69" s="133"/>
      <c r="AJ69" s="56"/>
    </row>
    <row r="70" spans="2:36">
      <c r="B70" s="133"/>
      <c r="C70" s="133"/>
      <c r="D70" s="133"/>
      <c r="E70" s="133"/>
      <c r="F70" s="133"/>
      <c r="AJ70" s="56"/>
    </row>
    <row r="71" spans="2:36">
      <c r="B71" s="133"/>
      <c r="C71" s="133"/>
      <c r="D71" s="133"/>
      <c r="E71" s="133"/>
      <c r="F71" s="133"/>
      <c r="AJ71" s="56"/>
    </row>
    <row r="72" spans="2:36">
      <c r="B72" s="133"/>
      <c r="C72" s="133"/>
      <c r="D72" s="133"/>
      <c r="E72" s="133"/>
      <c r="F72" s="133"/>
      <c r="AJ72" s="56"/>
    </row>
    <row r="73" spans="2:36">
      <c r="B73" s="133"/>
      <c r="C73" s="133"/>
      <c r="D73" s="133"/>
      <c r="E73" s="133"/>
      <c r="F73" s="133"/>
      <c r="AJ73" s="56"/>
    </row>
    <row r="74" spans="2:36">
      <c r="B74" s="133"/>
      <c r="C74" s="133"/>
      <c r="D74" s="133"/>
      <c r="E74" s="133"/>
      <c r="F74" s="133"/>
      <c r="AJ74" s="56"/>
    </row>
    <row r="75" spans="2:36">
      <c r="B75" s="133"/>
      <c r="C75" s="133"/>
      <c r="D75" s="133"/>
      <c r="E75" s="133"/>
      <c r="F75" s="133"/>
      <c r="AJ75" s="56"/>
    </row>
    <row r="76" spans="2:36">
      <c r="B76" s="133"/>
      <c r="C76" s="133"/>
      <c r="D76" s="133"/>
      <c r="E76" s="133"/>
      <c r="F76" s="133"/>
      <c r="AJ76" s="56"/>
    </row>
    <row r="77" spans="2:36">
      <c r="B77" s="133"/>
      <c r="C77" s="133"/>
      <c r="D77" s="133"/>
      <c r="E77" s="133"/>
      <c r="F77" s="133"/>
      <c r="AJ77" s="56"/>
    </row>
    <row r="78" spans="2:36">
      <c r="B78" s="133"/>
      <c r="C78" s="133"/>
      <c r="D78" s="133"/>
      <c r="E78" s="133"/>
      <c r="F78" s="133"/>
      <c r="AJ78" s="56"/>
    </row>
    <row r="79" spans="2:36">
      <c r="B79" s="133"/>
      <c r="C79" s="133"/>
      <c r="D79" s="133"/>
      <c r="E79" s="133"/>
      <c r="F79" s="133"/>
      <c r="AJ79" s="56"/>
    </row>
    <row r="80" spans="2:36">
      <c r="B80" s="133"/>
      <c r="C80" s="133"/>
      <c r="D80" s="133"/>
      <c r="E80" s="133"/>
      <c r="F80" s="133"/>
      <c r="AJ80" s="56"/>
    </row>
    <row r="81" spans="2:36">
      <c r="B81" s="133"/>
      <c r="C81" s="133"/>
      <c r="D81" s="133"/>
      <c r="E81" s="133"/>
      <c r="F81" s="133"/>
      <c r="AJ81" s="56"/>
    </row>
    <row r="82" spans="2:36">
      <c r="B82" s="133"/>
      <c r="C82" s="133"/>
      <c r="D82" s="133"/>
      <c r="E82" s="133"/>
      <c r="F82" s="133"/>
      <c r="AJ82" s="56"/>
    </row>
    <row r="83" spans="2:36">
      <c r="B83" s="133"/>
      <c r="C83" s="133"/>
      <c r="D83" s="133"/>
      <c r="E83" s="133"/>
      <c r="F83" s="133"/>
      <c r="AJ83" s="56"/>
    </row>
    <row r="84" spans="2:36">
      <c r="B84" s="133"/>
      <c r="C84" s="133"/>
      <c r="D84" s="133"/>
      <c r="E84" s="133"/>
      <c r="F84" s="133"/>
      <c r="AJ84" s="56"/>
    </row>
    <row r="85" spans="2:36">
      <c r="B85" s="133"/>
      <c r="C85" s="133"/>
      <c r="D85" s="133"/>
      <c r="E85" s="133"/>
      <c r="F85" s="133"/>
      <c r="AJ85" s="56"/>
    </row>
    <row r="86" spans="2:36">
      <c r="B86" s="133"/>
      <c r="C86" s="133"/>
      <c r="D86" s="133"/>
      <c r="E86" s="133"/>
      <c r="F86" s="133"/>
    </row>
    <row r="87" spans="2:36">
      <c r="B87" s="133"/>
      <c r="C87" s="133"/>
      <c r="D87" s="133"/>
      <c r="E87" s="133"/>
      <c r="F87" s="133"/>
    </row>
    <row r="88" spans="2:36">
      <c r="B88" s="133"/>
      <c r="C88" s="133"/>
      <c r="D88" s="133"/>
      <c r="E88" s="133"/>
      <c r="F88" s="133"/>
    </row>
    <row r="89" spans="2:36">
      <c r="B89" s="133"/>
      <c r="C89" s="133"/>
      <c r="D89" s="133"/>
      <c r="E89" s="133"/>
      <c r="F89" s="133"/>
    </row>
    <row r="90" spans="2:36">
      <c r="B90" s="133"/>
      <c r="C90" s="133"/>
      <c r="D90" s="133"/>
      <c r="E90" s="133"/>
      <c r="F90" s="133"/>
    </row>
    <row r="91" spans="2:36">
      <c r="B91" s="133"/>
      <c r="C91" s="133"/>
      <c r="D91" s="133"/>
      <c r="E91" s="133"/>
      <c r="F91" s="133"/>
    </row>
    <row r="92" spans="2:36">
      <c r="B92" s="133"/>
      <c r="C92" s="133"/>
      <c r="D92" s="133"/>
      <c r="E92" s="133"/>
      <c r="F92" s="133"/>
    </row>
    <row r="93" spans="2:36">
      <c r="B93" s="133"/>
      <c r="C93" s="133"/>
      <c r="D93" s="133"/>
      <c r="E93" s="133"/>
      <c r="F93" s="133"/>
    </row>
    <row r="94" spans="2:36">
      <c r="B94" s="133"/>
      <c r="C94" s="133"/>
      <c r="D94" s="133"/>
      <c r="E94" s="133"/>
      <c r="F94" s="133"/>
    </row>
    <row r="95" spans="2:36">
      <c r="B95" s="133"/>
      <c r="C95" s="133"/>
      <c r="D95" s="133"/>
      <c r="E95" s="133"/>
      <c r="F95" s="133"/>
    </row>
    <row r="96" spans="2:36">
      <c r="B96" s="133"/>
      <c r="C96" s="133"/>
      <c r="D96" s="133"/>
      <c r="E96" s="133"/>
      <c r="F96" s="133"/>
    </row>
    <row r="97" spans="2:6">
      <c r="B97" s="133"/>
      <c r="C97" s="133"/>
      <c r="D97" s="133"/>
      <c r="E97" s="133"/>
      <c r="F97" s="133"/>
    </row>
    <row r="98" spans="2:6">
      <c r="B98" s="133"/>
      <c r="C98" s="133"/>
      <c r="D98" s="133"/>
      <c r="E98" s="133"/>
      <c r="F98" s="133"/>
    </row>
    <row r="99" spans="2:6">
      <c r="B99" s="133"/>
      <c r="C99" s="133"/>
      <c r="D99" s="133"/>
      <c r="E99" s="133"/>
      <c r="F99" s="133"/>
    </row>
    <row r="100" spans="2:6">
      <c r="B100" s="133"/>
      <c r="C100" s="133"/>
      <c r="D100" s="133"/>
      <c r="E100" s="133"/>
      <c r="F100" s="133"/>
    </row>
    <row r="101" spans="2:6">
      <c r="B101" s="133"/>
      <c r="C101" s="133"/>
      <c r="D101" s="133"/>
      <c r="E101" s="133"/>
      <c r="F101" s="133"/>
    </row>
    <row r="102" spans="2:6">
      <c r="B102" s="133"/>
      <c r="C102" s="133"/>
      <c r="D102" s="133"/>
      <c r="E102" s="133"/>
      <c r="F102" s="133"/>
    </row>
    <row r="103" spans="2:6">
      <c r="B103" s="133"/>
      <c r="C103" s="133"/>
      <c r="D103" s="133"/>
      <c r="E103" s="133"/>
      <c r="F103" s="133"/>
    </row>
    <row r="104" spans="2:6">
      <c r="B104" s="133"/>
      <c r="C104" s="133"/>
      <c r="D104" s="133"/>
      <c r="E104" s="133"/>
      <c r="F104" s="133"/>
    </row>
    <row r="105" spans="2:6">
      <c r="B105" s="133"/>
      <c r="C105" s="133"/>
      <c r="D105" s="133"/>
      <c r="E105" s="133"/>
      <c r="F105" s="133"/>
    </row>
    <row r="106" spans="2:6">
      <c r="B106" s="133"/>
      <c r="C106" s="133"/>
      <c r="D106" s="133"/>
      <c r="E106" s="133"/>
      <c r="F106" s="133"/>
    </row>
    <row r="107" spans="2:6">
      <c r="B107" s="133"/>
      <c r="C107" s="133"/>
      <c r="D107" s="133"/>
      <c r="E107" s="133"/>
      <c r="F107" s="133"/>
    </row>
    <row r="108" spans="2:6">
      <c r="B108" s="133"/>
      <c r="C108" s="133"/>
      <c r="D108" s="133"/>
      <c r="E108" s="133"/>
      <c r="F108" s="133"/>
    </row>
    <row r="109" spans="2:6">
      <c r="B109" s="133"/>
      <c r="C109" s="133"/>
      <c r="D109" s="133"/>
      <c r="E109" s="133"/>
      <c r="F109" s="133"/>
    </row>
    <row r="110" spans="2:6">
      <c r="B110" s="133"/>
      <c r="C110" s="133"/>
      <c r="D110" s="133"/>
      <c r="E110" s="133"/>
      <c r="F110" s="133"/>
    </row>
    <row r="111" spans="2:6">
      <c r="B111" s="133"/>
      <c r="C111" s="133"/>
      <c r="D111" s="133"/>
      <c r="E111" s="133"/>
      <c r="F111" s="133"/>
    </row>
    <row r="112" spans="2:6">
      <c r="B112" s="133"/>
      <c r="C112" s="133"/>
      <c r="D112" s="133"/>
      <c r="E112" s="133"/>
      <c r="F112" s="133"/>
    </row>
    <row r="113" spans="2:6">
      <c r="B113" s="133"/>
      <c r="C113" s="133"/>
      <c r="D113" s="133"/>
      <c r="E113" s="133"/>
      <c r="F113" s="133"/>
    </row>
    <row r="114" spans="2:6">
      <c r="B114" s="133"/>
      <c r="C114" s="133"/>
      <c r="D114" s="133"/>
      <c r="E114" s="133"/>
      <c r="F114" s="133"/>
    </row>
    <row r="115" spans="2:6">
      <c r="B115" s="133"/>
      <c r="C115" s="133"/>
      <c r="D115" s="133"/>
      <c r="E115" s="133"/>
      <c r="F115" s="133"/>
    </row>
    <row r="116" spans="2:6">
      <c r="B116" s="133"/>
      <c r="C116" s="133"/>
      <c r="D116" s="133"/>
      <c r="E116" s="133"/>
      <c r="F116" s="133"/>
    </row>
    <row r="117" spans="2:6">
      <c r="B117" s="133"/>
      <c r="C117" s="133"/>
      <c r="D117" s="133"/>
      <c r="E117" s="133"/>
      <c r="F117" s="133"/>
    </row>
    <row r="118" spans="2:6">
      <c r="B118" s="133"/>
      <c r="C118" s="133"/>
      <c r="D118" s="133"/>
      <c r="E118" s="133"/>
      <c r="F118" s="133"/>
    </row>
    <row r="119" spans="2:6">
      <c r="B119" s="133"/>
      <c r="C119" s="133"/>
      <c r="D119" s="133"/>
      <c r="E119" s="133"/>
      <c r="F119" s="133"/>
    </row>
    <row r="120" spans="2:6">
      <c r="B120" s="133"/>
      <c r="C120" s="133"/>
      <c r="D120" s="133"/>
      <c r="E120" s="133"/>
      <c r="F120" s="133"/>
    </row>
    <row r="121" spans="2:6">
      <c r="B121" s="133"/>
      <c r="C121" s="133"/>
      <c r="D121" s="133"/>
      <c r="E121" s="133"/>
      <c r="F121" s="133"/>
    </row>
    <row r="122" spans="2:6">
      <c r="B122" s="133"/>
      <c r="C122" s="133"/>
      <c r="D122" s="133"/>
      <c r="E122" s="133"/>
      <c r="F122" s="133"/>
    </row>
    <row r="123" spans="2:6">
      <c r="B123" s="133"/>
      <c r="C123" s="133"/>
      <c r="D123" s="133"/>
      <c r="E123" s="133"/>
      <c r="F123" s="133"/>
    </row>
    <row r="124" spans="2:6">
      <c r="B124" s="133"/>
      <c r="C124" s="133"/>
      <c r="D124" s="133"/>
      <c r="E124" s="133"/>
      <c r="F124" s="133"/>
    </row>
    <row r="125" spans="2:6">
      <c r="B125" s="133"/>
      <c r="C125" s="133"/>
      <c r="D125" s="133"/>
      <c r="E125" s="133"/>
      <c r="F125" s="133"/>
    </row>
    <row r="126" spans="2:6">
      <c r="B126" s="133"/>
      <c r="C126" s="133"/>
      <c r="D126" s="133"/>
      <c r="E126" s="133"/>
      <c r="F126" s="133"/>
    </row>
    <row r="127" spans="2:6">
      <c r="B127" s="133"/>
      <c r="C127" s="133"/>
      <c r="D127" s="133"/>
      <c r="E127" s="133"/>
      <c r="F127" s="133"/>
    </row>
    <row r="128" spans="2:6">
      <c r="B128" s="133"/>
      <c r="C128" s="133"/>
      <c r="D128" s="133"/>
      <c r="E128" s="133"/>
      <c r="F128" s="133"/>
    </row>
    <row r="129" spans="2:6">
      <c r="B129" s="133"/>
      <c r="C129" s="133"/>
      <c r="D129" s="133"/>
      <c r="E129" s="133"/>
      <c r="F129" s="133"/>
    </row>
    <row r="130" spans="2:6">
      <c r="B130" s="133"/>
      <c r="C130" s="133"/>
      <c r="D130" s="133"/>
      <c r="E130" s="133"/>
      <c r="F130" s="133"/>
    </row>
    <row r="131" spans="2:6">
      <c r="B131" s="133"/>
      <c r="C131" s="133"/>
      <c r="D131" s="133"/>
      <c r="E131" s="133"/>
      <c r="F131" s="133"/>
    </row>
    <row r="132" spans="2:6">
      <c r="B132" s="133"/>
      <c r="C132" s="133"/>
      <c r="D132" s="133"/>
      <c r="E132" s="133"/>
      <c r="F132" s="133"/>
    </row>
    <row r="133" spans="2:6">
      <c r="B133" s="133"/>
      <c r="C133" s="133"/>
      <c r="D133" s="133"/>
      <c r="E133" s="133"/>
      <c r="F133" s="133"/>
    </row>
    <row r="134" spans="2:6">
      <c r="B134" s="133"/>
      <c r="C134" s="133"/>
      <c r="D134" s="133"/>
      <c r="E134" s="133"/>
      <c r="F134" s="133"/>
    </row>
    <row r="135" spans="2:6">
      <c r="B135" s="133"/>
      <c r="C135" s="133"/>
      <c r="D135" s="133"/>
      <c r="E135" s="133"/>
      <c r="F135" s="133"/>
    </row>
    <row r="136" spans="2:6">
      <c r="B136" s="133"/>
      <c r="C136" s="133"/>
      <c r="D136" s="133"/>
      <c r="E136" s="133"/>
      <c r="F136" s="133"/>
    </row>
    <row r="137" spans="2:6">
      <c r="B137" s="133"/>
      <c r="C137" s="133"/>
      <c r="D137" s="133"/>
      <c r="E137" s="133"/>
      <c r="F137" s="133"/>
    </row>
    <row r="138" spans="2:6">
      <c r="B138" s="133"/>
      <c r="C138" s="133"/>
      <c r="D138" s="133"/>
      <c r="E138" s="133"/>
      <c r="F138" s="133"/>
    </row>
    <row r="139" spans="2:6">
      <c r="B139" s="133"/>
      <c r="C139" s="133"/>
      <c r="D139" s="133"/>
      <c r="E139" s="133"/>
      <c r="F139" s="133"/>
    </row>
    <row r="140" spans="2:6">
      <c r="B140" s="133"/>
      <c r="C140" s="133"/>
      <c r="D140" s="133"/>
      <c r="E140" s="133"/>
      <c r="F140" s="133"/>
    </row>
    <row r="141" spans="2:6">
      <c r="B141" s="133"/>
      <c r="C141" s="133"/>
      <c r="D141" s="133"/>
      <c r="E141" s="133"/>
      <c r="F141" s="133"/>
    </row>
    <row r="142" spans="2:6">
      <c r="B142" s="133"/>
      <c r="C142" s="133"/>
      <c r="D142" s="133"/>
      <c r="E142" s="133"/>
      <c r="F142" s="133"/>
    </row>
    <row r="143" spans="2:6">
      <c r="B143" s="133"/>
      <c r="C143" s="133"/>
      <c r="D143" s="133"/>
      <c r="E143" s="133"/>
      <c r="F143" s="133"/>
    </row>
    <row r="144" spans="2:6">
      <c r="B144" s="133"/>
      <c r="C144" s="133"/>
      <c r="D144" s="133"/>
      <c r="E144" s="133"/>
      <c r="F144" s="133"/>
    </row>
    <row r="145" spans="2:6">
      <c r="B145" s="133"/>
      <c r="C145" s="133"/>
      <c r="D145" s="133"/>
      <c r="E145" s="133"/>
      <c r="F145" s="133"/>
    </row>
    <row r="146" spans="2:6">
      <c r="B146" s="133"/>
      <c r="C146" s="133"/>
      <c r="D146" s="133"/>
      <c r="E146" s="133"/>
      <c r="F146" s="133"/>
    </row>
    <row r="147" spans="2:6">
      <c r="B147" s="133"/>
      <c r="C147" s="133"/>
      <c r="D147" s="133"/>
      <c r="E147" s="133"/>
      <c r="F147" s="133"/>
    </row>
    <row r="148" spans="2:6">
      <c r="B148" s="133"/>
      <c r="C148" s="133"/>
      <c r="D148" s="133"/>
      <c r="E148" s="133"/>
      <c r="F148" s="133"/>
    </row>
    <row r="149" spans="2:6">
      <c r="B149" s="133"/>
      <c r="C149" s="133"/>
      <c r="D149" s="133"/>
      <c r="E149" s="133"/>
      <c r="F149" s="133"/>
    </row>
    <row r="150" spans="2:6">
      <c r="B150" s="133"/>
      <c r="C150" s="133"/>
      <c r="D150" s="133"/>
      <c r="E150" s="133"/>
      <c r="F150" s="133"/>
    </row>
    <row r="151" spans="2:6">
      <c r="B151" s="133"/>
      <c r="C151" s="133"/>
      <c r="D151" s="133"/>
      <c r="E151" s="133"/>
      <c r="F151" s="133"/>
    </row>
    <row r="152" spans="2:6">
      <c r="B152" s="133"/>
      <c r="C152" s="133"/>
      <c r="D152" s="133"/>
      <c r="E152" s="133"/>
      <c r="F152" s="133"/>
    </row>
    <row r="153" spans="2:6">
      <c r="B153" s="133"/>
      <c r="C153" s="133"/>
      <c r="D153" s="133"/>
      <c r="E153" s="133"/>
      <c r="F153" s="133"/>
    </row>
    <row r="154" spans="2:6">
      <c r="B154" s="133"/>
      <c r="C154" s="133"/>
      <c r="D154" s="133"/>
      <c r="E154" s="133"/>
      <c r="F154" s="133"/>
    </row>
    <row r="155" spans="2:6">
      <c r="B155" s="133"/>
      <c r="C155" s="133"/>
      <c r="D155" s="133"/>
      <c r="E155" s="133"/>
      <c r="F155" s="133"/>
    </row>
    <row r="156" spans="2:6">
      <c r="B156" s="133"/>
      <c r="C156" s="133"/>
      <c r="D156" s="133"/>
      <c r="E156" s="133"/>
      <c r="F156" s="133"/>
    </row>
    <row r="157" spans="2:6">
      <c r="B157" s="133"/>
      <c r="C157" s="133"/>
      <c r="D157" s="133"/>
      <c r="E157" s="133"/>
      <c r="F157" s="133"/>
    </row>
    <row r="158" spans="2:6">
      <c r="B158" s="133"/>
      <c r="C158" s="133"/>
      <c r="D158" s="133"/>
      <c r="E158" s="133"/>
      <c r="F158" s="133"/>
    </row>
    <row r="159" spans="2:6">
      <c r="B159" s="133"/>
      <c r="C159" s="133"/>
      <c r="D159" s="133"/>
      <c r="E159" s="133"/>
      <c r="F159" s="133"/>
    </row>
    <row r="160" spans="2:6">
      <c r="B160" s="133"/>
      <c r="C160" s="133"/>
      <c r="D160" s="133"/>
      <c r="E160" s="133"/>
      <c r="F160" s="133"/>
    </row>
    <row r="161" spans="2:6">
      <c r="B161" s="133"/>
      <c r="C161" s="133"/>
      <c r="D161" s="133"/>
      <c r="E161" s="133"/>
      <c r="F161" s="133"/>
    </row>
    <row r="162" spans="2:6">
      <c r="B162" s="133"/>
      <c r="C162" s="133"/>
      <c r="D162" s="133"/>
      <c r="E162" s="133"/>
      <c r="F162" s="133"/>
    </row>
    <row r="163" spans="2:6">
      <c r="B163" s="133"/>
      <c r="C163" s="133"/>
      <c r="D163" s="133"/>
      <c r="E163" s="133"/>
      <c r="F163" s="133"/>
    </row>
    <row r="164" spans="2:6">
      <c r="B164" s="133"/>
      <c r="C164" s="133"/>
      <c r="D164" s="133"/>
      <c r="E164" s="133"/>
      <c r="F164" s="133"/>
    </row>
    <row r="165" spans="2:6">
      <c r="B165" s="133"/>
      <c r="C165" s="133"/>
      <c r="D165" s="133"/>
      <c r="E165" s="133"/>
      <c r="F165" s="133"/>
    </row>
    <row r="166" spans="2:6">
      <c r="B166" s="133"/>
      <c r="C166" s="133"/>
      <c r="D166" s="133"/>
      <c r="E166" s="133"/>
      <c r="F166" s="133"/>
    </row>
    <row r="167" spans="2:6">
      <c r="B167" s="133"/>
      <c r="C167" s="133"/>
      <c r="D167" s="133"/>
      <c r="E167" s="133"/>
      <c r="F167" s="133"/>
    </row>
    <row r="168" spans="2:6">
      <c r="B168" s="133"/>
      <c r="C168" s="133"/>
      <c r="D168" s="133"/>
      <c r="E168" s="133"/>
      <c r="F168" s="133"/>
    </row>
    <row r="169" spans="2:6">
      <c r="B169" s="133"/>
      <c r="C169" s="133"/>
      <c r="D169" s="133"/>
      <c r="E169" s="133"/>
      <c r="F169" s="133"/>
    </row>
    <row r="170" spans="2:6">
      <c r="B170" s="133"/>
      <c r="C170" s="133"/>
      <c r="D170" s="133"/>
      <c r="E170" s="133"/>
      <c r="F170" s="133"/>
    </row>
    <row r="171" spans="2:6">
      <c r="B171" s="133"/>
      <c r="C171" s="133"/>
      <c r="D171" s="133"/>
      <c r="E171" s="133"/>
      <c r="F171" s="133"/>
    </row>
    <row r="172" spans="2:6">
      <c r="B172" s="133"/>
      <c r="C172" s="133"/>
      <c r="D172" s="133"/>
      <c r="E172" s="133"/>
      <c r="F172" s="133"/>
    </row>
    <row r="173" spans="2:6">
      <c r="B173" s="133"/>
      <c r="C173" s="133"/>
      <c r="D173" s="133"/>
      <c r="E173" s="133"/>
      <c r="F173" s="133"/>
    </row>
    <row r="174" spans="2:6">
      <c r="B174" s="133"/>
      <c r="C174" s="133"/>
      <c r="D174" s="133"/>
      <c r="E174" s="133"/>
      <c r="F174" s="133"/>
    </row>
    <row r="175" spans="2:6">
      <c r="B175" s="133"/>
      <c r="C175" s="133"/>
      <c r="D175" s="133"/>
      <c r="E175" s="133"/>
      <c r="F175" s="133"/>
    </row>
    <row r="176" spans="2:6">
      <c r="B176" s="133"/>
      <c r="C176" s="133"/>
      <c r="D176" s="133"/>
      <c r="E176" s="133"/>
      <c r="F176" s="133"/>
    </row>
    <row r="177" spans="2:6">
      <c r="B177" s="133"/>
      <c r="C177" s="133"/>
      <c r="D177" s="133"/>
      <c r="E177" s="133"/>
      <c r="F177" s="133"/>
    </row>
    <row r="178" spans="2:6">
      <c r="B178" s="133"/>
      <c r="C178" s="133"/>
      <c r="D178" s="133"/>
      <c r="E178" s="133"/>
      <c r="F178" s="133"/>
    </row>
    <row r="179" spans="2:6">
      <c r="B179" s="133"/>
      <c r="C179" s="133"/>
      <c r="D179" s="133"/>
      <c r="E179" s="133"/>
      <c r="F179" s="133"/>
    </row>
    <row r="180" spans="2:6">
      <c r="B180" s="133"/>
      <c r="C180" s="133"/>
      <c r="D180" s="133"/>
      <c r="E180" s="133"/>
      <c r="F180" s="133"/>
    </row>
    <row r="181" spans="2:6">
      <c r="B181" s="133"/>
      <c r="C181" s="133"/>
      <c r="D181" s="133"/>
      <c r="E181" s="133"/>
      <c r="F181" s="133"/>
    </row>
    <row r="182" spans="2:6">
      <c r="B182" s="133"/>
      <c r="C182" s="133"/>
      <c r="D182" s="133"/>
      <c r="E182" s="133"/>
      <c r="F182" s="133"/>
    </row>
    <row r="183" spans="2:6">
      <c r="B183" s="133"/>
      <c r="C183" s="133"/>
      <c r="D183" s="133"/>
      <c r="E183" s="133"/>
      <c r="F183" s="133"/>
    </row>
    <row r="184" spans="2:6">
      <c r="B184" s="133"/>
      <c r="C184" s="133"/>
      <c r="D184" s="133"/>
      <c r="E184" s="133"/>
      <c r="F184" s="133"/>
    </row>
    <row r="185" spans="2:6">
      <c r="B185" s="133"/>
      <c r="C185" s="133"/>
      <c r="D185" s="133"/>
      <c r="E185" s="133"/>
      <c r="F185" s="133"/>
    </row>
    <row r="186" spans="2:6">
      <c r="B186" s="133"/>
      <c r="C186" s="133"/>
      <c r="D186" s="133"/>
      <c r="E186" s="133"/>
      <c r="F186" s="133"/>
    </row>
    <row r="187" spans="2:6">
      <c r="B187" s="133"/>
      <c r="C187" s="133"/>
      <c r="D187" s="133"/>
      <c r="E187" s="133"/>
      <c r="F187" s="133"/>
    </row>
    <row r="188" spans="2:6">
      <c r="B188" s="133"/>
      <c r="C188" s="133"/>
      <c r="D188" s="133"/>
      <c r="E188" s="133"/>
      <c r="F188" s="133"/>
    </row>
    <row r="189" spans="2:6">
      <c r="B189" s="133"/>
      <c r="C189" s="133"/>
      <c r="D189" s="133"/>
      <c r="E189" s="133"/>
      <c r="F189" s="133"/>
    </row>
    <row r="190" spans="2:6">
      <c r="B190" s="133"/>
      <c r="C190" s="133"/>
      <c r="D190" s="133"/>
      <c r="E190" s="133"/>
      <c r="F190" s="133"/>
    </row>
    <row r="191" spans="2:6">
      <c r="B191" s="133"/>
      <c r="C191" s="133"/>
      <c r="D191" s="133"/>
      <c r="E191" s="133"/>
      <c r="F191" s="133"/>
    </row>
    <row r="192" spans="2:6">
      <c r="B192" s="133"/>
      <c r="C192" s="133"/>
      <c r="D192" s="133"/>
      <c r="E192" s="133"/>
      <c r="F192" s="133"/>
    </row>
    <row r="193" spans="2:6">
      <c r="B193" s="133"/>
      <c r="C193" s="133"/>
      <c r="D193" s="133"/>
      <c r="E193" s="133"/>
      <c r="F193" s="133"/>
    </row>
    <row r="194" spans="2:6">
      <c r="B194" s="133"/>
      <c r="C194" s="133"/>
      <c r="D194" s="133"/>
      <c r="E194" s="133"/>
      <c r="F194" s="133"/>
    </row>
    <row r="195" spans="2:6">
      <c r="B195" s="133"/>
      <c r="C195" s="133"/>
      <c r="D195" s="133"/>
      <c r="E195" s="133"/>
      <c r="F195" s="133"/>
    </row>
    <row r="196" spans="2:6">
      <c r="B196" s="133"/>
      <c r="C196" s="133"/>
      <c r="D196" s="133"/>
      <c r="E196" s="133"/>
      <c r="F196" s="133"/>
    </row>
    <row r="197" spans="2:6">
      <c r="B197" s="133"/>
      <c r="C197" s="133"/>
      <c r="D197" s="133"/>
      <c r="E197" s="133"/>
      <c r="F197" s="133"/>
    </row>
    <row r="198" spans="2:6">
      <c r="B198" s="133"/>
      <c r="C198" s="133"/>
      <c r="D198" s="133"/>
      <c r="E198" s="133"/>
      <c r="F198" s="133"/>
    </row>
    <row r="199" spans="2:6">
      <c r="B199" s="133"/>
      <c r="C199" s="133"/>
      <c r="D199" s="133"/>
      <c r="E199" s="133"/>
      <c r="F199" s="133"/>
    </row>
    <row r="200" spans="2:6">
      <c r="B200" s="133"/>
      <c r="C200" s="133"/>
      <c r="D200" s="133"/>
      <c r="E200" s="133"/>
      <c r="F200" s="133"/>
    </row>
    <row r="201" spans="2:6">
      <c r="B201" s="133"/>
      <c r="C201" s="133"/>
      <c r="D201" s="133"/>
      <c r="E201" s="133"/>
      <c r="F201" s="133"/>
    </row>
    <row r="202" spans="2:6">
      <c r="B202" s="133"/>
      <c r="C202" s="133"/>
      <c r="D202" s="133"/>
      <c r="E202" s="133"/>
      <c r="F202" s="133"/>
    </row>
    <row r="203" spans="2:6">
      <c r="B203" s="133"/>
      <c r="C203" s="133"/>
      <c r="D203" s="133"/>
      <c r="E203" s="133"/>
      <c r="F203" s="133"/>
    </row>
    <row r="204" spans="2:6">
      <c r="B204" s="133"/>
      <c r="C204" s="133"/>
      <c r="D204" s="133"/>
      <c r="E204" s="133"/>
      <c r="F204" s="133"/>
    </row>
    <row r="205" spans="2:6">
      <c r="B205" s="133"/>
      <c r="C205" s="133"/>
      <c r="D205" s="133"/>
      <c r="E205" s="133"/>
      <c r="F205" s="133"/>
    </row>
    <row r="206" spans="2:6">
      <c r="B206" s="133"/>
      <c r="C206" s="133"/>
      <c r="D206" s="133"/>
      <c r="E206" s="133"/>
      <c r="F206" s="133"/>
    </row>
    <row r="207" spans="2:6">
      <c r="B207" s="133"/>
      <c r="C207" s="133"/>
      <c r="D207" s="133"/>
      <c r="E207" s="133"/>
      <c r="F207" s="133"/>
    </row>
    <row r="208" spans="2:6">
      <c r="B208" s="133"/>
      <c r="C208" s="133"/>
      <c r="D208" s="133"/>
      <c r="E208" s="133"/>
      <c r="F208" s="133"/>
    </row>
    <row r="209" spans="2:6">
      <c r="B209" s="133"/>
      <c r="C209" s="133"/>
      <c r="D209" s="133"/>
      <c r="E209" s="133"/>
      <c r="F209" s="133"/>
    </row>
    <row r="210" spans="2:6">
      <c r="B210" s="133"/>
      <c r="C210" s="133"/>
      <c r="D210" s="133"/>
      <c r="E210" s="133"/>
      <c r="F210" s="133"/>
    </row>
    <row r="211" spans="2:6">
      <c r="B211" s="133"/>
      <c r="C211" s="133"/>
      <c r="D211" s="133"/>
      <c r="E211" s="133"/>
      <c r="F211" s="133"/>
    </row>
    <row r="212" spans="2:6">
      <c r="B212" s="133"/>
      <c r="C212" s="133"/>
      <c r="D212" s="133"/>
      <c r="E212" s="133"/>
      <c r="F212" s="133"/>
    </row>
    <row r="213" spans="2:6">
      <c r="B213" s="133"/>
      <c r="C213" s="133"/>
      <c r="D213" s="133"/>
      <c r="E213" s="133"/>
      <c r="F213" s="133"/>
    </row>
    <row r="214" spans="2:6">
      <c r="B214" s="133"/>
      <c r="C214" s="133"/>
      <c r="D214" s="133"/>
      <c r="E214" s="133"/>
      <c r="F214" s="133"/>
    </row>
    <row r="215" spans="2:6">
      <c r="B215" s="133"/>
      <c r="C215" s="133"/>
      <c r="D215" s="133"/>
      <c r="E215" s="133"/>
      <c r="F215" s="133"/>
    </row>
    <row r="216" spans="2:6">
      <c r="B216" s="133"/>
      <c r="C216" s="133"/>
      <c r="D216" s="133"/>
      <c r="E216" s="133"/>
      <c r="F216" s="133"/>
    </row>
    <row r="217" spans="2:6">
      <c r="B217" s="133"/>
      <c r="C217" s="133"/>
      <c r="D217" s="133"/>
      <c r="E217" s="133"/>
      <c r="F217" s="133"/>
    </row>
    <row r="218" spans="2:6">
      <c r="B218" s="133"/>
      <c r="C218" s="133"/>
      <c r="D218" s="133"/>
      <c r="E218" s="133"/>
      <c r="F218" s="133"/>
    </row>
    <row r="219" spans="2:6">
      <c r="B219" s="133"/>
      <c r="C219" s="133"/>
      <c r="D219" s="133"/>
      <c r="E219" s="133"/>
      <c r="F219" s="133"/>
    </row>
    <row r="220" spans="2:6">
      <c r="B220" s="133"/>
      <c r="C220" s="133"/>
      <c r="D220" s="133"/>
      <c r="E220" s="133"/>
      <c r="F220" s="133"/>
    </row>
    <row r="221" spans="2:6">
      <c r="B221" s="133"/>
      <c r="C221" s="133"/>
      <c r="D221" s="133"/>
      <c r="E221" s="133"/>
      <c r="F221" s="133"/>
    </row>
    <row r="222" spans="2:6">
      <c r="B222" s="133"/>
      <c r="C222" s="133"/>
      <c r="D222" s="133"/>
      <c r="E222" s="133"/>
      <c r="F222" s="133"/>
    </row>
    <row r="223" spans="2:6">
      <c r="B223" s="133"/>
      <c r="C223" s="133"/>
      <c r="D223" s="133"/>
      <c r="E223" s="133"/>
      <c r="F223" s="133"/>
    </row>
    <row r="224" spans="2:6">
      <c r="B224" s="133"/>
      <c r="C224" s="133"/>
      <c r="D224" s="133"/>
      <c r="E224" s="133"/>
      <c r="F224" s="133"/>
    </row>
    <row r="225" spans="2:6">
      <c r="B225" s="133"/>
      <c r="C225" s="133"/>
      <c r="D225" s="133"/>
      <c r="E225" s="133"/>
      <c r="F225" s="133"/>
    </row>
    <row r="226" spans="2:6">
      <c r="B226" s="133"/>
      <c r="C226" s="133"/>
      <c r="D226" s="133"/>
      <c r="E226" s="133"/>
      <c r="F226" s="133"/>
    </row>
    <row r="227" spans="2:6">
      <c r="B227" s="133"/>
      <c r="C227" s="133"/>
      <c r="D227" s="133"/>
      <c r="E227" s="133"/>
      <c r="F227" s="133"/>
    </row>
    <row r="228" spans="2:6">
      <c r="B228" s="133"/>
      <c r="C228" s="133"/>
      <c r="D228" s="133"/>
      <c r="E228" s="133"/>
      <c r="F228" s="133"/>
    </row>
    <row r="229" spans="2:6">
      <c r="B229" s="133"/>
      <c r="C229" s="133"/>
      <c r="D229" s="133"/>
      <c r="E229" s="133"/>
      <c r="F229" s="133"/>
    </row>
    <row r="230" spans="2:6">
      <c r="B230" s="133"/>
      <c r="C230" s="133"/>
      <c r="D230" s="133"/>
      <c r="E230" s="133"/>
      <c r="F230" s="133"/>
    </row>
    <row r="231" spans="2:6">
      <c r="B231" s="133"/>
      <c r="C231" s="133"/>
      <c r="D231" s="133"/>
      <c r="E231" s="133"/>
      <c r="F231" s="133"/>
    </row>
  </sheetData>
  <phoneticPr fontId="6" type="noConversion"/>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sheetPr>
  <dimension ref="A2:AM37"/>
  <sheetViews>
    <sheetView topLeftCell="A43" workbookViewId="0">
      <selection activeCell="AL27" sqref="AL27"/>
    </sheetView>
  </sheetViews>
  <sheetFormatPr baseColWidth="10" defaultColWidth="9" defaultRowHeight="15"/>
  <cols>
    <col min="1" max="1" width="7.796875" style="56" customWidth="1"/>
    <col min="2" max="2" width="43" style="56" customWidth="1"/>
    <col min="3" max="3" width="20.796875" style="56" bestFit="1" customWidth="1"/>
    <col min="4" max="4" width="12.19921875" style="56" customWidth="1"/>
    <col min="5" max="5" width="11.796875" style="56" customWidth="1"/>
    <col min="6" max="6" width="12" style="56" customWidth="1"/>
    <col min="7" max="7" width="14.796875" style="56" customWidth="1"/>
    <col min="8" max="8" width="9.796875" style="56" customWidth="1"/>
    <col min="9" max="9" width="12.796875" style="56" customWidth="1"/>
    <col min="10" max="10" width="13.59765625" style="56" customWidth="1"/>
    <col min="11" max="11" width="11.3984375" style="56" customWidth="1"/>
    <col min="12" max="14" width="11.59765625" style="56" customWidth="1"/>
    <col min="15" max="15" width="12.796875" style="56" customWidth="1"/>
    <col min="16" max="17" width="12.3984375" style="56" customWidth="1"/>
    <col min="18" max="18" width="10.19921875" style="56" customWidth="1"/>
    <col min="19" max="19" width="11.59765625" style="56" customWidth="1"/>
    <col min="20" max="20" width="12" style="56" customWidth="1"/>
    <col min="21" max="21" width="11.19921875" style="56" customWidth="1"/>
    <col min="22" max="22" width="9.796875" style="56" customWidth="1"/>
    <col min="23" max="33" width="9" style="56"/>
    <col min="34" max="34" width="10.59765625" style="56" bestFit="1" customWidth="1"/>
    <col min="35" max="35" width="9.19921875" style="56" bestFit="1" customWidth="1"/>
    <col min="36" max="36" width="9.796875" style="56" bestFit="1" customWidth="1"/>
    <col min="37" max="37" width="9.19921875" style="56" bestFit="1" customWidth="1"/>
    <col min="38" max="38" width="9.796875" style="56" bestFit="1" customWidth="1"/>
    <col min="39" max="16384" width="9" style="56"/>
  </cols>
  <sheetData>
    <row r="2" spans="1:39" ht="16">
      <c r="A2" s="326"/>
      <c r="B2" s="327" t="s">
        <v>95</v>
      </c>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row>
    <row r="4" spans="1:39">
      <c r="B4" s="74" t="s">
        <v>96</v>
      </c>
      <c r="D4" s="2"/>
      <c r="E4" s="2"/>
      <c r="F4" s="31"/>
      <c r="G4" s="2"/>
    </row>
    <row r="5" spans="1:39" s="75" customFormat="1" ht="48">
      <c r="B5" s="25" t="s">
        <v>97</v>
      </c>
      <c r="C5" s="25" t="s">
        <v>98</v>
      </c>
      <c r="D5" s="25" t="s">
        <v>99</v>
      </c>
      <c r="E5" s="25" t="s">
        <v>100</v>
      </c>
      <c r="F5" s="25" t="s">
        <v>101</v>
      </c>
      <c r="G5" s="25" t="s">
        <v>102</v>
      </c>
      <c r="H5" s="108" t="s">
        <v>103</v>
      </c>
      <c r="M5" s="56"/>
      <c r="N5" s="56"/>
      <c r="O5" s="56"/>
      <c r="P5" s="56"/>
      <c r="Q5" s="56"/>
      <c r="R5" s="56"/>
      <c r="S5" s="56"/>
      <c r="T5" s="56"/>
      <c r="U5" s="56"/>
    </row>
    <row r="6" spans="1:39">
      <c r="B6" s="60" t="s">
        <v>104</v>
      </c>
      <c r="C6" s="60" t="s">
        <v>105</v>
      </c>
      <c r="D6" s="184">
        <v>0.186</v>
      </c>
      <c r="E6" s="185">
        <v>117</v>
      </c>
      <c r="F6" s="157">
        <f>D6/10</f>
        <v>1.8599999999999998E-2</v>
      </c>
      <c r="G6" s="158">
        <f>E6/(10*2204.62)</f>
        <v>5.3070370403969849E-3</v>
      </c>
      <c r="H6" s="109" t="str">
        <f>_xlfn.CONCAT(B6,"-",C6)</f>
        <v>Large Boiler (&gt;100MMBtu/Hr)-Uncontrolled</v>
      </c>
    </row>
    <row r="7" spans="1:39">
      <c r="B7" s="60" t="s">
        <v>104</v>
      </c>
      <c r="C7" s="60" t="s">
        <v>106</v>
      </c>
      <c r="D7" s="184">
        <v>0.13700000000000001</v>
      </c>
      <c r="E7" s="185">
        <v>117</v>
      </c>
      <c r="F7" s="157">
        <f t="shared" ref="F7:F12" si="0">D7/10</f>
        <v>1.37E-2</v>
      </c>
      <c r="G7" s="158">
        <f t="shared" ref="G7:G12" si="1">E7/(10*2204.62)</f>
        <v>5.3070370403969849E-3</v>
      </c>
      <c r="H7" s="109" t="str">
        <f t="shared" ref="H7:H12" si="2">_xlfn.CONCAT(B7,"-",C7)</f>
        <v>Large Boiler (&gt;100MMBtu/Hr)-Low Nox Burner</v>
      </c>
    </row>
    <row r="8" spans="1:39">
      <c r="B8" s="60" t="s">
        <v>104</v>
      </c>
      <c r="C8" s="60" t="s">
        <v>24</v>
      </c>
      <c r="D8" s="184">
        <v>9.8000000000000004E-2</v>
      </c>
      <c r="E8" s="185">
        <v>117</v>
      </c>
      <c r="F8" s="157">
        <f t="shared" si="0"/>
        <v>9.7999999999999997E-3</v>
      </c>
      <c r="G8" s="158">
        <f t="shared" si="1"/>
        <v>5.3070370403969849E-3</v>
      </c>
      <c r="H8" s="109" t="str">
        <f t="shared" si="2"/>
        <v>Large Boiler (&gt;100MMBtu/Hr)-Flue Gas Recirculation</v>
      </c>
    </row>
    <row r="9" spans="1:39">
      <c r="B9" s="60" t="s">
        <v>22</v>
      </c>
      <c r="C9" s="60" t="s">
        <v>105</v>
      </c>
      <c r="D9" s="184">
        <v>9.8000000000000004E-2</v>
      </c>
      <c r="E9" s="185">
        <v>117</v>
      </c>
      <c r="F9" s="157">
        <f t="shared" si="0"/>
        <v>9.7999999999999997E-3</v>
      </c>
      <c r="G9" s="158">
        <f t="shared" si="1"/>
        <v>5.3070370403969849E-3</v>
      </c>
      <c r="H9" s="109" t="str">
        <f t="shared" si="2"/>
        <v>Small Boiler (&lt;100MMBtu/Hr)-Uncontrolled</v>
      </c>
    </row>
    <row r="10" spans="1:39">
      <c r="B10" s="60" t="s">
        <v>22</v>
      </c>
      <c r="C10" s="60" t="s">
        <v>106</v>
      </c>
      <c r="D10" s="184">
        <v>4.9000000000000002E-2</v>
      </c>
      <c r="E10" s="185">
        <v>117</v>
      </c>
      <c r="F10" s="157">
        <f t="shared" si="0"/>
        <v>4.8999999999999998E-3</v>
      </c>
      <c r="G10" s="158">
        <f t="shared" si="1"/>
        <v>5.3070370403969849E-3</v>
      </c>
      <c r="H10" s="109" t="str">
        <f t="shared" si="2"/>
        <v>Small Boiler (&lt;100MMBtu/Hr)-Low Nox Burner</v>
      </c>
    </row>
    <row r="11" spans="1:39">
      <c r="B11" s="60" t="s">
        <v>22</v>
      </c>
      <c r="C11" s="60" t="s">
        <v>24</v>
      </c>
      <c r="D11" s="184">
        <v>3.1E-2</v>
      </c>
      <c r="E11" s="185">
        <v>117</v>
      </c>
      <c r="F11" s="157">
        <f t="shared" si="0"/>
        <v>3.0999999999999999E-3</v>
      </c>
      <c r="G11" s="158">
        <f t="shared" si="1"/>
        <v>5.3070370403969849E-3</v>
      </c>
      <c r="H11" s="109" t="str">
        <f t="shared" si="2"/>
        <v>Small Boiler (&lt;100MMBtu/Hr)-Flue Gas Recirculation</v>
      </c>
    </row>
    <row r="12" spans="1:39">
      <c r="B12" s="60" t="s">
        <v>107</v>
      </c>
      <c r="C12" s="60" t="s">
        <v>105</v>
      </c>
      <c r="D12" s="184">
        <v>9.1999999999999998E-2</v>
      </c>
      <c r="E12" s="185">
        <v>117</v>
      </c>
      <c r="F12" s="157">
        <f t="shared" si="0"/>
        <v>9.1999999999999998E-3</v>
      </c>
      <c r="G12" s="158">
        <f t="shared" si="1"/>
        <v>5.3070370403969849E-3</v>
      </c>
      <c r="H12" s="109" t="str">
        <f t="shared" si="2"/>
        <v>Residential Furnace-Uncontrolled</v>
      </c>
    </row>
    <row r="13" spans="1:39">
      <c r="F13" s="76"/>
      <c r="G13" s="76"/>
    </row>
    <row r="16" spans="1:39">
      <c r="B16" s="221" t="s">
        <v>108</v>
      </c>
      <c r="C16" s="10">
        <v>2019</v>
      </c>
      <c r="D16" s="4">
        <v>2020</v>
      </c>
      <c r="E16" s="4">
        <v>2021</v>
      </c>
      <c r="F16" s="4">
        <v>2022</v>
      </c>
      <c r="G16" s="4">
        <v>2023</v>
      </c>
      <c r="H16" s="4">
        <f>G16+1</f>
        <v>2024</v>
      </c>
      <c r="I16" s="4">
        <f>H16+1</f>
        <v>2025</v>
      </c>
      <c r="J16" s="4">
        <f t="shared" ref="J16:AF16" si="3">I16+1</f>
        <v>2026</v>
      </c>
      <c r="K16" s="4">
        <f t="shared" si="3"/>
        <v>2027</v>
      </c>
      <c r="L16" s="4">
        <f t="shared" si="3"/>
        <v>2028</v>
      </c>
      <c r="M16" s="4">
        <f t="shared" si="3"/>
        <v>2029</v>
      </c>
      <c r="N16" s="4">
        <f t="shared" si="3"/>
        <v>2030</v>
      </c>
      <c r="O16" s="4">
        <f t="shared" si="3"/>
        <v>2031</v>
      </c>
      <c r="P16" s="4">
        <f t="shared" si="3"/>
        <v>2032</v>
      </c>
      <c r="Q16" s="4">
        <f t="shared" si="3"/>
        <v>2033</v>
      </c>
      <c r="R16" s="4">
        <f t="shared" si="3"/>
        <v>2034</v>
      </c>
      <c r="S16" s="4">
        <f t="shared" si="3"/>
        <v>2035</v>
      </c>
      <c r="T16" s="4">
        <f t="shared" si="3"/>
        <v>2036</v>
      </c>
      <c r="U16" s="4">
        <f t="shared" si="3"/>
        <v>2037</v>
      </c>
      <c r="V16" s="4">
        <f t="shared" si="3"/>
        <v>2038</v>
      </c>
      <c r="W16" s="4">
        <f t="shared" si="3"/>
        <v>2039</v>
      </c>
      <c r="X16" s="4">
        <f t="shared" si="3"/>
        <v>2040</v>
      </c>
      <c r="Y16" s="4">
        <f t="shared" si="3"/>
        <v>2041</v>
      </c>
      <c r="Z16" s="4">
        <f t="shared" si="3"/>
        <v>2042</v>
      </c>
      <c r="AA16" s="4">
        <f t="shared" si="3"/>
        <v>2043</v>
      </c>
      <c r="AB16" s="4">
        <f t="shared" si="3"/>
        <v>2044</v>
      </c>
      <c r="AC16" s="4">
        <f t="shared" si="3"/>
        <v>2045</v>
      </c>
      <c r="AD16" s="4">
        <f t="shared" si="3"/>
        <v>2046</v>
      </c>
      <c r="AE16" s="4">
        <f t="shared" si="3"/>
        <v>2047</v>
      </c>
      <c r="AF16" s="4">
        <f t="shared" si="3"/>
        <v>2048</v>
      </c>
      <c r="AG16" s="4">
        <v>2049</v>
      </c>
      <c r="AH16" s="4">
        <v>2050</v>
      </c>
      <c r="AI16" s="4">
        <v>2051</v>
      </c>
      <c r="AJ16" s="4">
        <v>2052</v>
      </c>
      <c r="AK16" s="4">
        <v>2053</v>
      </c>
      <c r="AL16" s="4">
        <v>2054</v>
      </c>
    </row>
    <row r="17" spans="1:38">
      <c r="A17" s="77"/>
      <c r="B17" s="206" t="s">
        <v>109</v>
      </c>
      <c r="C17" s="205">
        <v>11.339584804900008</v>
      </c>
      <c r="D17" s="186">
        <v>12.47354328539001</v>
      </c>
      <c r="E17" s="186">
        <v>13.720897613929012</v>
      </c>
      <c r="F17" s="186">
        <v>15.092987375321913</v>
      </c>
      <c r="G17" s="186">
        <v>16.602286112854106</v>
      </c>
      <c r="H17" s="249">
        <f>TREND($C17:$G17,$C$16:$G$16,H$16)</f>
        <v>17.789313850231338</v>
      </c>
      <c r="I17" s="249">
        <f t="shared" ref="I17:Q17" si="4">TREND($C17:$G17,$C$16:$G$16,I$16)</f>
        <v>19.103798520815417</v>
      </c>
      <c r="J17" s="249">
        <f t="shared" si="4"/>
        <v>20.418283191399041</v>
      </c>
      <c r="K17" s="249">
        <f t="shared" si="4"/>
        <v>21.73276786198312</v>
      </c>
      <c r="L17" s="249">
        <f t="shared" si="4"/>
        <v>23.0472525325672</v>
      </c>
      <c r="M17" s="249">
        <f t="shared" si="4"/>
        <v>24.361737203151279</v>
      </c>
      <c r="N17" s="249">
        <f t="shared" si="4"/>
        <v>25.676221873735358</v>
      </c>
      <c r="O17" s="249">
        <f t="shared" si="4"/>
        <v>26.990706544319437</v>
      </c>
      <c r="P17" s="249">
        <f t="shared" si="4"/>
        <v>28.305191214903061</v>
      </c>
      <c r="Q17" s="249">
        <f t="shared" si="4"/>
        <v>29.61967588548714</v>
      </c>
      <c r="R17" s="249">
        <f t="shared" ref="R17:AF17" si="5">TREND($C17:$G17,$C$16:$G$16,R$16)</f>
        <v>30.93416055607122</v>
      </c>
      <c r="S17" s="249">
        <f t="shared" si="5"/>
        <v>32.248645226655299</v>
      </c>
      <c r="T17" s="249">
        <f t="shared" si="5"/>
        <v>33.563129897239378</v>
      </c>
      <c r="U17" s="249">
        <f t="shared" si="5"/>
        <v>34.877614567823457</v>
      </c>
      <c r="V17" s="249">
        <f t="shared" si="5"/>
        <v>36.192099238407536</v>
      </c>
      <c r="W17" s="249">
        <f t="shared" si="5"/>
        <v>37.506583908991161</v>
      </c>
      <c r="X17" s="249">
        <f t="shared" si="5"/>
        <v>38.82106857957524</v>
      </c>
      <c r="Y17" s="249">
        <f t="shared" si="5"/>
        <v>40.135553250159319</v>
      </c>
      <c r="Z17" s="249">
        <f t="shared" si="5"/>
        <v>41.450037920743398</v>
      </c>
      <c r="AA17" s="249">
        <f t="shared" si="5"/>
        <v>42.764522591327477</v>
      </c>
      <c r="AB17" s="249">
        <f t="shared" si="5"/>
        <v>44.079007261911556</v>
      </c>
      <c r="AC17" s="249">
        <f t="shared" si="5"/>
        <v>45.393491932495181</v>
      </c>
      <c r="AD17" s="249">
        <f t="shared" si="5"/>
        <v>46.70797660307926</v>
      </c>
      <c r="AE17" s="249">
        <f t="shared" si="5"/>
        <v>48.022461273663339</v>
      </c>
      <c r="AF17" s="249">
        <f t="shared" si="5"/>
        <v>49.336945944247418</v>
      </c>
      <c r="AG17" s="249">
        <f t="shared" ref="AG17:AL17" si="6">TREND($C17:$G17,$C$16:$G$16,AG$16)</f>
        <v>50.651430614831497</v>
      </c>
      <c r="AH17" s="249">
        <f>TREND($C17:$G17,$C$16:$G$16,AH$16)</f>
        <v>51.965915285415576</v>
      </c>
      <c r="AI17" s="249">
        <f t="shared" si="6"/>
        <v>53.280399955999656</v>
      </c>
      <c r="AJ17" s="249">
        <f t="shared" si="6"/>
        <v>54.59488462658328</v>
      </c>
      <c r="AK17" s="249">
        <f t="shared" si="6"/>
        <v>55.909369297167359</v>
      </c>
      <c r="AL17" s="249">
        <f t="shared" si="6"/>
        <v>57.223853967751438</v>
      </c>
    </row>
    <row r="18" spans="1:38">
      <c r="A18" s="77"/>
      <c r="B18" s="207" t="s">
        <v>110</v>
      </c>
      <c r="C18" s="249">
        <f>C17*'User Dashboard'!$C$34</f>
        <v>0.11112793108802008</v>
      </c>
      <c r="D18" s="249">
        <f>D17*'User Dashboard'!$C$34</f>
        <v>0.1222407241968221</v>
      </c>
      <c r="E18" s="249">
        <f>E17*'User Dashboard'!$C$34</f>
        <v>0.13446479661650432</v>
      </c>
      <c r="F18" s="249">
        <f>F17*'User Dashboard'!$C$34</f>
        <v>0.14791127627815473</v>
      </c>
      <c r="G18" s="249">
        <f>G17*'User Dashboard'!$C$34</f>
        <v>0.16270240390597024</v>
      </c>
      <c r="H18" s="249">
        <f>H17*'User Dashboard'!$C$34</f>
        <v>0.17433527573226709</v>
      </c>
      <c r="I18" s="249">
        <f>I17*'User Dashboard'!$C$34</f>
        <v>0.18721722550399109</v>
      </c>
      <c r="J18" s="249">
        <f>J17*'User Dashboard'!$C$34</f>
        <v>0.20009917527571061</v>
      </c>
      <c r="K18" s="249">
        <f>K17*'User Dashboard'!$C$34</f>
        <v>0.21298112504743458</v>
      </c>
      <c r="L18" s="249">
        <f>L17*'User Dashboard'!$C$34</f>
        <v>0.22586307481915854</v>
      </c>
      <c r="M18" s="249">
        <f>M17*'User Dashboard'!$C$34</f>
        <v>0.23874502459088251</v>
      </c>
      <c r="N18" s="249">
        <f>N17*'User Dashboard'!$C$34</f>
        <v>0.2516269743626065</v>
      </c>
      <c r="O18" s="249">
        <f>O17*'User Dashboard'!$C$34</f>
        <v>0.26450892413433047</v>
      </c>
      <c r="P18" s="249">
        <f>P17*'User Dashboard'!$C$34</f>
        <v>0.27739087390605</v>
      </c>
      <c r="Q18" s="249">
        <f>Q17*'User Dashboard'!$C$34</f>
        <v>0.29027282367777396</v>
      </c>
      <c r="R18" s="249">
        <f>R17*'User Dashboard'!$C$34</f>
        <v>0.30315477344949793</v>
      </c>
      <c r="S18" s="249">
        <f>S17*'User Dashboard'!$C$34</f>
        <v>0.31603672322122189</v>
      </c>
      <c r="T18" s="249">
        <f>T17*'User Dashboard'!$C$34</f>
        <v>0.32891867299294592</v>
      </c>
      <c r="U18" s="249">
        <f>U17*'User Dashboard'!$C$34</f>
        <v>0.34180062276466988</v>
      </c>
      <c r="V18" s="249">
        <f>V17*'User Dashboard'!$C$34</f>
        <v>0.35468257253639385</v>
      </c>
      <c r="W18" s="249">
        <f>W17*'User Dashboard'!$C$34</f>
        <v>0.36756452230811337</v>
      </c>
      <c r="X18" s="249">
        <f>X17*'User Dashboard'!$C$34</f>
        <v>0.38044647207983734</v>
      </c>
      <c r="Y18" s="249">
        <f>Y17*'User Dashboard'!$C$34</f>
        <v>0.39332842185156131</v>
      </c>
      <c r="Z18" s="249">
        <f>Z17*'User Dashboard'!$C$34</f>
        <v>0.40621037162328527</v>
      </c>
      <c r="AA18" s="249">
        <f>AA17*'User Dashboard'!$C$34</f>
        <v>0.41909232139500924</v>
      </c>
      <c r="AB18" s="249">
        <f>AB17*'User Dashboard'!$C$34</f>
        <v>0.43197427116673326</v>
      </c>
      <c r="AC18" s="249">
        <f>AC17*'User Dashboard'!$C$34</f>
        <v>0.44485622093845273</v>
      </c>
      <c r="AD18" s="249">
        <f>AD17*'User Dashboard'!$C$34</f>
        <v>0.45773817071017675</v>
      </c>
      <c r="AE18" s="249">
        <f>AE17*'User Dashboard'!$C$34</f>
        <v>0.47062012048190072</v>
      </c>
      <c r="AF18" s="249">
        <f>AF17*'User Dashboard'!$C$34</f>
        <v>0.48350207025362468</v>
      </c>
      <c r="AG18" s="249">
        <f>AG17*'User Dashboard'!$C$34</f>
        <v>0.49638402002534865</v>
      </c>
      <c r="AH18" s="249">
        <f>AH17*'User Dashboard'!$C$34</f>
        <v>0.50926596979707262</v>
      </c>
      <c r="AI18" s="249">
        <f>AI17*'User Dashboard'!$C$34</f>
        <v>0.52214791956879658</v>
      </c>
      <c r="AJ18" s="249">
        <f>AJ17*'User Dashboard'!$C$34</f>
        <v>0.53502986934051611</v>
      </c>
      <c r="AK18" s="249">
        <f>AK17*'User Dashboard'!$C$34</f>
        <v>0.54791181911224007</v>
      </c>
      <c r="AL18" s="249">
        <f>AL17*'User Dashboard'!$C$34</f>
        <v>0.56079376888396404</v>
      </c>
    </row>
    <row r="19" spans="1:38">
      <c r="B19" s="207" t="s">
        <v>111</v>
      </c>
      <c r="C19" s="251">
        <f>$D$19*(1+'Other Inputs'!$C$18)^(Emissions!C$16-2020)</f>
        <v>114</v>
      </c>
      <c r="D19" s="187">
        <v>114</v>
      </c>
      <c r="E19" s="250">
        <f>$D$19*(1+'Other Inputs'!$C$18)^(Emissions!E$16-2020)</f>
        <v>114</v>
      </c>
      <c r="F19" s="250">
        <f>$D$19*(1+'Other Inputs'!$C$18)^(Emissions!F$16-2020)</f>
        <v>114</v>
      </c>
      <c r="G19" s="250">
        <f>$D$19*(1+'Other Inputs'!$C$18)^(Emissions!G$16-2020)</f>
        <v>114</v>
      </c>
      <c r="H19" s="250">
        <f>$D$19*(1+'Other Inputs'!$C$18)^(Emissions!H$16-2020)</f>
        <v>114</v>
      </c>
      <c r="I19" s="250">
        <f>$D$19*(1+'Other Inputs'!$C$18)^(Emissions!I$16-2020)</f>
        <v>114</v>
      </c>
      <c r="J19" s="250">
        <f>$D$19*(1+'Other Inputs'!$C$18)^(Emissions!J$16-2020)</f>
        <v>114</v>
      </c>
      <c r="K19" s="250">
        <f>$D$19*(1+'Other Inputs'!$C$18)^(Emissions!K$16-2020)</f>
        <v>114</v>
      </c>
      <c r="L19" s="250">
        <f>$D$19*(1+'Other Inputs'!$C$18)^(Emissions!L$16-2020)</f>
        <v>114</v>
      </c>
      <c r="M19" s="250">
        <f>$D$19*(1+'Other Inputs'!$C$18)^(Emissions!M$16-2020)</f>
        <v>114</v>
      </c>
      <c r="N19" s="250">
        <f>$D$19*(1+'Other Inputs'!$C$18)^(Emissions!N$16-2020)</f>
        <v>114</v>
      </c>
      <c r="O19" s="250">
        <f>$D$19*(1+'Other Inputs'!$C$18)^(Emissions!O$16-2020)</f>
        <v>114</v>
      </c>
      <c r="P19" s="250">
        <f>$D$19*(1+'Other Inputs'!$C$18)^(Emissions!P$16-2020)</f>
        <v>114</v>
      </c>
      <c r="Q19" s="250">
        <f>$D$19*(1+'Other Inputs'!$C$18)^(Emissions!Q$16-2020)</f>
        <v>114</v>
      </c>
      <c r="R19" s="250">
        <f>$D$19*(1+'Other Inputs'!$C$18)^(Emissions!R$16-2020)</f>
        <v>114</v>
      </c>
      <c r="S19" s="250">
        <f>$D$19*(1+'Other Inputs'!$C$18)^(Emissions!S$16-2020)</f>
        <v>114</v>
      </c>
      <c r="T19" s="250">
        <f>$D$19*(1+'Other Inputs'!$C$18)^(Emissions!T$16-2020)</f>
        <v>114</v>
      </c>
      <c r="U19" s="250">
        <f>$D$19*(1+'Other Inputs'!$C$18)^(Emissions!U$16-2020)</f>
        <v>114</v>
      </c>
      <c r="V19" s="250">
        <f>$D$19*(1+'Other Inputs'!$C$18)^(Emissions!V$16-2020)</f>
        <v>114</v>
      </c>
      <c r="W19" s="250">
        <f>$D$19*(1+'Other Inputs'!$C$18)^(Emissions!W$16-2020)</f>
        <v>114</v>
      </c>
      <c r="X19" s="250">
        <f>$D$19*(1+'Other Inputs'!$C$18)^(Emissions!X$16-2020)</f>
        <v>114</v>
      </c>
      <c r="Y19" s="250">
        <f>$D$19*(1+'Other Inputs'!$C$18)^(Emissions!Y$16-2020)</f>
        <v>114</v>
      </c>
      <c r="Z19" s="250">
        <f>$D$19*(1+'Other Inputs'!$C$18)^(Emissions!Z$16-2020)</f>
        <v>114</v>
      </c>
      <c r="AA19" s="250">
        <f>$D$19*(1+'Other Inputs'!$C$18)^(Emissions!AA$16-2020)</f>
        <v>114</v>
      </c>
      <c r="AB19" s="250">
        <f>$D$19*(1+'Other Inputs'!$C$18)^(Emissions!AB$16-2020)</f>
        <v>114</v>
      </c>
      <c r="AC19" s="250">
        <f>$D$19*(1+'Other Inputs'!$C$18)^(Emissions!AC$16-2020)</f>
        <v>114</v>
      </c>
      <c r="AD19" s="250">
        <f>$D$19*(1+'Other Inputs'!$C$18)^(Emissions!AD$16-2020)</f>
        <v>114</v>
      </c>
      <c r="AE19" s="250">
        <f>$D$19*(1+'Other Inputs'!$C$18)^(Emissions!AE$16-2020)</f>
        <v>114</v>
      </c>
      <c r="AF19" s="250">
        <f>$D$19*(1+'Other Inputs'!$C$18)^(Emissions!AF$16-2020)</f>
        <v>114</v>
      </c>
      <c r="AG19" s="250">
        <f>$D$19*(1+'Other Inputs'!$C$18)^(Emissions!AG$16-2020)</f>
        <v>114</v>
      </c>
      <c r="AH19" s="250">
        <f>$D$19*(1+'Other Inputs'!$C$18)^(Emissions!AH$16-2020)</f>
        <v>114</v>
      </c>
      <c r="AI19" s="250">
        <f>$D$19*(1+'Other Inputs'!$C$18)^(Emissions!AI$16-2020)</f>
        <v>114</v>
      </c>
      <c r="AJ19" s="250">
        <f>$D$19*(1+'Other Inputs'!$C$18)^(Emissions!AJ$16-2020)</f>
        <v>114</v>
      </c>
      <c r="AK19" s="250">
        <f>$D$19*(1+'Other Inputs'!$C$18)^(Emissions!AK$16-2020)</f>
        <v>114</v>
      </c>
      <c r="AL19" s="250">
        <f>$D$19*(1+'Other Inputs'!$C$18)^(Emissions!AL$16-2020)</f>
        <v>114</v>
      </c>
    </row>
    <row r="20" spans="1:38">
      <c r="B20" s="208" t="s">
        <v>112</v>
      </c>
      <c r="C20" s="205">
        <v>15.86306967106159</v>
      </c>
      <c r="D20" s="186">
        <v>17.449376638167749</v>
      </c>
      <c r="E20" s="186">
        <v>19.194314301984527</v>
      </c>
      <c r="F20" s="186">
        <v>21.113745732182977</v>
      </c>
      <c r="G20" s="186">
        <v>23.22512030540128</v>
      </c>
      <c r="H20" s="249">
        <f t="shared" ref="H20:AL20" si="7">TREND($C20:$G20,$C$16:$G$16,H$16)</f>
        <v>24.885666438568023</v>
      </c>
      <c r="I20" s="249">
        <f t="shared" si="7"/>
        <v>26.724513474837295</v>
      </c>
      <c r="J20" s="249">
        <f t="shared" si="7"/>
        <v>28.563360511107021</v>
      </c>
      <c r="K20" s="249">
        <f t="shared" si="7"/>
        <v>30.402207547376292</v>
      </c>
      <c r="L20" s="249">
        <f>TREND($C20:$G20,$C$16:$G$16,L$16)</f>
        <v>32.241054583646019</v>
      </c>
      <c r="M20" s="249">
        <f t="shared" si="7"/>
        <v>34.07990161991529</v>
      </c>
      <c r="N20" s="249">
        <f t="shared" si="7"/>
        <v>35.918748656185016</v>
      </c>
      <c r="O20" s="249">
        <f t="shared" si="7"/>
        <v>37.757595692454288</v>
      </c>
      <c r="P20" s="249">
        <f t="shared" si="7"/>
        <v>39.596442728723559</v>
      </c>
      <c r="Q20" s="249">
        <f t="shared" si="7"/>
        <v>41.435289764993286</v>
      </c>
      <c r="R20" s="249">
        <f t="shared" si="7"/>
        <v>43.274136801262557</v>
      </c>
      <c r="S20" s="249">
        <f t="shared" si="7"/>
        <v>45.112983837532283</v>
      </c>
      <c r="T20" s="249">
        <f t="shared" si="7"/>
        <v>46.951830873801555</v>
      </c>
      <c r="U20" s="249">
        <f t="shared" si="7"/>
        <v>48.790677910070826</v>
      </c>
      <c r="V20" s="249">
        <f t="shared" si="7"/>
        <v>50.629524946340553</v>
      </c>
      <c r="W20" s="249">
        <f t="shared" si="7"/>
        <v>52.468371982609824</v>
      </c>
      <c r="X20" s="249">
        <f t="shared" si="7"/>
        <v>54.30721901887955</v>
      </c>
      <c r="Y20" s="249">
        <f t="shared" si="7"/>
        <v>56.146066055148822</v>
      </c>
      <c r="Z20" s="249">
        <f t="shared" si="7"/>
        <v>57.984913091418548</v>
      </c>
      <c r="AA20" s="249">
        <f t="shared" si="7"/>
        <v>59.823760127687819</v>
      </c>
      <c r="AB20" s="249">
        <f t="shared" si="7"/>
        <v>61.662607163957091</v>
      </c>
      <c r="AC20" s="249">
        <f t="shared" si="7"/>
        <v>63.501454200226817</v>
      </c>
      <c r="AD20" s="249">
        <f t="shared" si="7"/>
        <v>65.340301236496089</v>
      </c>
      <c r="AE20" s="249">
        <f t="shared" si="7"/>
        <v>67.179148272765815</v>
      </c>
      <c r="AF20" s="249">
        <f t="shared" si="7"/>
        <v>69.017995309035086</v>
      </c>
      <c r="AG20" s="249">
        <f t="shared" si="7"/>
        <v>70.856842345304358</v>
      </c>
      <c r="AH20" s="249">
        <f t="shared" si="7"/>
        <v>72.695689381574084</v>
      </c>
      <c r="AI20" s="249">
        <f t="shared" si="7"/>
        <v>74.534536417843356</v>
      </c>
      <c r="AJ20" s="249">
        <f t="shared" si="7"/>
        <v>76.373383454113082</v>
      </c>
      <c r="AK20" s="249">
        <f t="shared" si="7"/>
        <v>78.212230490382353</v>
      </c>
      <c r="AL20" s="249">
        <f t="shared" si="7"/>
        <v>80.051077526651625</v>
      </c>
    </row>
    <row r="21" spans="1:38">
      <c r="A21" s="78"/>
      <c r="B21" s="182"/>
      <c r="C21" s="57"/>
      <c r="D21" s="183"/>
      <c r="E21" s="183"/>
      <c r="F21" s="183"/>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row>
    <row r="22" spans="1:38">
      <c r="B22" s="221" t="s">
        <v>113</v>
      </c>
      <c r="C22" s="24"/>
      <c r="D22" s="4">
        <v>2020</v>
      </c>
      <c r="E22" s="4">
        <v>2021</v>
      </c>
      <c r="F22" s="4">
        <v>2022</v>
      </c>
      <c r="G22" s="4">
        <v>2023</v>
      </c>
      <c r="H22" s="4">
        <f>G22+1</f>
        <v>2024</v>
      </c>
      <c r="I22" s="4">
        <f>H22+1</f>
        <v>2025</v>
      </c>
      <c r="J22" s="4">
        <f t="shared" ref="J22" si="8">I22+1</f>
        <v>2026</v>
      </c>
      <c r="K22" s="4">
        <f t="shared" ref="K22" si="9">J22+1</f>
        <v>2027</v>
      </c>
      <c r="L22" s="4">
        <f t="shared" ref="L22" si="10">K22+1</f>
        <v>2028</v>
      </c>
      <c r="M22" s="4">
        <f t="shared" ref="M22" si="11">L22+1</f>
        <v>2029</v>
      </c>
      <c r="N22" s="4">
        <f t="shared" ref="N22" si="12">M22+1</f>
        <v>2030</v>
      </c>
      <c r="O22" s="4">
        <f t="shared" ref="O22" si="13">N22+1</f>
        <v>2031</v>
      </c>
      <c r="P22" s="4">
        <f t="shared" ref="P22" si="14">O22+1</f>
        <v>2032</v>
      </c>
      <c r="Q22" s="4">
        <f t="shared" ref="Q22" si="15">P22+1</f>
        <v>2033</v>
      </c>
      <c r="R22" s="4">
        <f t="shared" ref="R22" si="16">Q22+1</f>
        <v>2034</v>
      </c>
      <c r="S22" s="4">
        <f t="shared" ref="S22" si="17">R22+1</f>
        <v>2035</v>
      </c>
      <c r="T22" s="4">
        <f t="shared" ref="T22" si="18">S22+1</f>
        <v>2036</v>
      </c>
      <c r="U22" s="4">
        <f t="shared" ref="U22" si="19">T22+1</f>
        <v>2037</v>
      </c>
      <c r="V22" s="4">
        <f t="shared" ref="V22" si="20">U22+1</f>
        <v>2038</v>
      </c>
      <c r="W22" s="4">
        <f t="shared" ref="W22" si="21">V22+1</f>
        <v>2039</v>
      </c>
      <c r="X22" s="4">
        <f t="shared" ref="X22" si="22">W22+1</f>
        <v>2040</v>
      </c>
      <c r="Y22" s="4">
        <f t="shared" ref="Y22" si="23">X22+1</f>
        <v>2041</v>
      </c>
      <c r="Z22" s="4">
        <f t="shared" ref="Z22" si="24">Y22+1</f>
        <v>2042</v>
      </c>
      <c r="AA22" s="4">
        <f t="shared" ref="AA22" si="25">Z22+1</f>
        <v>2043</v>
      </c>
      <c r="AB22" s="4">
        <f t="shared" ref="AB22" si="26">AA22+1</f>
        <v>2044</v>
      </c>
      <c r="AC22" s="4">
        <f t="shared" ref="AC22" si="27">AB22+1</f>
        <v>2045</v>
      </c>
      <c r="AD22" s="4">
        <f t="shared" ref="AD22" si="28">AC22+1</f>
        <v>2046</v>
      </c>
      <c r="AE22" s="4">
        <f t="shared" ref="AE22" si="29">AD22+1</f>
        <v>2047</v>
      </c>
      <c r="AF22" s="4">
        <f t="shared" ref="AF22" si="30">AE22+1</f>
        <v>2048</v>
      </c>
      <c r="AG22" s="4">
        <v>2049</v>
      </c>
      <c r="AH22" s="4">
        <v>2050</v>
      </c>
      <c r="AI22" s="4">
        <v>2051</v>
      </c>
      <c r="AJ22" s="4">
        <v>2052</v>
      </c>
      <c r="AK22" s="4">
        <v>2053</v>
      </c>
      <c r="AL22" s="4">
        <v>2054</v>
      </c>
    </row>
    <row r="23" spans="1:38">
      <c r="B23" s="252" t="s">
        <v>114</v>
      </c>
      <c r="C23" s="206"/>
      <c r="D23" s="205">
        <v>1.23</v>
      </c>
      <c r="E23" s="249">
        <f>D23</f>
        <v>1.23</v>
      </c>
      <c r="F23" s="249">
        <f t="shared" ref="F23:AL23" si="31">E23</f>
        <v>1.23</v>
      </c>
      <c r="G23" s="249">
        <f t="shared" si="31"/>
        <v>1.23</v>
      </c>
      <c r="H23" s="249">
        <f t="shared" si="31"/>
        <v>1.23</v>
      </c>
      <c r="I23" s="249">
        <f t="shared" si="31"/>
        <v>1.23</v>
      </c>
      <c r="J23" s="249">
        <f t="shared" si="31"/>
        <v>1.23</v>
      </c>
      <c r="K23" s="249">
        <f t="shared" si="31"/>
        <v>1.23</v>
      </c>
      <c r="L23" s="249">
        <f t="shared" si="31"/>
        <v>1.23</v>
      </c>
      <c r="M23" s="249">
        <f t="shared" si="31"/>
        <v>1.23</v>
      </c>
      <c r="N23" s="249">
        <f t="shared" si="31"/>
        <v>1.23</v>
      </c>
      <c r="O23" s="249">
        <f t="shared" si="31"/>
        <v>1.23</v>
      </c>
      <c r="P23" s="249">
        <f t="shared" si="31"/>
        <v>1.23</v>
      </c>
      <c r="Q23" s="249">
        <f t="shared" si="31"/>
        <v>1.23</v>
      </c>
      <c r="R23" s="249">
        <f t="shared" si="31"/>
        <v>1.23</v>
      </c>
      <c r="S23" s="249">
        <f t="shared" si="31"/>
        <v>1.23</v>
      </c>
      <c r="T23" s="249">
        <f t="shared" si="31"/>
        <v>1.23</v>
      </c>
      <c r="U23" s="249">
        <f t="shared" si="31"/>
        <v>1.23</v>
      </c>
      <c r="V23" s="249">
        <f t="shared" si="31"/>
        <v>1.23</v>
      </c>
      <c r="W23" s="249">
        <f t="shared" si="31"/>
        <v>1.23</v>
      </c>
      <c r="X23" s="249">
        <f t="shared" si="31"/>
        <v>1.23</v>
      </c>
      <c r="Y23" s="249">
        <f t="shared" si="31"/>
        <v>1.23</v>
      </c>
      <c r="Z23" s="249">
        <f t="shared" si="31"/>
        <v>1.23</v>
      </c>
      <c r="AA23" s="249">
        <f t="shared" si="31"/>
        <v>1.23</v>
      </c>
      <c r="AB23" s="249">
        <f t="shared" si="31"/>
        <v>1.23</v>
      </c>
      <c r="AC23" s="249">
        <f t="shared" si="31"/>
        <v>1.23</v>
      </c>
      <c r="AD23" s="249">
        <f t="shared" si="31"/>
        <v>1.23</v>
      </c>
      <c r="AE23" s="249">
        <f t="shared" si="31"/>
        <v>1.23</v>
      </c>
      <c r="AF23" s="249">
        <f t="shared" si="31"/>
        <v>1.23</v>
      </c>
      <c r="AG23" s="249">
        <f t="shared" si="31"/>
        <v>1.23</v>
      </c>
      <c r="AH23" s="249">
        <f t="shared" si="31"/>
        <v>1.23</v>
      </c>
      <c r="AI23" s="249">
        <f t="shared" si="31"/>
        <v>1.23</v>
      </c>
      <c r="AJ23" s="249">
        <f t="shared" si="31"/>
        <v>1.23</v>
      </c>
      <c r="AK23" s="249">
        <f t="shared" si="31"/>
        <v>1.23</v>
      </c>
      <c r="AL23" s="249">
        <f t="shared" si="31"/>
        <v>1.23</v>
      </c>
    </row>
    <row r="24" spans="1:38">
      <c r="B24" s="253" t="s">
        <v>115</v>
      </c>
      <c r="C24" s="207"/>
      <c r="D24" s="251">
        <f>D23*(1+'Other Inputs'!$C$11)^(Emissions!D22-2020)</f>
        <v>1.23</v>
      </c>
      <c r="E24" s="250">
        <f>E23*(1+'Other Inputs'!$C$11)^(Emissions!E22-2020)</f>
        <v>1.2545999999999999</v>
      </c>
      <c r="F24" s="250">
        <f>F23*(1+'Other Inputs'!$C$11)^(Emissions!F22-2020)</f>
        <v>1.2796920000000001</v>
      </c>
      <c r="G24" s="250">
        <f>G23*(1+'Other Inputs'!$C$11)^(Emissions!G22-2020)</f>
        <v>1.3052858399999998</v>
      </c>
      <c r="H24" s="250">
        <f>H23*(1+'Other Inputs'!$C$11)^(Emissions!H22-2020)</f>
        <v>1.3313915567999999</v>
      </c>
      <c r="I24" s="250">
        <f>I23*(1+'Other Inputs'!$C$11)^(Emissions!I22-2020)</f>
        <v>1.3580193879360001</v>
      </c>
      <c r="J24" s="250">
        <f>J23*(1+'Other Inputs'!$C$11)^(Emissions!J22-2020)</f>
        <v>1.3851797756947202</v>
      </c>
      <c r="K24" s="250">
        <f>K23*(1+'Other Inputs'!$C$11)^(Emissions!K22-2020)</f>
        <v>1.4128833712086142</v>
      </c>
      <c r="L24" s="250">
        <f>L23*(1+'Other Inputs'!$C$11)^(Emissions!L22-2020)</f>
        <v>1.4411410386327865</v>
      </c>
      <c r="M24" s="250">
        <f>M23*(1+'Other Inputs'!$C$11)^(Emissions!M22-2020)</f>
        <v>1.4699638594054423</v>
      </c>
      <c r="N24" s="250">
        <f>N23*(1+'Other Inputs'!$C$11)^(Emissions!N22-2020)</f>
        <v>1.4993631365935511</v>
      </c>
      <c r="O24" s="250">
        <f>O23*(1+'Other Inputs'!$C$11)^(Emissions!O22-2020)</f>
        <v>1.529350399325422</v>
      </c>
      <c r="P24" s="250">
        <f>P23*(1+'Other Inputs'!$C$11)^(Emissions!P22-2020)</f>
        <v>1.5599374073119308</v>
      </c>
      <c r="Q24" s="250">
        <f>Q23*(1+'Other Inputs'!$C$11)^(Emissions!Q22-2020)</f>
        <v>1.5911361554581691</v>
      </c>
      <c r="R24" s="250">
        <f>R23*(1+'Other Inputs'!$C$11)^(Emissions!R22-2020)</f>
        <v>1.6229588785673328</v>
      </c>
      <c r="S24" s="250">
        <f>S23*(1+'Other Inputs'!$C$11)^(Emissions!S22-2020)</f>
        <v>1.6554180561386789</v>
      </c>
      <c r="T24" s="250">
        <f>T23*(1+'Other Inputs'!$C$11)^(Emissions!T22-2020)</f>
        <v>1.6885264172614527</v>
      </c>
      <c r="U24" s="250">
        <f>U23*(1+'Other Inputs'!$C$11)^(Emissions!U22-2020)</f>
        <v>1.7222969456066819</v>
      </c>
      <c r="V24" s="250">
        <f>V23*(1+'Other Inputs'!$C$11)^(Emissions!V22-2020)</f>
        <v>1.7567428845188153</v>
      </c>
      <c r="W24" s="250">
        <f>W23*(1+'Other Inputs'!$C$11)^(Emissions!W22-2020)</f>
        <v>1.7918777422091916</v>
      </c>
      <c r="X24" s="250">
        <f>X23*(1+'Other Inputs'!$C$11)^(Emissions!X22-2020)</f>
        <v>1.8277152970533757</v>
      </c>
      <c r="Y24" s="250">
        <f>Y23*(1+'Other Inputs'!$C$11)^(Emissions!Y22-2020)</f>
        <v>1.864269602994443</v>
      </c>
      <c r="Z24" s="250">
        <f>Z23*(1+'Other Inputs'!$C$11)^(Emissions!Z22-2020)</f>
        <v>1.901554995054332</v>
      </c>
      <c r="AA24" s="250">
        <f>AA23*(1+'Other Inputs'!$C$11)^(Emissions!AA22-2020)</f>
        <v>1.9395860949554182</v>
      </c>
      <c r="AB24" s="250">
        <f>AB23*(1+'Other Inputs'!$C$11)^(Emissions!AB22-2020)</f>
        <v>1.9783778168545267</v>
      </c>
      <c r="AC24" s="250">
        <f>AC23*(1+'Other Inputs'!$C$11)^(Emissions!AC22-2020)</f>
        <v>2.0179453731916173</v>
      </c>
      <c r="AD24" s="250">
        <f>AD23*(1+'Other Inputs'!$C$11)^(Emissions!AD22-2020)</f>
        <v>2.0583042806554497</v>
      </c>
      <c r="AE24" s="250">
        <f>AE23*(1+'Other Inputs'!$C$11)^(Emissions!AE22-2020)</f>
        <v>2.0994703662685583</v>
      </c>
      <c r="AF24" s="250">
        <f>AF23*(1+'Other Inputs'!$C$11)^(Emissions!AF22-2020)</f>
        <v>2.14145977359393</v>
      </c>
      <c r="AG24" s="250">
        <f>AG23*(1+'Other Inputs'!$C$11)^(Emissions!AG22-2020)</f>
        <v>2.1842889690658085</v>
      </c>
      <c r="AH24" s="250">
        <f>AH23*(1+'Other Inputs'!$C$11)^(Emissions!AH22-2020)</f>
        <v>2.2279747484471248</v>
      </c>
      <c r="AI24" s="250">
        <f>AI23*(1+'Other Inputs'!$C$11)^(Emissions!AI22-2020)</f>
        <v>2.2725342434160667</v>
      </c>
      <c r="AJ24" s="250">
        <f>AJ23*(1+'Other Inputs'!$C$11)^(Emissions!AJ22-2020)</f>
        <v>2.3179849282843885</v>
      </c>
      <c r="AK24" s="250">
        <f>AK23*(1+'Other Inputs'!$C$11)^(Emissions!AK22-2020)</f>
        <v>2.3643446268500763</v>
      </c>
      <c r="AL24" s="250">
        <f>AL23*(1+'Other Inputs'!$C$11)^(Emissions!AL22-2020)</f>
        <v>2.4116315193870776</v>
      </c>
    </row>
    <row r="25" spans="1:38">
      <c r="B25" s="252" t="s">
        <v>116</v>
      </c>
      <c r="C25" s="207"/>
      <c r="D25" s="254">
        <v>51</v>
      </c>
      <c r="E25" s="249">
        <f>D25+($I25-$D25)/($I$22-$D$22)</f>
        <v>52</v>
      </c>
      <c r="F25" s="249">
        <f t="shared" ref="E25:H26" si="32">E25+($I25-$D25)/($I$22-$D$22)</f>
        <v>53</v>
      </c>
      <c r="G25" s="249">
        <f t="shared" si="32"/>
        <v>54</v>
      </c>
      <c r="H25" s="249">
        <f t="shared" si="32"/>
        <v>55</v>
      </c>
      <c r="I25" s="222">
        <v>56</v>
      </c>
      <c r="J25" s="249">
        <f t="shared" ref="J25:M26" si="33">I25+($N25-$I25)/($N$22-$I$22)</f>
        <v>57.2</v>
      </c>
      <c r="K25" s="249">
        <f t="shared" si="33"/>
        <v>58.400000000000006</v>
      </c>
      <c r="L25" s="249">
        <f t="shared" si="33"/>
        <v>59.600000000000009</v>
      </c>
      <c r="M25" s="249">
        <f t="shared" si="33"/>
        <v>60.800000000000011</v>
      </c>
      <c r="N25" s="222">
        <v>62</v>
      </c>
      <c r="O25" s="249">
        <f>N25+($S25-$N25)/($S$22-$N$22)</f>
        <v>63</v>
      </c>
      <c r="P25" s="249">
        <f t="shared" ref="P25:R26" si="34">O25+($S25-$N25)/($S$22-$N$22)</f>
        <v>64</v>
      </c>
      <c r="Q25" s="249">
        <f t="shared" si="34"/>
        <v>65</v>
      </c>
      <c r="R25" s="249">
        <f t="shared" si="34"/>
        <v>66</v>
      </c>
      <c r="S25" s="222">
        <v>67</v>
      </c>
      <c r="T25" s="249">
        <f>S25+($X25-$S25)/($X$22-$S$22)</f>
        <v>68.2</v>
      </c>
      <c r="U25" s="249">
        <f t="shared" ref="U25:W26" si="35">T25+($X25-$S25)/($X$22-$S$22)</f>
        <v>69.400000000000006</v>
      </c>
      <c r="V25" s="249">
        <f t="shared" si="35"/>
        <v>70.600000000000009</v>
      </c>
      <c r="W25" s="249">
        <f t="shared" si="35"/>
        <v>71.800000000000011</v>
      </c>
      <c r="X25" s="222">
        <v>73</v>
      </c>
      <c r="Y25" s="249">
        <f>X25+($AC25-$X25)/($AC$22-$X$22)</f>
        <v>74.2</v>
      </c>
      <c r="Z25" s="249">
        <f t="shared" ref="Z25:AB26" si="36">Y25+($AC25-$X25)/($AC$22-$X$22)</f>
        <v>75.400000000000006</v>
      </c>
      <c r="AA25" s="249">
        <f t="shared" si="36"/>
        <v>76.600000000000009</v>
      </c>
      <c r="AB25" s="249">
        <f t="shared" si="36"/>
        <v>77.800000000000011</v>
      </c>
      <c r="AC25" s="222">
        <v>79</v>
      </c>
      <c r="AD25" s="249">
        <f>AC25+($AC25-$X25)/($AC$22-$X$22)</f>
        <v>80.2</v>
      </c>
      <c r="AE25" s="249">
        <f>AD25+($AC25-$X25)/($AC$22-$X$22)</f>
        <v>81.400000000000006</v>
      </c>
      <c r="AF25" s="249">
        <f>AE25+($AC25-$X25)/($AC$22-$X$22)</f>
        <v>82.600000000000009</v>
      </c>
      <c r="AG25" s="249">
        <f>AF25+($AC25-$X25)/($AC$22-$X$22)</f>
        <v>83.800000000000011</v>
      </c>
      <c r="AH25" s="249">
        <f t="shared" ref="AH25:AL25" si="37">AG25+($AC25-$X25)/($AC$22-$X$22)</f>
        <v>85.000000000000014</v>
      </c>
      <c r="AI25" s="249">
        <f t="shared" si="37"/>
        <v>86.200000000000017</v>
      </c>
      <c r="AJ25" s="249">
        <f t="shared" si="37"/>
        <v>87.40000000000002</v>
      </c>
      <c r="AK25" s="249">
        <f t="shared" si="37"/>
        <v>88.600000000000023</v>
      </c>
      <c r="AL25" s="249">
        <f t="shared" si="37"/>
        <v>89.800000000000026</v>
      </c>
    </row>
    <row r="26" spans="1:38">
      <c r="B26" s="253" t="s">
        <v>117</v>
      </c>
      <c r="C26" s="207"/>
      <c r="D26" s="254">
        <v>152</v>
      </c>
      <c r="E26" s="249">
        <f t="shared" si="32"/>
        <v>155.4</v>
      </c>
      <c r="F26" s="249">
        <f t="shared" si="32"/>
        <v>158.80000000000001</v>
      </c>
      <c r="G26" s="249">
        <f t="shared" si="32"/>
        <v>162.20000000000002</v>
      </c>
      <c r="H26" s="249">
        <f t="shared" si="32"/>
        <v>165.60000000000002</v>
      </c>
      <c r="I26" s="187">
        <v>169</v>
      </c>
      <c r="J26" s="249">
        <f t="shared" si="33"/>
        <v>172.6</v>
      </c>
      <c r="K26" s="249">
        <f t="shared" si="33"/>
        <v>176.2</v>
      </c>
      <c r="L26" s="249">
        <f t="shared" si="33"/>
        <v>179.79999999999998</v>
      </c>
      <c r="M26" s="249">
        <f t="shared" si="33"/>
        <v>183.39999999999998</v>
      </c>
      <c r="N26" s="187">
        <v>187</v>
      </c>
      <c r="O26" s="249">
        <f>N26+($S26-$N26)/($S$22-$N$22)</f>
        <v>190.8</v>
      </c>
      <c r="P26" s="249">
        <f t="shared" si="34"/>
        <v>194.60000000000002</v>
      </c>
      <c r="Q26" s="249">
        <f t="shared" si="34"/>
        <v>198.40000000000003</v>
      </c>
      <c r="R26" s="249">
        <f t="shared" si="34"/>
        <v>202.20000000000005</v>
      </c>
      <c r="S26" s="187">
        <v>206</v>
      </c>
      <c r="T26" s="249">
        <f>S26+($X26-$S26)/($X$22-$S$22)</f>
        <v>209.8</v>
      </c>
      <c r="U26" s="249">
        <f t="shared" si="35"/>
        <v>213.60000000000002</v>
      </c>
      <c r="V26" s="249">
        <f t="shared" si="35"/>
        <v>217.40000000000003</v>
      </c>
      <c r="W26" s="249">
        <f t="shared" si="35"/>
        <v>221.20000000000005</v>
      </c>
      <c r="X26" s="187">
        <v>225</v>
      </c>
      <c r="Y26" s="249">
        <f>X26+($AC26-$X26)/($AC$22-$X$22)</f>
        <v>228.4</v>
      </c>
      <c r="Z26" s="249">
        <f t="shared" si="36"/>
        <v>231.8</v>
      </c>
      <c r="AA26" s="249">
        <f t="shared" si="36"/>
        <v>235.20000000000002</v>
      </c>
      <c r="AB26" s="249">
        <f t="shared" si="36"/>
        <v>238.60000000000002</v>
      </c>
      <c r="AC26" s="187">
        <v>242</v>
      </c>
      <c r="AD26" s="249">
        <f>AC26+($AC26-$X26)/($AC$22-$X$22)</f>
        <v>245.4</v>
      </c>
      <c r="AE26" s="249">
        <f t="shared" ref="AE26:AG26" si="38">AD26+($AC26-$X26)/($AC$22-$X$22)</f>
        <v>248.8</v>
      </c>
      <c r="AF26" s="249">
        <f t="shared" si="38"/>
        <v>252.20000000000002</v>
      </c>
      <c r="AG26" s="249">
        <f t="shared" si="38"/>
        <v>255.60000000000002</v>
      </c>
      <c r="AH26" s="249">
        <f t="shared" ref="AH26:AK26" si="39">AG26+($AC26-$X26)/($AC$22-$X$22)</f>
        <v>259</v>
      </c>
      <c r="AI26" s="249">
        <f t="shared" si="39"/>
        <v>262.39999999999998</v>
      </c>
      <c r="AJ26" s="249">
        <f t="shared" si="39"/>
        <v>265.79999999999995</v>
      </c>
      <c r="AK26" s="249">
        <f t="shared" si="39"/>
        <v>269.19999999999993</v>
      </c>
      <c r="AL26" s="249">
        <f>AK26+($AC26-$X26)/($AC$22-$X$22)</f>
        <v>272.59999999999991</v>
      </c>
    </row>
    <row r="27" spans="1:38">
      <c r="B27" s="252" t="s">
        <v>118</v>
      </c>
      <c r="C27" s="207"/>
      <c r="D27" s="255">
        <f>D25*(1+'Other Inputs'!$C$11)^(D22-2020)</f>
        <v>51</v>
      </c>
      <c r="E27" s="249">
        <f>E25*(1+'Other Inputs'!$C$11)^(E22-2020)</f>
        <v>53.04</v>
      </c>
      <c r="F27" s="249">
        <f>F25*(1+'Other Inputs'!$C$11)^(F22-2020)</f>
        <v>55.141199999999998</v>
      </c>
      <c r="G27" s="249">
        <f>G25*(1+'Other Inputs'!$C$11)^(G22-2020)</f>
        <v>57.305231999999997</v>
      </c>
      <c r="H27" s="249">
        <f>H25*(1+'Other Inputs'!$C$11)^(H22-2020)</f>
        <v>59.533768799999997</v>
      </c>
      <c r="I27" s="249">
        <f>I25*(1+'Other Inputs'!$C$11)^(I22-2020)</f>
        <v>61.828524979199997</v>
      </c>
      <c r="J27" s="249">
        <f>J25*(1+'Other Inputs'!$C$11)^(J22-2020)</f>
        <v>64.4164903819008</v>
      </c>
      <c r="K27" s="249">
        <f>K25*(1+'Other Inputs'!$C$11)^(K22-2020)</f>
        <v>67.083242990717949</v>
      </c>
      <c r="L27" s="249">
        <f>L25*(1+'Other Inputs'!$C$11)^(L22-2020)</f>
        <v>69.830899107735036</v>
      </c>
      <c r="M27" s="249">
        <f>M25*(1+'Other Inputs'!$C$11)^(M22-2020)</f>
        <v>72.661628172236519</v>
      </c>
      <c r="N27" s="249">
        <f>N25*(1+'Other Inputs'!$C$11)^(N22-2020)</f>
        <v>75.57765403967494</v>
      </c>
      <c r="O27" s="249">
        <f>O25*(1+'Other Inputs'!$C$11)^(O22-2020)</f>
        <v>78.33258142886308</v>
      </c>
      <c r="P27" s="249">
        <f>P25*(1+'Other Inputs'!$C$11)^(P22-2020)</f>
        <v>81.167474852002897</v>
      </c>
      <c r="Q27" s="249">
        <f>Q25*(1+'Other Inputs'!$C$11)^(Q22-2020)</f>
        <v>84.084430979496744</v>
      </c>
      <c r="R27" s="249">
        <f>R25*(1+'Other Inputs'!$C$11)^(R22-2020)</f>
        <v>87.085598362149568</v>
      </c>
      <c r="S27" s="249">
        <f>S25*(1+'Other Inputs'!$C$11)^(S22-2020)</f>
        <v>90.173178667716655</v>
      </c>
      <c r="T27" s="249">
        <f>T25*(1+'Other Inputs'!$C$11)^(T22-2020)</f>
        <v>93.623985087179747</v>
      </c>
      <c r="U27" s="249">
        <f>U25*(1+'Other Inputs'!$C$11)^(U22-2020)</f>
        <v>97.176754491954256</v>
      </c>
      <c r="V27" s="249">
        <f>V25*(1+'Other Inputs'!$C$11)^(V22-2020)</f>
        <v>100.83418507888487</v>
      </c>
      <c r="W27" s="249">
        <f>W25*(1+'Other Inputs'!$C$11)^(W22-2020)</f>
        <v>104.59904218749593</v>
      </c>
      <c r="X27" s="249">
        <f>X25*(1+'Other Inputs'!$C$11)^(X22-2020)</f>
        <v>108.47415990641986</v>
      </c>
      <c r="Y27" s="249">
        <f>Y25*(1+'Other Inputs'!$C$11)^(Y22-2020)</f>
        <v>112.46244271722576</v>
      </c>
      <c r="Z27" s="249">
        <f>Z25*(1+'Other Inputs'!$C$11)^(Z22-2020)</f>
        <v>116.56686717650133</v>
      </c>
      <c r="AA27" s="249">
        <f>AA25*(1+'Other Inputs'!$C$11)^(AA22-2020)</f>
        <v>120.79048363706103</v>
      </c>
      <c r="AB27" s="249">
        <f>AB25*(1+'Other Inputs'!$C$11)^(AB22-2020)</f>
        <v>125.13641800917253</v>
      </c>
      <c r="AC27" s="249">
        <f>AC25*(1+'Other Inputs'!$C$11)^(AC22-2020)</f>
        <v>129.60787356271362</v>
      </c>
      <c r="AD27" s="249">
        <f>AD25*(1+'Other Inputs'!$C$11)^(AD22-2020)</f>
        <v>134.20813277119277</v>
      </c>
      <c r="AE27" s="249">
        <f>AE25*(1+'Other Inputs'!$C$11)^(AE22-2020)</f>
        <v>138.9405591985859</v>
      </c>
      <c r="AF27" s="249">
        <f>AF25*(1+'Other Inputs'!$C$11)^(AF22-2020)</f>
        <v>143.80859942996639</v>
      </c>
      <c r="AG27" s="249">
        <f>AG25*(1+'Other Inputs'!$C$11)^(AG22-2020)</f>
        <v>148.81578504692257</v>
      </c>
      <c r="AH27" s="249">
        <f>AH25*(1+'Other Inputs'!$C$11)^(AH22-2020)</f>
        <v>153.96573464878506</v>
      </c>
      <c r="AI27" s="249">
        <f>AI25*(1+'Other Inputs'!$C$11)^(AI22-2020)</f>
        <v>159.26215592070324</v>
      </c>
      <c r="AJ27" s="249">
        <f>AJ25*(1+'Other Inputs'!$C$11)^(AJ22-2020)</f>
        <v>164.70884774963869</v>
      </c>
      <c r="AK27" s="249">
        <f>AK25*(1+'Other Inputs'!$C$11)^(AK22-2020)</f>
        <v>170.30970238936328</v>
      </c>
      <c r="AL27" s="249">
        <f>AL25*(1+'Other Inputs'!$C$11)^(AL22-2020)</f>
        <v>176.06870767557695</v>
      </c>
    </row>
    <row r="28" spans="1:38">
      <c r="B28" s="253" t="s">
        <v>119</v>
      </c>
      <c r="C28" s="208"/>
      <c r="D28" s="255">
        <f>D26*(1+'Other Inputs'!$C$11)^(D22-2020)</f>
        <v>152</v>
      </c>
      <c r="E28" s="249">
        <f>E26*(1+'Other Inputs'!$C$11)^(E22-2020)</f>
        <v>158.50800000000001</v>
      </c>
      <c r="F28" s="249">
        <f>F26*(1+'Other Inputs'!$C$11)^(F22-2020)</f>
        <v>165.21552</v>
      </c>
      <c r="G28" s="249">
        <f>G26*(1+'Other Inputs'!$C$11)^(G22-2020)</f>
        <v>172.1279376</v>
      </c>
      <c r="H28" s="249">
        <f>H26*(1+'Other Inputs'!$C$11)^(H22-2020)</f>
        <v>179.25076569600003</v>
      </c>
      <c r="I28" s="249">
        <f>I26*(1+'Other Inputs'!$C$11)^(I22-2020)</f>
        <v>186.5896557408</v>
      </c>
      <c r="J28" s="249">
        <f>J26*(1+'Other Inputs'!$C$11)^(J22-2020)</f>
        <v>194.37563356496639</v>
      </c>
      <c r="K28" s="249">
        <f>K26*(1+'Other Inputs'!$C$11)^(K22-2020)</f>
        <v>202.39841463980309</v>
      </c>
      <c r="L28" s="249">
        <f>L26*(1+'Other Inputs'!$C$11)^(L22-2020)</f>
        <v>210.66435670420731</v>
      </c>
      <c r="M28" s="249">
        <f>M26*(1+'Other Inputs'!$C$11)^(M22-2020)</f>
        <v>219.17997708533179</v>
      </c>
      <c r="N28" s="249">
        <f>N26*(1+'Other Inputs'!$C$11)^(N22-2020)</f>
        <v>227.95195653901959</v>
      </c>
      <c r="O28" s="249">
        <f>O26*(1+'Other Inputs'!$C$11)^(O22-2020)</f>
        <v>237.23581804169962</v>
      </c>
      <c r="P28" s="249">
        <f>P26*(1+'Other Inputs'!$C$11)^(P22-2020)</f>
        <v>246.79985322187133</v>
      </c>
      <c r="Q28" s="249">
        <f>Q26*(1+'Other Inputs'!$C$11)^(Q22-2020)</f>
        <v>256.65155548203319</v>
      </c>
      <c r="R28" s="249">
        <f>R26*(1+'Other Inputs'!$C$11)^(R22-2020)</f>
        <v>266.79860589131283</v>
      </c>
      <c r="S28" s="249">
        <f>S26*(1+'Other Inputs'!$C$11)^(S22-2020)</f>
        <v>277.24887769477061</v>
      </c>
      <c r="T28" s="249">
        <f>T26*(1+'Other Inputs'!$C$11)^(T22-2020)</f>
        <v>288.01044092801044</v>
      </c>
      <c r="U28" s="249">
        <f>U26*(1+'Other Inputs'!$C$11)^(U22-2020)</f>
        <v>299.09156713950188</v>
      </c>
      <c r="V28" s="249">
        <f>V26*(1+'Other Inputs'!$C$11)^(V22-2020)</f>
        <v>310.50073422308174</v>
      </c>
      <c r="W28" s="249">
        <f>W26*(1+'Other Inputs'!$C$11)^(W22-2020)</f>
        <v>322.24663136314899</v>
      </c>
      <c r="X28" s="249">
        <f>X26*(1+'Other Inputs'!$C$11)^(X22-2020)</f>
        <v>334.33816409512968</v>
      </c>
      <c r="Y28" s="249">
        <f>Y26*(1+'Other Inputs'!$C$11)^(Y22-2020)</f>
        <v>346.17819294628521</v>
      </c>
      <c r="Z28" s="249">
        <f>Z26*(1+'Other Inputs'!$C$11)^(Z22-2020)</f>
        <v>358.35808768584894</v>
      </c>
      <c r="AA28" s="249">
        <f>AA26*(1+'Other Inputs'!$C$11)^(AA22-2020)</f>
        <v>370.8867069378166</v>
      </c>
      <c r="AB28" s="249">
        <f>AB26*(1+'Other Inputs'!$C$11)^(AB22-2020)</f>
        <v>383.77312772478871</v>
      </c>
      <c r="AC28" s="249">
        <f>AC26*(1+'Other Inputs'!$C$11)^(AC22-2020)</f>
        <v>397.02665066046455</v>
      </c>
      <c r="AD28" s="249">
        <f>AD26*(1+'Other Inputs'!$C$11)^(AD22-2020)</f>
        <v>410.65680526247758</v>
      </c>
      <c r="AE28" s="249">
        <f>AE26*(1+'Other Inputs'!$C$11)^(AE22-2020)</f>
        <v>424.67335538830679</v>
      </c>
      <c r="AF28" s="249">
        <f>AF26*(1+'Other Inputs'!$C$11)^(AF22-2020)</f>
        <v>439.08630479706443</v>
      </c>
      <c r="AG28" s="249">
        <f>AG26*(1+'Other Inputs'!$C$11)^(AG22-2020)</f>
        <v>453.90590284001684</v>
      </c>
      <c r="AH28" s="249">
        <f>AH26*(1+'Other Inputs'!$C$11)^(AH22-2020)</f>
        <v>469.14265028276856</v>
      </c>
      <c r="AI28" s="249">
        <f>AI26*(1+'Other Inputs'!$C$11)^(AI22-2020)</f>
        <v>484.80730526209419</v>
      </c>
      <c r="AJ28" s="249">
        <f>AJ26*(1+'Other Inputs'!$C$11)^(AJ22-2020)</f>
        <v>500.91088938048</v>
      </c>
      <c r="AK28" s="249">
        <f>AK26*(1+'Other Inputs'!$C$11)^(AK22-2020)</f>
        <v>517.46469394149631</v>
      </c>
      <c r="AL28" s="249">
        <f>AL26*(1+'Other Inputs'!$C$11)^(AL22-2020)</f>
        <v>534.48028632920091</v>
      </c>
    </row>
    <row r="29" spans="1:38">
      <c r="C29" s="78"/>
      <c r="D29" s="78"/>
      <c r="E29" s="78"/>
      <c r="F29" s="78"/>
      <c r="G29" s="78"/>
      <c r="H29" s="78"/>
      <c r="I29" s="78"/>
      <c r="J29" s="78"/>
      <c r="K29" s="78"/>
      <c r="L29" s="78"/>
      <c r="M29" s="78"/>
      <c r="N29" s="78"/>
      <c r="O29" s="79"/>
      <c r="P29" s="79"/>
      <c r="Q29" s="79"/>
      <c r="R29" s="79"/>
      <c r="S29" s="78"/>
      <c r="T29" s="78"/>
      <c r="U29" s="78"/>
      <c r="V29" s="78"/>
    </row>
    <row r="30" spans="1:38">
      <c r="B30" s="221" t="s">
        <v>120</v>
      </c>
      <c r="C30" s="223"/>
      <c r="D30" s="223">
        <v>2020</v>
      </c>
      <c r="E30" s="223">
        <v>2021</v>
      </c>
      <c r="F30" s="223">
        <v>2022</v>
      </c>
      <c r="G30" s="223">
        <v>2023</v>
      </c>
      <c r="H30" s="223">
        <v>2024</v>
      </c>
      <c r="I30" s="223">
        <v>2025</v>
      </c>
      <c r="J30" s="223">
        <v>2026</v>
      </c>
      <c r="K30" s="223">
        <v>2027</v>
      </c>
      <c r="L30" s="223">
        <v>2028</v>
      </c>
      <c r="M30" s="223">
        <v>2029</v>
      </c>
      <c r="N30" s="223">
        <v>2030</v>
      </c>
      <c r="O30" s="223">
        <v>2031</v>
      </c>
      <c r="P30" s="223">
        <v>2032</v>
      </c>
      <c r="Q30" s="223">
        <v>2033</v>
      </c>
      <c r="R30" s="223">
        <v>2034</v>
      </c>
      <c r="S30" s="223">
        <v>2035</v>
      </c>
      <c r="T30" s="223">
        <v>2036</v>
      </c>
      <c r="U30" s="223">
        <v>2037</v>
      </c>
      <c r="V30" s="223">
        <v>2038</v>
      </c>
      <c r="W30" s="223">
        <v>2039</v>
      </c>
      <c r="X30" s="223">
        <v>2040</v>
      </c>
      <c r="Y30" s="223">
        <v>2041</v>
      </c>
      <c r="Z30" s="223">
        <v>2042</v>
      </c>
      <c r="AA30" s="223">
        <v>2043</v>
      </c>
      <c r="AB30" s="223">
        <v>2044</v>
      </c>
      <c r="AC30" s="223">
        <v>2045</v>
      </c>
      <c r="AD30" s="223">
        <v>2046</v>
      </c>
      <c r="AE30" s="223">
        <v>2047</v>
      </c>
      <c r="AF30" s="223">
        <v>2048</v>
      </c>
      <c r="AG30" s="223">
        <v>2049</v>
      </c>
      <c r="AH30" s="223">
        <v>2050</v>
      </c>
      <c r="AI30" s="223">
        <v>2051</v>
      </c>
      <c r="AJ30" s="223">
        <v>2052</v>
      </c>
      <c r="AK30" s="223">
        <v>2053</v>
      </c>
      <c r="AL30" s="223">
        <v>2054</v>
      </c>
    </row>
    <row r="31" spans="1:38">
      <c r="A31" s="83"/>
      <c r="B31" s="256" t="s">
        <v>115</v>
      </c>
      <c r="C31" s="206"/>
      <c r="D31" s="251">
        <f>IF('User Dashboard'!$C$10="TRC",0,D24)*('User Dashboard'!$C$34/MAX(Emissions!$F$6:$F$12))</f>
        <v>0</v>
      </c>
      <c r="E31" s="251">
        <f>IF('User Dashboard'!$C$10="TRC",0,E24)*('User Dashboard'!$C$34/MAX(Emissions!$F$6:$F$12))</f>
        <v>0</v>
      </c>
      <c r="F31" s="251">
        <f>IF('User Dashboard'!$C$10="TRC",0,F24)*('User Dashboard'!$C$34/MAX(Emissions!$F$6:$F$12))</f>
        <v>0</v>
      </c>
      <c r="G31" s="251">
        <f>IF('User Dashboard'!$C$10="TRC",0,G24)*('User Dashboard'!$C$34/MAX(Emissions!$F$6:$F$12))</f>
        <v>0</v>
      </c>
      <c r="H31" s="251">
        <f>IF('User Dashboard'!$C$10="TRC",0,H24)*('User Dashboard'!$C$34/MAX(Emissions!$F$6:$F$12))</f>
        <v>0</v>
      </c>
      <c r="I31" s="251">
        <f>IF('User Dashboard'!$C$10="TRC",0,I24)*('User Dashboard'!$C$34/MAX(Emissions!$F$6:$F$12))</f>
        <v>0</v>
      </c>
      <c r="J31" s="251">
        <f>IF('User Dashboard'!$C$10="TRC",0,J24)*('User Dashboard'!$C$34/MAX(Emissions!$F$6:$F$12))</f>
        <v>0</v>
      </c>
      <c r="K31" s="251">
        <f>IF('User Dashboard'!$C$10="TRC",0,K24)*('User Dashboard'!$C$34/MAX(Emissions!$F$6:$F$12))</f>
        <v>0</v>
      </c>
      <c r="L31" s="251">
        <f>IF('User Dashboard'!$C$10="TRC",0,L24)*('User Dashboard'!$C$34/MAX(Emissions!$F$6:$F$12))</f>
        <v>0</v>
      </c>
      <c r="M31" s="251">
        <f>IF('User Dashboard'!$C$10="TRC",0,M24)*('User Dashboard'!$C$34/MAX(Emissions!$F$6:$F$12))</f>
        <v>0</v>
      </c>
      <c r="N31" s="251">
        <f>IF('User Dashboard'!$C$10="TRC",0,N24)*('User Dashboard'!$C$34/MAX(Emissions!$F$6:$F$12))</f>
        <v>0</v>
      </c>
      <c r="O31" s="251">
        <f>IF('User Dashboard'!$C$10="TRC",0,O24)*('User Dashboard'!$C$34/MAX(Emissions!$F$6:$F$12))</f>
        <v>0</v>
      </c>
      <c r="P31" s="251">
        <f>IF('User Dashboard'!$C$10="TRC",0,P24)*('User Dashboard'!$C$34/MAX(Emissions!$F$6:$F$12))</f>
        <v>0</v>
      </c>
      <c r="Q31" s="251">
        <f>IF('User Dashboard'!$C$10="TRC",0,Q24)*('User Dashboard'!$C$34/MAX(Emissions!$F$6:$F$12))</f>
        <v>0</v>
      </c>
      <c r="R31" s="251">
        <f>IF('User Dashboard'!$C$10="TRC",0,R24)*('User Dashboard'!$C$34/MAX(Emissions!$F$6:$F$12))</f>
        <v>0</v>
      </c>
      <c r="S31" s="251">
        <f>IF('User Dashboard'!$C$10="TRC",0,S24)*('User Dashboard'!$C$34/MAX(Emissions!$F$6:$F$12))</f>
        <v>0</v>
      </c>
      <c r="T31" s="251">
        <f>IF('User Dashboard'!$C$10="TRC",0,T24)*('User Dashboard'!$C$34/MAX(Emissions!$F$6:$F$12))</f>
        <v>0</v>
      </c>
      <c r="U31" s="251">
        <f>IF('User Dashboard'!$C$10="TRC",0,U24)*('User Dashboard'!$C$34/MAX(Emissions!$F$6:$F$12))</f>
        <v>0</v>
      </c>
      <c r="V31" s="251">
        <f>IF('User Dashboard'!$C$10="TRC",0,V24)*('User Dashboard'!$C$34/MAX(Emissions!$F$6:$F$12))</f>
        <v>0</v>
      </c>
      <c r="W31" s="251">
        <f>IF('User Dashboard'!$C$10="TRC",0,W24)*('User Dashboard'!$C$34/MAX(Emissions!$F$6:$F$12))</f>
        <v>0</v>
      </c>
      <c r="X31" s="251">
        <f>IF('User Dashboard'!$C$10="TRC",0,X24)*('User Dashboard'!$C$34/MAX(Emissions!$F$6:$F$12))</f>
        <v>0</v>
      </c>
      <c r="Y31" s="251">
        <f>IF('User Dashboard'!$C$10="TRC",0,Y24)*('User Dashboard'!$C$34/MAX(Emissions!$F$6:$F$12))</f>
        <v>0</v>
      </c>
      <c r="Z31" s="251">
        <f>IF('User Dashboard'!$C$10="TRC",0,Z24)*('User Dashboard'!$C$34/MAX(Emissions!$F$6:$F$12))</f>
        <v>0</v>
      </c>
      <c r="AA31" s="251">
        <f>IF('User Dashboard'!$C$10="TRC",0,AA24)*('User Dashboard'!$C$34/MAX(Emissions!$F$6:$F$12))</f>
        <v>0</v>
      </c>
      <c r="AB31" s="251">
        <f>IF('User Dashboard'!$C$10="TRC",0,AB24)*('User Dashboard'!$C$34/MAX(Emissions!$F$6:$F$12))</f>
        <v>0</v>
      </c>
      <c r="AC31" s="251">
        <f>IF('User Dashboard'!$C$10="TRC",0,AC24)*('User Dashboard'!$C$34/MAX(Emissions!$F$6:$F$12))</f>
        <v>0</v>
      </c>
      <c r="AD31" s="251">
        <f>IF('User Dashboard'!$C$10="TRC",0,AD24)*('User Dashboard'!$C$34/MAX(Emissions!$F$6:$F$12))</f>
        <v>0</v>
      </c>
      <c r="AE31" s="251">
        <f>IF('User Dashboard'!$C$10="TRC",0,AE24)*('User Dashboard'!$C$34/MAX(Emissions!$F$6:$F$12))</f>
        <v>0</v>
      </c>
      <c r="AF31" s="251">
        <f>IF('User Dashboard'!$C$10="TRC",0,AF24)*('User Dashboard'!$C$34/MAX(Emissions!$F$6:$F$12))</f>
        <v>0</v>
      </c>
      <c r="AG31" s="251">
        <f>IF('User Dashboard'!$C$10="TRC",0,AG24)*('User Dashboard'!$C$34/MAX(Emissions!$F$6:$F$12))</f>
        <v>0</v>
      </c>
      <c r="AH31" s="251">
        <f>IF('User Dashboard'!$C$10="TRC",0,AH24)*('User Dashboard'!$C$34/MAX(Emissions!$F$6:$F$12))</f>
        <v>0</v>
      </c>
      <c r="AI31" s="251">
        <f>IF('User Dashboard'!$C$10="TRC",0,AI24)*('User Dashboard'!$C$34/MAX(Emissions!$F$6:$F$12))</f>
        <v>0</v>
      </c>
      <c r="AJ31" s="251">
        <f>IF('User Dashboard'!$C$10="TRC",0,AJ24)*('User Dashboard'!$C$34/MAX(Emissions!$F$6:$F$12))</f>
        <v>0</v>
      </c>
      <c r="AK31" s="251">
        <f>IF('User Dashboard'!$C$10="TRC",0,AK24)*('User Dashboard'!$C$34/MAX(Emissions!$F$6:$F$12))</f>
        <v>0</v>
      </c>
      <c r="AL31" s="251">
        <f>IF('User Dashboard'!$C$10="TRC",0,AL24)*('User Dashboard'!$C$34/MAX(Emissions!$F$6:$F$12))</f>
        <v>0</v>
      </c>
    </row>
    <row r="32" spans="1:38">
      <c r="B32" s="256" t="s">
        <v>121</v>
      </c>
      <c r="C32" s="207"/>
      <c r="D32" s="251">
        <f>IF('User Dashboard'!$C$10="TRC",D18,0)</f>
        <v>0.1222407241968221</v>
      </c>
      <c r="E32" s="251">
        <f>IF('User Dashboard'!$C$10="TRC",E18,0)</f>
        <v>0.13446479661650432</v>
      </c>
      <c r="F32" s="251">
        <f>IF('User Dashboard'!$C$10="TRC",F18,0)</f>
        <v>0.14791127627815473</v>
      </c>
      <c r="G32" s="251">
        <f>IF('User Dashboard'!$C$10="TRC",G18,0)</f>
        <v>0.16270240390597024</v>
      </c>
      <c r="H32" s="251">
        <f>IF('User Dashboard'!$C$10="TRC",H18,0)</f>
        <v>0.17433527573226709</v>
      </c>
      <c r="I32" s="251">
        <f>IF('User Dashboard'!$C$10="TRC",I18,0)</f>
        <v>0.18721722550399109</v>
      </c>
      <c r="J32" s="251">
        <f>IF('User Dashboard'!$C$10="TRC",J18,0)</f>
        <v>0.20009917527571061</v>
      </c>
      <c r="K32" s="251">
        <f>IF('User Dashboard'!$C$10="TRC",K18,0)</f>
        <v>0.21298112504743458</v>
      </c>
      <c r="L32" s="251">
        <f>IF('User Dashboard'!$C$10="TRC",L18,0)</f>
        <v>0.22586307481915854</v>
      </c>
      <c r="M32" s="251">
        <f>IF('User Dashboard'!$C$10="TRC",M18,0)</f>
        <v>0.23874502459088251</v>
      </c>
      <c r="N32" s="251">
        <f>IF('User Dashboard'!$C$10="TRC",N18,0)</f>
        <v>0.2516269743626065</v>
      </c>
      <c r="O32" s="251">
        <f>IF('User Dashboard'!$C$10="TRC",O18,0)</f>
        <v>0.26450892413433047</v>
      </c>
      <c r="P32" s="251">
        <f>IF('User Dashboard'!$C$10="TRC",P18,0)</f>
        <v>0.27739087390605</v>
      </c>
      <c r="Q32" s="251">
        <f>IF('User Dashboard'!$C$10="TRC",Q18,0)</f>
        <v>0.29027282367777396</v>
      </c>
      <c r="R32" s="251">
        <f>IF('User Dashboard'!$C$10="TRC",R18,0)</f>
        <v>0.30315477344949793</v>
      </c>
      <c r="S32" s="251">
        <f>IF('User Dashboard'!$C$10="TRC",S18,0)</f>
        <v>0.31603672322122189</v>
      </c>
      <c r="T32" s="251">
        <f>IF('User Dashboard'!$C$10="TRC",T18,0)</f>
        <v>0.32891867299294592</v>
      </c>
      <c r="U32" s="251">
        <f>IF('User Dashboard'!$C$10="TRC",U18,0)</f>
        <v>0.34180062276466988</v>
      </c>
      <c r="V32" s="251">
        <f>IF('User Dashboard'!$C$10="TRC",V18,0)</f>
        <v>0.35468257253639385</v>
      </c>
      <c r="W32" s="251">
        <f>IF('User Dashboard'!$C$10="TRC",W18,0)</f>
        <v>0.36756452230811337</v>
      </c>
      <c r="X32" s="251">
        <f>IF('User Dashboard'!$C$10="TRC",X18,0)</f>
        <v>0.38044647207983734</v>
      </c>
      <c r="Y32" s="251">
        <f>IF('User Dashboard'!$C$10="TRC",Y18,0)</f>
        <v>0.39332842185156131</v>
      </c>
      <c r="Z32" s="251">
        <f>IF('User Dashboard'!$C$10="TRC",Z18,0)</f>
        <v>0.40621037162328527</v>
      </c>
      <c r="AA32" s="251">
        <f>IF('User Dashboard'!$C$10="TRC",AA18,0)</f>
        <v>0.41909232139500924</v>
      </c>
      <c r="AB32" s="251">
        <f>IF('User Dashboard'!$C$10="TRC",AB18,0)</f>
        <v>0.43197427116673326</v>
      </c>
      <c r="AC32" s="251">
        <f>IF('User Dashboard'!$C$10="TRC",AC18,0)</f>
        <v>0.44485622093845273</v>
      </c>
      <c r="AD32" s="251">
        <f>IF('User Dashboard'!$C$10="TRC",AD18,0)</f>
        <v>0.45773817071017675</v>
      </c>
      <c r="AE32" s="251">
        <f>IF('User Dashboard'!$C$10="TRC",AE18,0)</f>
        <v>0.47062012048190072</v>
      </c>
      <c r="AF32" s="251">
        <f>IF('User Dashboard'!$C$10="TRC",AF18,0)</f>
        <v>0.48350207025362468</v>
      </c>
      <c r="AG32" s="251">
        <f>IF('User Dashboard'!$C$10="TRC",AG18,0)</f>
        <v>0.49638402002534865</v>
      </c>
      <c r="AH32" s="251">
        <f>IF('User Dashboard'!$C$10="TRC",AH18,0)</f>
        <v>0.50926596979707262</v>
      </c>
      <c r="AI32" s="251">
        <f>IF('User Dashboard'!$C$10="TRC",AI18,0)</f>
        <v>0.52214791956879658</v>
      </c>
      <c r="AJ32" s="251">
        <f>IF('User Dashboard'!$C$10="TRC",AJ18,0)</f>
        <v>0.53502986934051611</v>
      </c>
      <c r="AK32" s="251">
        <f>IF('User Dashboard'!$C$10="TRC",AK18,0)</f>
        <v>0.54791181911224007</v>
      </c>
      <c r="AL32" s="251">
        <f>IF('User Dashboard'!$C$10="TRC",AL18,0)</f>
        <v>0.56079376888396404</v>
      </c>
    </row>
    <row r="33" spans="2:38">
      <c r="B33" s="256" t="s">
        <v>122</v>
      </c>
      <c r="C33" s="208"/>
      <c r="D33" s="251">
        <f>IF('User Dashboard'!$C$10="TRC",D19,MAX(IF('User Dashboard'!$C$11="Base",D27,D28),D19))</f>
        <v>114</v>
      </c>
      <c r="E33" s="250">
        <f>IF('User Dashboard'!$C$10="TRC",E19,MAX(IF('User Dashboard'!$C$11="Base",E27,E28),E19))</f>
        <v>114</v>
      </c>
      <c r="F33" s="250">
        <f>IF('User Dashboard'!$C$10="TRC",F19,MAX(IF('User Dashboard'!$C$11="Base",F27,F28),F19))</f>
        <v>114</v>
      </c>
      <c r="G33" s="250">
        <f>IF('User Dashboard'!$C$10="TRC",G19,MAX(IF('User Dashboard'!$C$11="Base",G27,G28),G19))</f>
        <v>114</v>
      </c>
      <c r="H33" s="250">
        <f>IF('User Dashboard'!$C$10="TRC",H19,MAX(IF('User Dashboard'!$C$11="Base",H27,H28),H19))</f>
        <v>114</v>
      </c>
      <c r="I33" s="250">
        <f>IF('User Dashboard'!$C$10="TRC",I19,MAX(IF('User Dashboard'!$C$11="Base",I27,I28),I19))</f>
        <v>114</v>
      </c>
      <c r="J33" s="250">
        <f>IF('User Dashboard'!$C$10="TRC",J19,MAX(IF('User Dashboard'!$C$11="Base",J27,J28),J19))</f>
        <v>114</v>
      </c>
      <c r="K33" s="250">
        <f>IF('User Dashboard'!$C$10="TRC",K19,MAX(IF('User Dashboard'!$C$11="Base",K27,K28),K19))</f>
        <v>114</v>
      </c>
      <c r="L33" s="250">
        <f>IF('User Dashboard'!$C$10="TRC",L19,MAX(IF('User Dashboard'!$C$11="Base",L27,L28),L19))</f>
        <v>114</v>
      </c>
      <c r="M33" s="250">
        <f>IF('User Dashboard'!$C$10="TRC",M19,MAX(IF('User Dashboard'!$C$11="Base",M27,M28),M19))</f>
        <v>114</v>
      </c>
      <c r="N33" s="250">
        <f>IF('User Dashboard'!$C$10="TRC",N19,MAX(IF('User Dashboard'!$C$11="Base",N27,N28),N19))</f>
        <v>114</v>
      </c>
      <c r="O33" s="250">
        <f>IF('User Dashboard'!$C$10="TRC",O19,MAX(IF('User Dashboard'!$C$11="Base",O27,O28),O19))</f>
        <v>114</v>
      </c>
      <c r="P33" s="250">
        <f>IF('User Dashboard'!$C$10="TRC",P19,MAX(IF('User Dashboard'!$C$11="Base",P27,P28),P19))</f>
        <v>114</v>
      </c>
      <c r="Q33" s="250">
        <f>IF('User Dashboard'!$C$10="TRC",Q19,MAX(IF('User Dashboard'!$C$11="Base",Q27,Q28),Q19))</f>
        <v>114</v>
      </c>
      <c r="R33" s="250">
        <f>IF('User Dashboard'!$C$10="TRC",R19,MAX(IF('User Dashboard'!$C$11="Base",R27,R28),R19))</f>
        <v>114</v>
      </c>
      <c r="S33" s="250">
        <f>IF('User Dashboard'!$C$10="TRC",S19,MAX(IF('User Dashboard'!$C$11="Base",S27,S28),S19))</f>
        <v>114</v>
      </c>
      <c r="T33" s="250">
        <f>IF('User Dashboard'!$C$10="TRC",T19,MAX(IF('User Dashboard'!$C$11="Base",T27,T28),T19))</f>
        <v>114</v>
      </c>
      <c r="U33" s="250">
        <f>IF('User Dashboard'!$C$10="TRC",U19,MAX(IF('User Dashboard'!$C$11="Base",U27,U28),U19))</f>
        <v>114</v>
      </c>
      <c r="V33" s="250">
        <f>IF('User Dashboard'!$C$10="TRC",V19,MAX(IF('User Dashboard'!$C$11="Base",V27,V28),V19))</f>
        <v>114</v>
      </c>
      <c r="W33" s="250">
        <f>IF('User Dashboard'!$C$10="TRC",W19,MAX(IF('User Dashboard'!$C$11="Base",W27,W28),W19))</f>
        <v>114</v>
      </c>
      <c r="X33" s="250">
        <f>IF('User Dashboard'!$C$10="TRC",X19,MAX(IF('User Dashboard'!$C$11="Base",X27,X28),X19))</f>
        <v>114</v>
      </c>
      <c r="Y33" s="250">
        <f>IF('User Dashboard'!$C$10="TRC",Y19,MAX(IF('User Dashboard'!$C$11="Base",Y27,Y28),Y19))</f>
        <v>114</v>
      </c>
      <c r="Z33" s="250">
        <f>IF('User Dashboard'!$C$10="TRC",Z19,MAX(IF('User Dashboard'!$C$11="Base",Z27,Z28),Z19))</f>
        <v>114</v>
      </c>
      <c r="AA33" s="250">
        <f>IF('User Dashboard'!$C$10="TRC",AA19,MAX(IF('User Dashboard'!$C$11="Base",AA27,AA28),AA19))</f>
        <v>114</v>
      </c>
      <c r="AB33" s="250">
        <f>IF('User Dashboard'!$C$10="TRC",AB19,MAX(IF('User Dashboard'!$C$11="Base",AB27,AB28),AB19))</f>
        <v>114</v>
      </c>
      <c r="AC33" s="250">
        <f>IF('User Dashboard'!$C$10="TRC",AC19,MAX(IF('User Dashboard'!$C$11="Base",AC27,AC28),AC19))</f>
        <v>114</v>
      </c>
      <c r="AD33" s="250">
        <f>IF('User Dashboard'!$C$10="TRC",AD19,MAX(IF('User Dashboard'!$C$11="Base",AD27,AD28),AD19))</f>
        <v>114</v>
      </c>
      <c r="AE33" s="250">
        <f>IF('User Dashboard'!$C$10="TRC",AE19,MAX(IF('User Dashboard'!$C$11="Base",AE27,AE28),AE19))</f>
        <v>114</v>
      </c>
      <c r="AF33" s="250">
        <f>IF('User Dashboard'!$C$10="TRC",AF19,MAX(IF('User Dashboard'!$C$11="Base",AF27,AF28),AF19))</f>
        <v>114</v>
      </c>
      <c r="AG33" s="250">
        <f>IF('User Dashboard'!$C$10="TRC",AG19,MAX(IF('User Dashboard'!$C$11="Base",AG27,AG28),AG19))</f>
        <v>114</v>
      </c>
      <c r="AH33" s="250">
        <f>IF('User Dashboard'!$C$10="TRC",AH19,MAX(IF('User Dashboard'!$C$11="Base",AH27,AH28),AH19))</f>
        <v>114</v>
      </c>
      <c r="AI33" s="250">
        <f>IF('User Dashboard'!$C$10="TRC",AI19,MAX(IF('User Dashboard'!$C$11="Base",AI27,AI28),AI19))</f>
        <v>114</v>
      </c>
      <c r="AJ33" s="250">
        <f>IF('User Dashboard'!$C$10="TRC",AJ19,MAX(IF('User Dashboard'!$C$11="Base",AJ27,AJ28),AJ19))</f>
        <v>114</v>
      </c>
      <c r="AK33" s="250">
        <f>IF('User Dashboard'!$C$10="TRC",AK19,MAX(IF('User Dashboard'!$C$11="Base",AK27,AK28),AK19))</f>
        <v>114</v>
      </c>
      <c r="AL33" s="250">
        <f>IF('User Dashboard'!$C$10="TRC",AL19,MAX(IF('User Dashboard'!$C$11="Base",AL27,AL28),AL19))</f>
        <v>114</v>
      </c>
    </row>
    <row r="34" spans="2:38">
      <c r="B34" s="328"/>
      <c r="D34" s="79"/>
      <c r="E34" s="79"/>
      <c r="F34" s="79"/>
      <c r="G34" s="79"/>
      <c r="H34" s="79"/>
      <c r="I34" s="79"/>
      <c r="J34" s="79"/>
      <c r="K34" s="79"/>
      <c r="L34" s="79"/>
      <c r="M34" s="79"/>
      <c r="N34" s="79"/>
      <c r="O34" s="79"/>
      <c r="P34" s="79"/>
      <c r="Q34" s="79"/>
      <c r="R34" s="79"/>
      <c r="S34" s="79"/>
      <c r="T34" s="79"/>
      <c r="U34" s="79"/>
      <c r="V34" s="79"/>
    </row>
    <row r="35" spans="2:38">
      <c r="C35" s="78"/>
      <c r="D35" s="78"/>
      <c r="E35" s="78"/>
      <c r="F35" s="78"/>
      <c r="G35" s="78"/>
      <c r="H35" s="78"/>
      <c r="I35" s="78"/>
      <c r="J35" s="78"/>
      <c r="K35" s="78"/>
      <c r="L35" s="78"/>
      <c r="M35" s="78"/>
      <c r="N35" s="78"/>
      <c r="O35" s="78"/>
      <c r="P35" s="78"/>
      <c r="Q35" s="78"/>
      <c r="R35" s="78"/>
      <c r="S35" s="78"/>
      <c r="T35" s="78"/>
      <c r="U35" s="78"/>
      <c r="V35" s="78"/>
    </row>
    <row r="36" spans="2:38">
      <c r="C36" s="78"/>
      <c r="D36" s="78"/>
      <c r="E36" s="78"/>
      <c r="F36" s="78"/>
      <c r="G36" s="78"/>
      <c r="H36" s="78"/>
      <c r="I36" s="78"/>
      <c r="J36" s="78"/>
      <c r="K36" s="78"/>
      <c r="L36" s="78"/>
      <c r="M36" s="78"/>
      <c r="N36" s="78"/>
      <c r="O36" s="78"/>
      <c r="P36" s="78"/>
      <c r="Q36" s="78"/>
      <c r="R36" s="78"/>
      <c r="S36" s="78"/>
      <c r="T36" s="78"/>
      <c r="U36" s="78"/>
      <c r="V36" s="78"/>
    </row>
    <row r="37" spans="2:38">
      <c r="C37" s="78"/>
      <c r="D37" s="78"/>
      <c r="E37" s="78"/>
      <c r="F37" s="78"/>
      <c r="G37" s="78"/>
      <c r="H37" s="78"/>
      <c r="I37" s="78"/>
      <c r="J37" s="78"/>
      <c r="K37" s="78"/>
      <c r="L37" s="78"/>
      <c r="M37" s="78"/>
      <c r="N37" s="78"/>
      <c r="O37" s="78"/>
      <c r="P37" s="78"/>
      <c r="Q37" s="78"/>
      <c r="R37" s="78"/>
      <c r="S37" s="78"/>
      <c r="T37" s="78"/>
      <c r="U37" s="78"/>
      <c r="V37" s="78"/>
    </row>
  </sheetData>
  <phoneticPr fontId="6" type="noConversion"/>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5"/>
  </sheetPr>
  <dimension ref="B2:AP68"/>
  <sheetViews>
    <sheetView workbookViewId="0"/>
  </sheetViews>
  <sheetFormatPr baseColWidth="10" defaultColWidth="9" defaultRowHeight="15"/>
  <cols>
    <col min="1" max="1" width="7.796875" style="1" customWidth="1"/>
    <col min="2" max="2" width="18.796875" style="1" customWidth="1"/>
    <col min="3" max="3" width="17.19921875" style="1" customWidth="1"/>
    <col min="4" max="4" width="12.19921875" style="1" bestFit="1" customWidth="1"/>
    <col min="5" max="5" width="10.3984375" style="1" bestFit="1" customWidth="1"/>
    <col min="6" max="6" width="11.3984375" style="1" bestFit="1" customWidth="1"/>
    <col min="7" max="7" width="12.19921875" style="1" bestFit="1" customWidth="1"/>
    <col min="8" max="8" width="10.3984375" style="1" bestFit="1" customWidth="1"/>
    <col min="9" max="9" width="11.3984375" style="1" bestFit="1" customWidth="1"/>
    <col min="10" max="10" width="12.19921875" style="1" bestFit="1" customWidth="1"/>
    <col min="11" max="11" width="10.3984375" style="1" bestFit="1" customWidth="1"/>
    <col min="12" max="36" width="9" style="1"/>
    <col min="37" max="42" width="9" style="56"/>
    <col min="43" max="16384" width="9" style="1"/>
  </cols>
  <sheetData>
    <row r="2" spans="2:38" s="110" customFormat="1">
      <c r="B2" s="110" t="s">
        <v>123</v>
      </c>
    </row>
    <row r="3" spans="2:38">
      <c r="B3" s="37" t="s">
        <v>124</v>
      </c>
    </row>
    <row r="4" spans="2:38" ht="16" thickBot="1">
      <c r="C4" s="4" t="s">
        <v>125</v>
      </c>
      <c r="D4" s="10">
        <v>2022</v>
      </c>
      <c r="E4" s="4">
        <f>D4+1</f>
        <v>2023</v>
      </c>
      <c r="F4" s="4">
        <f t="shared" ref="F4:AJ4" si="0">E4+1</f>
        <v>2024</v>
      </c>
      <c r="G4" s="4">
        <f t="shared" si="0"/>
        <v>2025</v>
      </c>
      <c r="H4" s="4">
        <f t="shared" si="0"/>
        <v>2026</v>
      </c>
      <c r="I4" s="4">
        <f t="shared" si="0"/>
        <v>2027</v>
      </c>
      <c r="J4" s="4">
        <f t="shared" si="0"/>
        <v>2028</v>
      </c>
      <c r="K4" s="4">
        <f t="shared" si="0"/>
        <v>2029</v>
      </c>
      <c r="L4" s="4">
        <f t="shared" si="0"/>
        <v>2030</v>
      </c>
      <c r="M4" s="4">
        <f t="shared" si="0"/>
        <v>2031</v>
      </c>
      <c r="N4" s="4">
        <f t="shared" si="0"/>
        <v>2032</v>
      </c>
      <c r="O4" s="4">
        <f t="shared" si="0"/>
        <v>2033</v>
      </c>
      <c r="P4" s="4">
        <f t="shared" si="0"/>
        <v>2034</v>
      </c>
      <c r="Q4" s="4">
        <f t="shared" si="0"/>
        <v>2035</v>
      </c>
      <c r="R4" s="4">
        <f t="shared" si="0"/>
        <v>2036</v>
      </c>
      <c r="S4" s="4">
        <f t="shared" si="0"/>
        <v>2037</v>
      </c>
      <c r="T4" s="4">
        <f t="shared" si="0"/>
        <v>2038</v>
      </c>
      <c r="U4" s="4">
        <f t="shared" si="0"/>
        <v>2039</v>
      </c>
      <c r="V4" s="4">
        <f t="shared" si="0"/>
        <v>2040</v>
      </c>
      <c r="W4" s="4">
        <f t="shared" si="0"/>
        <v>2041</v>
      </c>
      <c r="X4" s="4">
        <f t="shared" si="0"/>
        <v>2042</v>
      </c>
      <c r="Y4" s="4">
        <f t="shared" si="0"/>
        <v>2043</v>
      </c>
      <c r="Z4" s="4">
        <f t="shared" si="0"/>
        <v>2044</v>
      </c>
      <c r="AA4" s="4">
        <f t="shared" si="0"/>
        <v>2045</v>
      </c>
      <c r="AB4" s="4">
        <f t="shared" si="0"/>
        <v>2046</v>
      </c>
      <c r="AC4" s="4">
        <f t="shared" si="0"/>
        <v>2047</v>
      </c>
      <c r="AD4" s="4">
        <f t="shared" si="0"/>
        <v>2048</v>
      </c>
      <c r="AE4" s="4">
        <f t="shared" si="0"/>
        <v>2049</v>
      </c>
      <c r="AF4" s="4">
        <f t="shared" si="0"/>
        <v>2050</v>
      </c>
      <c r="AG4" s="4">
        <f t="shared" si="0"/>
        <v>2051</v>
      </c>
      <c r="AH4" s="4">
        <f t="shared" si="0"/>
        <v>2052</v>
      </c>
      <c r="AI4" s="4">
        <f t="shared" si="0"/>
        <v>2053</v>
      </c>
      <c r="AJ4" s="4">
        <f t="shared" si="0"/>
        <v>2054</v>
      </c>
      <c r="AL4" s="83" t="s">
        <v>103</v>
      </c>
    </row>
    <row r="5" spans="2:38">
      <c r="B5" s="363" t="s">
        <v>126</v>
      </c>
      <c r="C5" s="111" t="s">
        <v>20</v>
      </c>
      <c r="D5" s="22">
        <v>0.38250000000000001</v>
      </c>
      <c r="E5" s="22">
        <v>0.37003000000000003</v>
      </c>
      <c r="F5" s="22">
        <v>0.38250000000000001</v>
      </c>
      <c r="G5" s="257">
        <f>AVERAGE($D16:$F16)*(1+'User Dashboard'!$C$20)^('T&amp;D'!G$4-2022)</f>
        <v>0.39368042399999992</v>
      </c>
      <c r="H5" s="257">
        <f>AVERAGE($D16:$F16)*(1+'User Dashboard'!$C$20)^('T&amp;D'!H$4-2022)</f>
        <v>0.40155403247999993</v>
      </c>
      <c r="I5" s="257">
        <f>AVERAGE($D16:$F16)*(1+'User Dashboard'!$C$20)^('T&amp;D'!I$4-2022)</f>
        <v>0.4095851131296</v>
      </c>
      <c r="J5" s="257">
        <f>AVERAGE($D16:$F16)*(1+'User Dashboard'!$C$20)^('T&amp;D'!J$4-2022)</f>
        <v>0.41777681539219197</v>
      </c>
      <c r="K5" s="257">
        <f>AVERAGE($D16:$F16)*(1+'User Dashboard'!$C$20)^('T&amp;D'!K$4-2022)</f>
        <v>0.42613235170003572</v>
      </c>
      <c r="L5" s="257">
        <f>AVERAGE($D16:$F16)*(1+'User Dashboard'!$C$20)^('T&amp;D'!L$4-2022)</f>
        <v>0.43465499873403651</v>
      </c>
      <c r="M5" s="257">
        <f>AVERAGE($D16:$F16)*(1+'User Dashboard'!$C$20)^('T&amp;D'!M$4-2022)</f>
        <v>0.44334809870871722</v>
      </c>
      <c r="N5" s="257">
        <f>AVERAGE($D16:$F16)*(1+'User Dashboard'!$C$20)^('T&amp;D'!N$4-2022)</f>
        <v>0.45221506068289158</v>
      </c>
      <c r="O5" s="257">
        <f>AVERAGE($D16:$F16)*(1+'User Dashboard'!$C$20)^('T&amp;D'!O$4-2022)</f>
        <v>0.46125936189654931</v>
      </c>
      <c r="P5" s="257">
        <f>AVERAGE($D16:$F16)*(1+'User Dashboard'!$C$20)^('T&amp;D'!P$4-2022)</f>
        <v>0.4704845491344804</v>
      </c>
      <c r="Q5" s="257">
        <f>AVERAGE($D16:$F16)*(1+'User Dashboard'!$C$20)^('T&amp;D'!Q$4-2022)</f>
        <v>0.47989424011716997</v>
      </c>
      <c r="R5" s="257">
        <f>AVERAGE($D16:$F16)*(1+'User Dashboard'!$C$20)^('T&amp;D'!R$4-2022)</f>
        <v>0.48949212491951344</v>
      </c>
      <c r="S5" s="257">
        <f>AVERAGE($D16:$F16)*(1+'User Dashboard'!$C$20)^('T&amp;D'!S$4-2022)</f>
        <v>0.49928196741790354</v>
      </c>
      <c r="T5" s="257">
        <f>AVERAGE($D16:$F16)*(1+'User Dashboard'!$C$20)^('T&amp;D'!T$4-2022)</f>
        <v>0.5092676067662617</v>
      </c>
      <c r="U5" s="257">
        <f>AVERAGE($D16:$F16)*(1+'User Dashboard'!$C$20)^('T&amp;D'!U$4-2022)</f>
        <v>0.51945295890158705</v>
      </c>
      <c r="V5" s="257">
        <f>AVERAGE($D16:$F16)*(1+'User Dashboard'!$C$20)^('T&amp;D'!V$4-2022)</f>
        <v>0.52984201807961873</v>
      </c>
      <c r="W5" s="257">
        <f>AVERAGE($D16:$F16)*(1+'User Dashboard'!$C$20)^('T&amp;D'!W$4-2022)</f>
        <v>0.54043885844121098</v>
      </c>
      <c r="X5" s="257">
        <f>AVERAGE($D16:$F16)*(1+'User Dashboard'!$C$20)^('T&amp;D'!X$4-2022)</f>
        <v>0.55124763561003531</v>
      </c>
      <c r="Y5" s="257">
        <f>AVERAGE($D16:$F16)*(1+'User Dashboard'!$C$20)^('T&amp;D'!Y$4-2022)</f>
        <v>0.56227258832223592</v>
      </c>
      <c r="Z5" s="257">
        <f>AVERAGE($D16:$F16)*(1+'User Dashboard'!$C$20)^('T&amp;D'!Z$4-2022)</f>
        <v>0.57351804008868068</v>
      </c>
      <c r="AA5" s="257">
        <f>AVERAGE($D16:$F16)*(1+'User Dashboard'!$C$20)^('T&amp;D'!AA$4-2022)</f>
        <v>0.58498840089045423</v>
      </c>
      <c r="AB5" s="257">
        <f>AVERAGE($D16:$F16)*(1+'User Dashboard'!$C$20)^('T&amp;D'!AB$4-2022)</f>
        <v>0.59668816890826337</v>
      </c>
      <c r="AC5" s="257">
        <f>AVERAGE($D16:$F16)*(1+'User Dashboard'!$C$20)^('T&amp;D'!AC$4-2022)</f>
        <v>0.60862193228642858</v>
      </c>
      <c r="AD5" s="257">
        <f>AVERAGE($D16:$F16)*(1+'User Dashboard'!$C$20)^('T&amp;D'!AD$4-2022)</f>
        <v>0.62079437093215728</v>
      </c>
      <c r="AE5" s="257">
        <f>AVERAGE($D16:$F16)*(1+'User Dashboard'!$C$20)^('T&amp;D'!AE$4-2022)</f>
        <v>0.63321025835080025</v>
      </c>
      <c r="AF5" s="257">
        <f>AVERAGE($D16:$F16)*(1+'User Dashboard'!$C$20)^('T&amp;D'!AF$4-2022)</f>
        <v>0.64587446351781641</v>
      </c>
      <c r="AG5" s="257">
        <f>AVERAGE($D16:$F16)*(1+'User Dashboard'!$C$20)^('T&amp;D'!AG$4-2022)</f>
        <v>0.6587919527881726</v>
      </c>
      <c r="AH5" s="257">
        <f>AVERAGE($D16:$F16)*(1+'User Dashboard'!$C$20)^('T&amp;D'!AH$4-2022)</f>
        <v>0.67196779184393618</v>
      </c>
      <c r="AI5" s="257">
        <f>AVERAGE($D16:$F16)*(1+'User Dashboard'!$C$20)^('T&amp;D'!AI$4-2022)</f>
        <v>0.68540714768081468</v>
      </c>
      <c r="AJ5" s="257">
        <f>AVERAGE($D16:$F16)*(1+'User Dashboard'!$C$20)^('T&amp;D'!AJ$4-2022)</f>
        <v>0.69911529063443112</v>
      </c>
      <c r="AL5" s="83" t="str">
        <f>_xlfn.CONCAT($B$5,"-",C5)</f>
        <v>PG&amp;E-Residential</v>
      </c>
    </row>
    <row r="6" spans="2:38">
      <c r="B6" s="364"/>
      <c r="C6" s="112" t="s">
        <v>127</v>
      </c>
      <c r="D6" s="19">
        <v>0.23275999999999999</v>
      </c>
      <c r="E6" s="19">
        <v>0.236267</v>
      </c>
      <c r="F6" s="19">
        <v>0.20594999999999999</v>
      </c>
      <c r="G6" s="258">
        <f>AVERAGE($D17:$F17)*(1+'User Dashboard'!$C$20)^('T&amp;D'!G$4-2022)</f>
        <v>0.23429598696000001</v>
      </c>
      <c r="H6" s="258">
        <f>AVERAGE($D17:$F17)*(1+'User Dashboard'!$C$20)^('T&amp;D'!H$4-2022)</f>
        <v>0.23898190669920003</v>
      </c>
      <c r="I6" s="258">
        <f>AVERAGE($D17:$F17)*(1+'User Dashboard'!$C$20)^('T&amp;D'!I$4-2022)</f>
        <v>0.24376154483318402</v>
      </c>
      <c r="J6" s="258">
        <f>AVERAGE($D17:$F17)*(1+'User Dashboard'!$C$20)^('T&amp;D'!J$4-2022)</f>
        <v>0.24863677572984771</v>
      </c>
      <c r="K6" s="258">
        <f>AVERAGE($D17:$F17)*(1+'User Dashboard'!$C$20)^('T&amp;D'!K$4-2022)</f>
        <v>0.25360951124444459</v>
      </c>
      <c r="L6" s="258">
        <f>AVERAGE($D17:$F17)*(1+'User Dashboard'!$C$20)^('T&amp;D'!L$4-2022)</f>
        <v>0.2586817014693335</v>
      </c>
      <c r="M6" s="258">
        <f>AVERAGE($D17:$F17)*(1+'User Dashboard'!$C$20)^('T&amp;D'!M$4-2022)</f>
        <v>0.2638553354987202</v>
      </c>
      <c r="N6" s="258">
        <f>AVERAGE($D17:$F17)*(1+'User Dashboard'!$C$20)^('T&amp;D'!N$4-2022)</f>
        <v>0.26913244220869459</v>
      </c>
      <c r="O6" s="258">
        <f>AVERAGE($D17:$F17)*(1+'User Dashboard'!$C$20)^('T&amp;D'!O$4-2022)</f>
        <v>0.27451509105286848</v>
      </c>
      <c r="P6" s="258">
        <f>AVERAGE($D17:$F17)*(1+'User Dashboard'!$C$20)^('T&amp;D'!P$4-2022)</f>
        <v>0.2800053928739259</v>
      </c>
      <c r="Q6" s="258">
        <f>AVERAGE($D17:$F17)*(1+'User Dashboard'!$C$20)^('T&amp;D'!Q$4-2022)</f>
        <v>0.28560550073140439</v>
      </c>
      <c r="R6" s="258">
        <f>AVERAGE($D17:$F17)*(1+'User Dashboard'!$C$20)^('T&amp;D'!R$4-2022)</f>
        <v>0.29131761074603246</v>
      </c>
      <c r="S6" s="258">
        <f>AVERAGE($D17:$F17)*(1+'User Dashboard'!$C$20)^('T&amp;D'!S$4-2022)</f>
        <v>0.29714396296095308</v>
      </c>
      <c r="T6" s="258">
        <f>AVERAGE($D17:$F17)*(1+'User Dashboard'!$C$20)^('T&amp;D'!T$4-2022)</f>
        <v>0.30308684222017218</v>
      </c>
      <c r="U6" s="258">
        <f>AVERAGE($D17:$F17)*(1+'User Dashboard'!$C$20)^('T&amp;D'!U$4-2022)</f>
        <v>0.30914857906457566</v>
      </c>
      <c r="V6" s="258">
        <f>AVERAGE($D17:$F17)*(1+'User Dashboard'!$C$20)^('T&amp;D'!V$4-2022)</f>
        <v>0.3153315506458671</v>
      </c>
      <c r="W6" s="258">
        <f>AVERAGE($D17:$F17)*(1+'User Dashboard'!$C$20)^('T&amp;D'!W$4-2022)</f>
        <v>0.32163818165878444</v>
      </c>
      <c r="X6" s="258">
        <f>AVERAGE($D17:$F17)*(1+'User Dashboard'!$C$20)^('T&amp;D'!X$4-2022)</f>
        <v>0.32807094529196018</v>
      </c>
      <c r="Y6" s="258">
        <f>AVERAGE($D17:$F17)*(1+'User Dashboard'!$C$20)^('T&amp;D'!Y$4-2022)</f>
        <v>0.33463236419779935</v>
      </c>
      <c r="Z6" s="258">
        <f>AVERAGE($D17:$F17)*(1+'User Dashboard'!$C$20)^('T&amp;D'!Z$4-2022)</f>
        <v>0.34132501148175537</v>
      </c>
      <c r="AA6" s="258">
        <f>AVERAGE($D17:$F17)*(1+'User Dashboard'!$C$20)^('T&amp;D'!AA$4-2022)</f>
        <v>0.34815151171139042</v>
      </c>
      <c r="AB6" s="258">
        <f>AVERAGE($D17:$F17)*(1+'User Dashboard'!$C$20)^('T&amp;D'!AB$4-2022)</f>
        <v>0.3551145419456182</v>
      </c>
      <c r="AC6" s="258">
        <f>AVERAGE($D17:$F17)*(1+'User Dashboard'!$C$20)^('T&amp;D'!AC$4-2022)</f>
        <v>0.3622168327845306</v>
      </c>
      <c r="AD6" s="258">
        <f>AVERAGE($D17:$F17)*(1+'User Dashboard'!$C$20)^('T&amp;D'!AD$4-2022)</f>
        <v>0.36946116944022123</v>
      </c>
      <c r="AE6" s="258">
        <f>AVERAGE($D17:$F17)*(1+'User Dashboard'!$C$20)^('T&amp;D'!AE$4-2022)</f>
        <v>0.3768503928290256</v>
      </c>
      <c r="AF6" s="258">
        <f>AVERAGE($D17:$F17)*(1+'User Dashboard'!$C$20)^('T&amp;D'!AF$4-2022)</f>
        <v>0.38438740068560617</v>
      </c>
      <c r="AG6" s="258">
        <f>AVERAGE($D17:$F17)*(1+'User Dashboard'!$C$20)^('T&amp;D'!AG$4-2022)</f>
        <v>0.39207514869931825</v>
      </c>
      <c r="AH6" s="258">
        <f>AVERAGE($D17:$F17)*(1+'User Dashboard'!$C$20)^('T&amp;D'!AH$4-2022)</f>
        <v>0.39991665167330465</v>
      </c>
      <c r="AI6" s="258">
        <f>AVERAGE($D17:$F17)*(1+'User Dashboard'!$C$20)^('T&amp;D'!AI$4-2022)</f>
        <v>0.40791498470677062</v>
      </c>
      <c r="AJ6" s="258">
        <f>AVERAGE($D17:$F17)*(1+'User Dashboard'!$C$20)^('T&amp;D'!AJ$4-2022)</f>
        <v>0.41607328440090613</v>
      </c>
      <c r="AL6" s="83" t="str">
        <f t="shared" ref="AL6:AL7" si="1">_xlfn.CONCAT($B$5,"-",C6)</f>
        <v>PG&amp;E-Commercial</v>
      </c>
    </row>
    <row r="7" spans="2:38" ht="16" thickBot="1">
      <c r="B7" s="365"/>
      <c r="C7" s="113" t="s">
        <v>128</v>
      </c>
      <c r="D7" s="23">
        <v>0.28162999999999999</v>
      </c>
      <c r="E7" s="23">
        <v>0.28587800000000002</v>
      </c>
      <c r="F7" s="23">
        <v>0.31218000000000001</v>
      </c>
      <c r="G7" s="259">
        <f>AVERAGE($D18:$F18)*(1+'User Dashboard'!$C$20)^('T&amp;D'!G$4-2022)</f>
        <v>0.30490636007999999</v>
      </c>
      <c r="H7" s="259">
        <f>AVERAGE($D18:$F18)*(1+'User Dashboard'!$C$20)^('T&amp;D'!H$4-2022)</f>
        <v>0.31100448728160002</v>
      </c>
      <c r="I7" s="259">
        <f>AVERAGE($D18:$F18)*(1+'User Dashboard'!$C$20)^('T&amp;D'!I$4-2022)</f>
        <v>0.317224577027232</v>
      </c>
      <c r="J7" s="259">
        <f>AVERAGE($D18:$F18)*(1+'User Dashboard'!$C$20)^('T&amp;D'!J$4-2022)</f>
        <v>0.32356906856777667</v>
      </c>
      <c r="K7" s="259">
        <f>AVERAGE($D18:$F18)*(1+'User Dashboard'!$C$20)^('T&amp;D'!K$4-2022)</f>
        <v>0.33004044993913212</v>
      </c>
      <c r="L7" s="259">
        <f>AVERAGE($D18:$F18)*(1+'User Dashboard'!$C$20)^('T&amp;D'!L$4-2022)</f>
        <v>0.3366412589379148</v>
      </c>
      <c r="M7" s="259">
        <f>AVERAGE($D18:$F18)*(1+'User Dashboard'!$C$20)^('T&amp;D'!M$4-2022)</f>
        <v>0.34337408411667314</v>
      </c>
      <c r="N7" s="259">
        <f>AVERAGE($D18:$F18)*(1+'User Dashboard'!$C$20)^('T&amp;D'!N$4-2022)</f>
        <v>0.35024156579900662</v>
      </c>
      <c r="O7" s="259">
        <f>AVERAGE($D18:$F18)*(1+'User Dashboard'!$C$20)^('T&amp;D'!O$4-2022)</f>
        <v>0.35724639711498668</v>
      </c>
      <c r="P7" s="259">
        <f>AVERAGE($D18:$F18)*(1+'User Dashboard'!$C$20)^('T&amp;D'!P$4-2022)</f>
        <v>0.36439132505728644</v>
      </c>
      <c r="Q7" s="259">
        <f>AVERAGE($D18:$F18)*(1+'User Dashboard'!$C$20)^('T&amp;D'!Q$4-2022)</f>
        <v>0.37167915155843217</v>
      </c>
      <c r="R7" s="259">
        <f>AVERAGE($D18:$F18)*(1+'User Dashboard'!$C$20)^('T&amp;D'!R$4-2022)</f>
        <v>0.37911273458960082</v>
      </c>
      <c r="S7" s="259">
        <f>AVERAGE($D18:$F18)*(1+'User Dashboard'!$C$20)^('T&amp;D'!S$4-2022)</f>
        <v>0.38669498928139273</v>
      </c>
      <c r="T7" s="259">
        <f>AVERAGE($D18:$F18)*(1+'User Dashboard'!$C$20)^('T&amp;D'!T$4-2022)</f>
        <v>0.39442888906702067</v>
      </c>
      <c r="U7" s="259">
        <f>AVERAGE($D18:$F18)*(1+'User Dashboard'!$C$20)^('T&amp;D'!U$4-2022)</f>
        <v>0.40231746684836112</v>
      </c>
      <c r="V7" s="259">
        <f>AVERAGE($D18:$F18)*(1+'User Dashboard'!$C$20)^('T&amp;D'!V$4-2022)</f>
        <v>0.4103638161853283</v>
      </c>
      <c r="W7" s="259">
        <f>AVERAGE($D18:$F18)*(1+'User Dashboard'!$C$20)^('T&amp;D'!W$4-2022)</f>
        <v>0.41857109250903485</v>
      </c>
      <c r="X7" s="259">
        <f>AVERAGE($D18:$F18)*(1+'User Dashboard'!$C$20)^('T&amp;D'!X$4-2022)</f>
        <v>0.4269425143592156</v>
      </c>
      <c r="Y7" s="259">
        <f>AVERAGE($D18:$F18)*(1+'User Dashboard'!$C$20)^('T&amp;D'!Y$4-2022)</f>
        <v>0.43548136464639986</v>
      </c>
      <c r="Z7" s="259">
        <f>AVERAGE($D18:$F18)*(1+'User Dashboard'!$C$20)^('T&amp;D'!Z$4-2022)</f>
        <v>0.44419099193932787</v>
      </c>
      <c r="AA7" s="259">
        <f>AVERAGE($D18:$F18)*(1+'User Dashboard'!$C$20)^('T&amp;D'!AA$4-2022)</f>
        <v>0.45307481177811437</v>
      </c>
      <c r="AB7" s="259">
        <f>AVERAGE($D18:$F18)*(1+'User Dashboard'!$C$20)^('T&amp;D'!AB$4-2022)</f>
        <v>0.46213630801367667</v>
      </c>
      <c r="AC7" s="259">
        <f>AVERAGE($D18:$F18)*(1+'User Dashboard'!$C$20)^('T&amp;D'!AC$4-2022)</f>
        <v>0.47137903417395022</v>
      </c>
      <c r="AD7" s="259">
        <f>AVERAGE($D18:$F18)*(1+'User Dashboard'!$C$20)^('T&amp;D'!AD$4-2022)</f>
        <v>0.48080661485742926</v>
      </c>
      <c r="AE7" s="259">
        <f>AVERAGE($D18:$F18)*(1+'User Dashboard'!$C$20)^('T&amp;D'!AE$4-2022)</f>
        <v>0.49042274715457773</v>
      </c>
      <c r="AF7" s="259">
        <f>AVERAGE($D18:$F18)*(1+'User Dashboard'!$C$20)^('T&amp;D'!AF$4-2022)</f>
        <v>0.50023120209766947</v>
      </c>
      <c r="AG7" s="259">
        <f>AVERAGE($D18:$F18)*(1+'User Dashboard'!$C$20)^('T&amp;D'!AG$4-2022)</f>
        <v>0.51023582613962271</v>
      </c>
      <c r="AH7" s="259">
        <f>AVERAGE($D18:$F18)*(1+'User Dashboard'!$C$20)^('T&amp;D'!AH$4-2022)</f>
        <v>0.52044054266241524</v>
      </c>
      <c r="AI7" s="259">
        <f>AVERAGE($D18:$F18)*(1+'User Dashboard'!$C$20)^('T&amp;D'!AI$4-2022)</f>
        <v>0.53084935351566342</v>
      </c>
      <c r="AJ7" s="259">
        <f>AVERAGE($D18:$F18)*(1+'User Dashboard'!$C$20)^('T&amp;D'!AJ$4-2022)</f>
        <v>0.54146634058597676</v>
      </c>
      <c r="AL7" s="83" t="str">
        <f t="shared" si="1"/>
        <v>PG&amp;E-Total Core</v>
      </c>
    </row>
    <row r="8" spans="2:38">
      <c r="B8" s="363" t="s">
        <v>129</v>
      </c>
      <c r="C8" s="111" t="s">
        <v>20</v>
      </c>
      <c r="D8" s="22">
        <v>0.23</v>
      </c>
      <c r="E8" s="22">
        <v>0.22</v>
      </c>
      <c r="F8" s="22">
        <v>0.22</v>
      </c>
      <c r="G8" s="257">
        <f>AVERAGE($D19:$F19)*(1+'User Dashboard'!$C$20)^('T&amp;D'!G$4-2022)</f>
        <v>0.23245528000000001</v>
      </c>
      <c r="H8" s="257">
        <f>AVERAGE($D19:$F19)*(1+'User Dashboard'!$C$20)^('T&amp;D'!H$4-2022)</f>
        <v>0.23710438560000002</v>
      </c>
      <c r="I8" s="257">
        <f>AVERAGE($D19:$F19)*(1+'User Dashboard'!$C$20)^('T&amp;D'!I$4-2022)</f>
        <v>0.24184647331200002</v>
      </c>
      <c r="J8" s="257">
        <f>AVERAGE($D19:$F19)*(1+'User Dashboard'!$C$20)^('T&amp;D'!J$4-2022)</f>
        <v>0.24668340277824002</v>
      </c>
      <c r="K8" s="257">
        <f>AVERAGE($D19:$F19)*(1+'User Dashboard'!$C$20)^('T&amp;D'!K$4-2022)</f>
        <v>0.2516170708338048</v>
      </c>
      <c r="L8" s="257">
        <f>AVERAGE($D19:$F19)*(1+'User Dashboard'!$C$20)^('T&amp;D'!L$4-2022)</f>
        <v>0.25664941225048088</v>
      </c>
      <c r="M8" s="257">
        <f>AVERAGE($D19:$F19)*(1+'User Dashboard'!$C$20)^('T&amp;D'!M$4-2022)</f>
        <v>0.26178240049549051</v>
      </c>
      <c r="N8" s="257">
        <f>AVERAGE($D19:$F19)*(1+'User Dashboard'!$C$20)^('T&amp;D'!N$4-2022)</f>
        <v>0.26701804850540034</v>
      </c>
      <c r="O8" s="257">
        <f>AVERAGE($D19:$F19)*(1+'User Dashboard'!$C$20)^('T&amp;D'!O$4-2022)</f>
        <v>0.27235840947550832</v>
      </c>
      <c r="P8" s="257">
        <f>AVERAGE($D19:$F19)*(1+'User Dashboard'!$C$20)^('T&amp;D'!P$4-2022)</f>
        <v>0.27780557766501851</v>
      </c>
      <c r="Q8" s="257">
        <f>AVERAGE($D19:$F19)*(1+'User Dashboard'!$C$20)^('T&amp;D'!Q$4-2022)</f>
        <v>0.28336168921831884</v>
      </c>
      <c r="R8" s="257">
        <f>AVERAGE($D19:$F19)*(1+'User Dashboard'!$C$20)^('T&amp;D'!R$4-2022)</f>
        <v>0.28902892300268529</v>
      </c>
      <c r="S8" s="257">
        <f>AVERAGE($D19:$F19)*(1+'User Dashboard'!$C$20)^('T&amp;D'!S$4-2022)</f>
        <v>0.29480950146273888</v>
      </c>
      <c r="T8" s="257">
        <f>AVERAGE($D19:$F19)*(1+'User Dashboard'!$C$20)^('T&amp;D'!T$4-2022)</f>
        <v>0.30070569149199372</v>
      </c>
      <c r="U8" s="257">
        <f>AVERAGE($D19:$F19)*(1+'User Dashboard'!$C$20)^('T&amp;D'!U$4-2022)</f>
        <v>0.30671980532183363</v>
      </c>
      <c r="V8" s="257">
        <f>AVERAGE($D19:$F19)*(1+'User Dashboard'!$C$20)^('T&amp;D'!V$4-2022)</f>
        <v>0.31285420142827025</v>
      </c>
      <c r="W8" s="257">
        <f>AVERAGE($D19:$F19)*(1+'User Dashboard'!$C$20)^('T&amp;D'!W$4-2022)</f>
        <v>0.31911128545683565</v>
      </c>
      <c r="X8" s="257">
        <f>AVERAGE($D19:$F19)*(1+'User Dashboard'!$C$20)^('T&amp;D'!X$4-2022)</f>
        <v>0.32549351116597242</v>
      </c>
      <c r="Y8" s="257">
        <f>AVERAGE($D19:$F19)*(1+'User Dashboard'!$C$20)^('T&amp;D'!Y$4-2022)</f>
        <v>0.33200338138929181</v>
      </c>
      <c r="Z8" s="257">
        <f>AVERAGE($D19:$F19)*(1+'User Dashboard'!$C$20)^('T&amp;D'!Z$4-2022)</f>
        <v>0.33864344901707766</v>
      </c>
      <c r="AA8" s="257">
        <f>AVERAGE($D19:$F19)*(1+'User Dashboard'!$C$20)^('T&amp;D'!AA$4-2022)</f>
        <v>0.34541631799741918</v>
      </c>
      <c r="AB8" s="257">
        <f>AVERAGE($D19:$F19)*(1+'User Dashboard'!$C$20)^('T&amp;D'!AB$4-2022)</f>
        <v>0.35232464435736754</v>
      </c>
      <c r="AC8" s="257">
        <f>AVERAGE($D19:$F19)*(1+'User Dashboard'!$C$20)^('T&amp;D'!AC$4-2022)</f>
        <v>0.35937113724451492</v>
      </c>
      <c r="AD8" s="257">
        <f>AVERAGE($D19:$F19)*(1+'User Dashboard'!$C$20)^('T&amp;D'!AD$4-2022)</f>
        <v>0.36655855998940523</v>
      </c>
      <c r="AE8" s="257">
        <f>AVERAGE($D19:$F19)*(1+'User Dashboard'!$C$20)^('T&amp;D'!AE$4-2022)</f>
        <v>0.37388973118919328</v>
      </c>
      <c r="AF8" s="257">
        <f>AVERAGE($D19:$F19)*(1+'User Dashboard'!$C$20)^('T&amp;D'!AF$4-2022)</f>
        <v>0.38136752581297723</v>
      </c>
      <c r="AG8" s="257">
        <f>AVERAGE($D19:$F19)*(1+'User Dashboard'!$C$20)^('T&amp;D'!AG$4-2022)</f>
        <v>0.38899487632923674</v>
      </c>
      <c r="AH8" s="257">
        <f>AVERAGE($D19:$F19)*(1+'User Dashboard'!$C$20)^('T&amp;D'!AH$4-2022)</f>
        <v>0.39677477385582149</v>
      </c>
      <c r="AI8" s="257">
        <f>AVERAGE($D19:$F19)*(1+'User Dashboard'!$C$20)^('T&amp;D'!AI$4-2022)</f>
        <v>0.40471026933293786</v>
      </c>
      <c r="AJ8" s="257">
        <f>AVERAGE($D19:$F19)*(1+'User Dashboard'!$C$20)^('T&amp;D'!AJ$4-2022)</f>
        <v>0.41280447471959669</v>
      </c>
      <c r="AL8" s="83" t="str">
        <f>_xlfn.CONCAT($B$8,"-",C8)</f>
        <v>SoCal Gas-Residential</v>
      </c>
    </row>
    <row r="9" spans="2:38">
      <c r="B9" s="364"/>
      <c r="C9" s="112" t="s">
        <v>127</v>
      </c>
      <c r="D9" s="19">
        <v>0.13</v>
      </c>
      <c r="E9" s="19">
        <v>0.13</v>
      </c>
      <c r="F9" s="19">
        <v>0.13</v>
      </c>
      <c r="G9" s="258">
        <f>AVERAGE($D20:$F20)*(1+'User Dashboard'!$C$20)^('T&amp;D'!G$4-2022)</f>
        <v>0.13526968</v>
      </c>
      <c r="H9" s="258">
        <f>AVERAGE($D20:$F20)*(1+'User Dashboard'!$C$20)^('T&amp;D'!H$4-2022)</f>
        <v>0.1379750736</v>
      </c>
      <c r="I9" s="258">
        <f>AVERAGE($D20:$F20)*(1+'User Dashboard'!$C$20)^('T&amp;D'!I$4-2022)</f>
        <v>0.14073457507200002</v>
      </c>
      <c r="J9" s="258">
        <f>AVERAGE($D20:$F20)*(1+'User Dashboard'!$C$20)^('T&amp;D'!J$4-2022)</f>
        <v>0.14354926657344003</v>
      </c>
      <c r="K9" s="258">
        <f>AVERAGE($D20:$F20)*(1+'User Dashboard'!$C$20)^('T&amp;D'!K$4-2022)</f>
        <v>0.14642025190490879</v>
      </c>
      <c r="L9" s="258">
        <f>AVERAGE($D20:$F20)*(1+'User Dashboard'!$C$20)^('T&amp;D'!L$4-2022)</f>
        <v>0.14934865694300697</v>
      </c>
      <c r="M9" s="258">
        <f>AVERAGE($D20:$F20)*(1+'User Dashboard'!$C$20)^('T&amp;D'!M$4-2022)</f>
        <v>0.15233563008186712</v>
      </c>
      <c r="N9" s="258">
        <f>AVERAGE($D20:$F20)*(1+'User Dashboard'!$C$20)^('T&amp;D'!N$4-2022)</f>
        <v>0.15538234268350448</v>
      </c>
      <c r="O9" s="258">
        <f>AVERAGE($D20:$F20)*(1+'User Dashboard'!$C$20)^('T&amp;D'!O$4-2022)</f>
        <v>0.15848998953717452</v>
      </c>
      <c r="P9" s="258">
        <f>AVERAGE($D20:$F20)*(1+'User Dashboard'!$C$20)^('T&amp;D'!P$4-2022)</f>
        <v>0.16165978932791805</v>
      </c>
      <c r="Q9" s="258">
        <f>AVERAGE($D20:$F20)*(1+'User Dashboard'!$C$20)^('T&amp;D'!Q$4-2022)</f>
        <v>0.16489298511447639</v>
      </c>
      <c r="R9" s="258">
        <f>AVERAGE($D20:$F20)*(1+'User Dashboard'!$C$20)^('T&amp;D'!R$4-2022)</f>
        <v>0.16819084481676594</v>
      </c>
      <c r="S9" s="258">
        <f>AVERAGE($D20:$F20)*(1+'User Dashboard'!$C$20)^('T&amp;D'!S$4-2022)</f>
        <v>0.17155466171310121</v>
      </c>
      <c r="T9" s="258">
        <f>AVERAGE($D20:$F20)*(1+'User Dashboard'!$C$20)^('T&amp;D'!T$4-2022)</f>
        <v>0.17498575494736326</v>
      </c>
      <c r="U9" s="258">
        <f>AVERAGE($D20:$F20)*(1+'User Dashboard'!$C$20)^('T&amp;D'!U$4-2022)</f>
        <v>0.17848547004631055</v>
      </c>
      <c r="V9" s="258">
        <f>AVERAGE($D20:$F20)*(1+'User Dashboard'!$C$20)^('T&amp;D'!V$4-2022)</f>
        <v>0.18205517944723673</v>
      </c>
      <c r="W9" s="258">
        <f>AVERAGE($D20:$F20)*(1+'User Dashboard'!$C$20)^('T&amp;D'!W$4-2022)</f>
        <v>0.18569628303618146</v>
      </c>
      <c r="X9" s="258">
        <f>AVERAGE($D20:$F20)*(1+'User Dashboard'!$C$20)^('T&amp;D'!X$4-2022)</f>
        <v>0.18941020869690511</v>
      </c>
      <c r="Y9" s="258">
        <f>AVERAGE($D20:$F20)*(1+'User Dashboard'!$C$20)^('T&amp;D'!Y$4-2022)</f>
        <v>0.19319841287084319</v>
      </c>
      <c r="Z9" s="258">
        <f>AVERAGE($D20:$F20)*(1+'User Dashboard'!$C$20)^('T&amp;D'!Z$4-2022)</f>
        <v>0.19706238112826008</v>
      </c>
      <c r="AA9" s="258">
        <f>AVERAGE($D20:$F20)*(1+'User Dashboard'!$C$20)^('T&amp;D'!AA$4-2022)</f>
        <v>0.20100362875082525</v>
      </c>
      <c r="AB9" s="258">
        <f>AVERAGE($D20:$F20)*(1+'User Dashboard'!$C$20)^('T&amp;D'!AB$4-2022)</f>
        <v>0.20502370132584175</v>
      </c>
      <c r="AC9" s="258">
        <f>AVERAGE($D20:$F20)*(1+'User Dashboard'!$C$20)^('T&amp;D'!AC$4-2022)</f>
        <v>0.20912417535235858</v>
      </c>
      <c r="AD9" s="258">
        <f>AVERAGE($D20:$F20)*(1+'User Dashboard'!$C$20)^('T&amp;D'!AD$4-2022)</f>
        <v>0.21330665885940578</v>
      </c>
      <c r="AE9" s="258">
        <f>AVERAGE($D20:$F20)*(1+'User Dashboard'!$C$20)^('T&amp;D'!AE$4-2022)</f>
        <v>0.21757279203659385</v>
      </c>
      <c r="AF9" s="258">
        <f>AVERAGE($D20:$F20)*(1+'User Dashboard'!$C$20)^('T&amp;D'!AF$4-2022)</f>
        <v>0.22192424787732579</v>
      </c>
      <c r="AG9" s="258">
        <f>AVERAGE($D20:$F20)*(1+'User Dashboard'!$C$20)^('T&amp;D'!AG$4-2022)</f>
        <v>0.22636273283487227</v>
      </c>
      <c r="AH9" s="258">
        <f>AVERAGE($D20:$F20)*(1+'User Dashboard'!$C$20)^('T&amp;D'!AH$4-2022)</f>
        <v>0.23088998749156972</v>
      </c>
      <c r="AI9" s="258">
        <f>AVERAGE($D20:$F20)*(1+'User Dashboard'!$C$20)^('T&amp;D'!AI$4-2022)</f>
        <v>0.23550778724140106</v>
      </c>
      <c r="AJ9" s="258">
        <f>AVERAGE($D20:$F20)*(1+'User Dashboard'!$C$20)^('T&amp;D'!AJ$4-2022)</f>
        <v>0.24021794298622914</v>
      </c>
      <c r="AL9" s="83" t="str">
        <f t="shared" ref="AL9:AL10" si="2">_xlfn.CONCAT($B$8,"-",C9)</f>
        <v>SoCal Gas-Commercial</v>
      </c>
    </row>
    <row r="10" spans="2:38" ht="16" thickBot="1">
      <c r="B10" s="365"/>
      <c r="C10" s="113" t="s">
        <v>128</v>
      </c>
      <c r="D10" s="23">
        <v>0.19</v>
      </c>
      <c r="E10" s="23">
        <v>0.19</v>
      </c>
      <c r="F10" s="23">
        <v>0.19</v>
      </c>
      <c r="G10" s="259">
        <f>AVERAGE($D21:$F21)*(1+'User Dashboard'!$C$20)^('T&amp;D'!G$4-2022)</f>
        <v>0.19770183999999999</v>
      </c>
      <c r="H10" s="259">
        <f>AVERAGE($D21:$F21)*(1+'User Dashboard'!$C$20)^('T&amp;D'!H$4-2022)</f>
        <v>0.20165587679999999</v>
      </c>
      <c r="I10" s="259">
        <f>AVERAGE($D21:$F21)*(1+'User Dashboard'!$C$20)^('T&amp;D'!I$4-2022)</f>
        <v>0.20568899433600002</v>
      </c>
      <c r="J10" s="259">
        <f>AVERAGE($D21:$F21)*(1+'User Dashboard'!$C$20)^('T&amp;D'!J$4-2022)</f>
        <v>0.20980277422272003</v>
      </c>
      <c r="K10" s="259">
        <f>AVERAGE($D21:$F21)*(1+'User Dashboard'!$C$20)^('T&amp;D'!K$4-2022)</f>
        <v>0.21399882970717438</v>
      </c>
      <c r="L10" s="259">
        <f>AVERAGE($D21:$F21)*(1+'User Dashboard'!$C$20)^('T&amp;D'!L$4-2022)</f>
        <v>0.21827880630131788</v>
      </c>
      <c r="M10" s="259">
        <f>AVERAGE($D21:$F21)*(1+'User Dashboard'!$C$20)^('T&amp;D'!M$4-2022)</f>
        <v>0.22264438242734425</v>
      </c>
      <c r="N10" s="259">
        <f>AVERAGE($D21:$F21)*(1+'User Dashboard'!$C$20)^('T&amp;D'!N$4-2022)</f>
        <v>0.22709727007589114</v>
      </c>
      <c r="O10" s="259">
        <f>AVERAGE($D21:$F21)*(1+'User Dashboard'!$C$20)^('T&amp;D'!O$4-2022)</f>
        <v>0.23163921547740893</v>
      </c>
      <c r="P10" s="259">
        <f>AVERAGE($D21:$F21)*(1+'User Dashboard'!$C$20)^('T&amp;D'!P$4-2022)</f>
        <v>0.23627199978695715</v>
      </c>
      <c r="Q10" s="259">
        <f>AVERAGE($D21:$F21)*(1+'User Dashboard'!$C$20)^('T&amp;D'!Q$4-2022)</f>
        <v>0.24099743978269628</v>
      </c>
      <c r="R10" s="259">
        <f>AVERAGE($D21:$F21)*(1+'User Dashboard'!$C$20)^('T&amp;D'!R$4-2022)</f>
        <v>0.24581738857835023</v>
      </c>
      <c r="S10" s="259">
        <f>AVERAGE($D21:$F21)*(1+'User Dashboard'!$C$20)^('T&amp;D'!S$4-2022)</f>
        <v>0.25073373634991714</v>
      </c>
      <c r="T10" s="259">
        <f>AVERAGE($D21:$F21)*(1+'User Dashboard'!$C$20)^('T&amp;D'!T$4-2022)</f>
        <v>0.25574841107691554</v>
      </c>
      <c r="U10" s="259">
        <f>AVERAGE($D21:$F21)*(1+'User Dashboard'!$C$20)^('T&amp;D'!U$4-2022)</f>
        <v>0.26086337929845388</v>
      </c>
      <c r="V10" s="259">
        <f>AVERAGE($D21:$F21)*(1+'User Dashboard'!$C$20)^('T&amp;D'!V$4-2022)</f>
        <v>0.2660806468844229</v>
      </c>
      <c r="W10" s="259">
        <f>AVERAGE($D21:$F21)*(1+'User Dashboard'!$C$20)^('T&amp;D'!W$4-2022)</f>
        <v>0.27140225982211136</v>
      </c>
      <c r="X10" s="259">
        <f>AVERAGE($D21:$F21)*(1+'User Dashboard'!$C$20)^('T&amp;D'!X$4-2022)</f>
        <v>0.2768303050185536</v>
      </c>
      <c r="Y10" s="259">
        <f>AVERAGE($D21:$F21)*(1+'User Dashboard'!$C$20)^('T&amp;D'!Y$4-2022)</f>
        <v>0.28236691111892465</v>
      </c>
      <c r="Z10" s="259">
        <f>AVERAGE($D21:$F21)*(1+'User Dashboard'!$C$20)^('T&amp;D'!Z$4-2022)</f>
        <v>0.28801424934130321</v>
      </c>
      <c r="AA10" s="259">
        <f>AVERAGE($D21:$F21)*(1+'User Dashboard'!$C$20)^('T&amp;D'!AA$4-2022)</f>
        <v>0.29377453432812917</v>
      </c>
      <c r="AB10" s="259">
        <f>AVERAGE($D21:$F21)*(1+'User Dashboard'!$C$20)^('T&amp;D'!AB$4-2022)</f>
        <v>0.29965002501469179</v>
      </c>
      <c r="AC10" s="259">
        <f>AVERAGE($D21:$F21)*(1+'User Dashboard'!$C$20)^('T&amp;D'!AC$4-2022)</f>
        <v>0.30564302551498562</v>
      </c>
      <c r="AD10" s="259">
        <f>AVERAGE($D21:$F21)*(1+'User Dashboard'!$C$20)^('T&amp;D'!AD$4-2022)</f>
        <v>0.31175588602528537</v>
      </c>
      <c r="AE10" s="259">
        <f>AVERAGE($D21:$F21)*(1+'User Dashboard'!$C$20)^('T&amp;D'!AE$4-2022)</f>
        <v>0.31799100374579103</v>
      </c>
      <c r="AF10" s="259">
        <f>AVERAGE($D21:$F21)*(1+'User Dashboard'!$C$20)^('T&amp;D'!AF$4-2022)</f>
        <v>0.3243508238207069</v>
      </c>
      <c r="AG10" s="259">
        <f>AVERAGE($D21:$F21)*(1+'User Dashboard'!$C$20)^('T&amp;D'!AG$4-2022)</f>
        <v>0.33083784029712099</v>
      </c>
      <c r="AH10" s="259">
        <f>AVERAGE($D21:$F21)*(1+'User Dashboard'!$C$20)^('T&amp;D'!AH$4-2022)</f>
        <v>0.33745459710306347</v>
      </c>
      <c r="AI10" s="259">
        <f>AVERAGE($D21:$F21)*(1+'User Dashboard'!$C$20)^('T&amp;D'!AI$4-2022)</f>
        <v>0.34420368904512466</v>
      </c>
      <c r="AJ10" s="259">
        <f>AVERAGE($D21:$F21)*(1+'User Dashboard'!$C$20)^('T&amp;D'!AJ$4-2022)</f>
        <v>0.35108776282602722</v>
      </c>
      <c r="AL10" s="83" t="str">
        <f t="shared" si="2"/>
        <v>SoCal Gas-Total Core</v>
      </c>
    </row>
    <row r="11" spans="2:38">
      <c r="B11" s="363" t="s">
        <v>18</v>
      </c>
      <c r="C11" s="111" t="s">
        <v>20</v>
      </c>
      <c r="D11" s="22">
        <v>0.33</v>
      </c>
      <c r="E11" s="22">
        <v>0.33</v>
      </c>
      <c r="F11" s="22">
        <v>0.33</v>
      </c>
      <c r="G11" s="257">
        <f>AVERAGE($D22:$F22)*(1+'User Dashboard'!$C$20)^('T&amp;D'!G$4-2022)</f>
        <v>0.34337688</v>
      </c>
      <c r="H11" s="257">
        <f>AVERAGE($D22:$F22)*(1+'User Dashboard'!$C$20)^('T&amp;D'!H$4-2022)</f>
        <v>0.35024441760000002</v>
      </c>
      <c r="I11" s="257">
        <f>AVERAGE($D22:$F22)*(1+'User Dashboard'!$C$20)^('T&amp;D'!I$4-2022)</f>
        <v>0.357249305952</v>
      </c>
      <c r="J11" s="257">
        <f>AVERAGE($D22:$F22)*(1+'User Dashboard'!$C$20)^('T&amp;D'!J$4-2022)</f>
        <v>0.36439429207104002</v>
      </c>
      <c r="K11" s="257">
        <f>AVERAGE($D22:$F22)*(1+'User Dashboard'!$C$20)^('T&amp;D'!K$4-2022)</f>
        <v>0.37168217791246078</v>
      </c>
      <c r="L11" s="257">
        <f>AVERAGE($D22:$F22)*(1+'User Dashboard'!$C$20)^('T&amp;D'!L$4-2022)</f>
        <v>0.37911582147070999</v>
      </c>
      <c r="M11" s="257">
        <f>AVERAGE($D22:$F22)*(1+'User Dashboard'!$C$20)^('T&amp;D'!M$4-2022)</f>
        <v>0.38669813790012419</v>
      </c>
      <c r="N11" s="257">
        <f>AVERAGE($D22:$F22)*(1+'User Dashboard'!$C$20)^('T&amp;D'!N$4-2022)</f>
        <v>0.39443210065812673</v>
      </c>
      <c r="O11" s="257">
        <f>AVERAGE($D22:$F22)*(1+'User Dashboard'!$C$20)^('T&amp;D'!O$4-2022)</f>
        <v>0.40232074267128914</v>
      </c>
      <c r="P11" s="257">
        <f>AVERAGE($D22:$F22)*(1+'User Dashboard'!$C$20)^('T&amp;D'!P$4-2022)</f>
        <v>0.41036715752471503</v>
      </c>
      <c r="Q11" s="257">
        <f>AVERAGE($D22:$F22)*(1+'User Dashboard'!$C$20)^('T&amp;D'!Q$4-2022)</f>
        <v>0.41857450067520929</v>
      </c>
      <c r="R11" s="257">
        <f>AVERAGE($D22:$F22)*(1+'User Dashboard'!$C$20)^('T&amp;D'!R$4-2022)</f>
        <v>0.42694599068871353</v>
      </c>
      <c r="S11" s="257">
        <f>AVERAGE($D22:$F22)*(1+'User Dashboard'!$C$20)^('T&amp;D'!S$4-2022)</f>
        <v>0.43548491050248767</v>
      </c>
      <c r="T11" s="257">
        <f>AVERAGE($D22:$F22)*(1+'User Dashboard'!$C$20)^('T&amp;D'!T$4-2022)</f>
        <v>0.44419460871253752</v>
      </c>
      <c r="U11" s="257">
        <f>AVERAGE($D22:$F22)*(1+'User Dashboard'!$C$20)^('T&amp;D'!U$4-2022)</f>
        <v>0.4530785008867883</v>
      </c>
      <c r="V11" s="257">
        <f>AVERAGE($D22:$F22)*(1+'User Dashboard'!$C$20)^('T&amp;D'!V$4-2022)</f>
        <v>0.46214007090452397</v>
      </c>
      <c r="W11" s="257">
        <f>AVERAGE($D22:$F22)*(1+'User Dashboard'!$C$20)^('T&amp;D'!W$4-2022)</f>
        <v>0.47138287232261444</v>
      </c>
      <c r="X11" s="257">
        <f>AVERAGE($D22:$F22)*(1+'User Dashboard'!$C$20)^('T&amp;D'!X$4-2022)</f>
        <v>0.4808105297690668</v>
      </c>
      <c r="Y11" s="257">
        <f>AVERAGE($D22:$F22)*(1+'User Dashboard'!$C$20)^('T&amp;D'!Y$4-2022)</f>
        <v>0.49042674036444811</v>
      </c>
      <c r="Z11" s="257">
        <f>AVERAGE($D22:$F22)*(1+'User Dashboard'!$C$20)^('T&amp;D'!Z$4-2022)</f>
        <v>0.50023527517173705</v>
      </c>
      <c r="AA11" s="257">
        <f>AVERAGE($D22:$F22)*(1+'User Dashboard'!$C$20)^('T&amp;D'!AA$4-2022)</f>
        <v>0.51023998067517173</v>
      </c>
      <c r="AB11" s="257">
        <f>AVERAGE($D22:$F22)*(1+'User Dashboard'!$C$20)^('T&amp;D'!AB$4-2022)</f>
        <v>0.52044478028867525</v>
      </c>
      <c r="AC11" s="257">
        <f>AVERAGE($D22:$F22)*(1+'User Dashboard'!$C$20)^('T&amp;D'!AC$4-2022)</f>
        <v>0.53085367589444865</v>
      </c>
      <c r="AD11" s="257">
        <f>AVERAGE($D22:$F22)*(1+'User Dashboard'!$C$20)^('T&amp;D'!AD$4-2022)</f>
        <v>0.54147074941233775</v>
      </c>
      <c r="AE11" s="257">
        <f>AVERAGE($D22:$F22)*(1+'User Dashboard'!$C$20)^('T&amp;D'!AE$4-2022)</f>
        <v>0.55230016440058438</v>
      </c>
      <c r="AF11" s="257">
        <f>AVERAGE($D22:$F22)*(1+'User Dashboard'!$C$20)^('T&amp;D'!AF$4-2022)</f>
        <v>0.56334616768859624</v>
      </c>
      <c r="AG11" s="257">
        <f>AVERAGE($D22:$F22)*(1+'User Dashboard'!$C$20)^('T&amp;D'!AG$4-2022)</f>
        <v>0.57461309104236802</v>
      </c>
      <c r="AH11" s="257">
        <f>AVERAGE($D22:$F22)*(1+'User Dashboard'!$C$20)^('T&amp;D'!AH$4-2022)</f>
        <v>0.58610535286321541</v>
      </c>
      <c r="AI11" s="257">
        <f>AVERAGE($D22:$F22)*(1+'User Dashboard'!$C$20)^('T&amp;D'!AI$4-2022)</f>
        <v>0.59782745992047959</v>
      </c>
      <c r="AJ11" s="257">
        <f>AVERAGE($D22:$F22)*(1+'User Dashboard'!$C$20)^('T&amp;D'!AJ$4-2022)</f>
        <v>0.6097840091188893</v>
      </c>
      <c r="AL11" s="83" t="str">
        <f>_xlfn.CONCAT($B$11,"-",C11)</f>
        <v>SDG&amp;E-Residential</v>
      </c>
    </row>
    <row r="12" spans="2:38">
      <c r="B12" s="364"/>
      <c r="C12" s="112" t="s">
        <v>127</v>
      </c>
      <c r="D12" s="19">
        <v>0.2</v>
      </c>
      <c r="E12" s="19">
        <v>0.2</v>
      </c>
      <c r="F12" s="19">
        <v>0.2</v>
      </c>
      <c r="G12" s="258">
        <f>AVERAGE($D23:$F23)*(1+'User Dashboard'!$C$20)^('T&amp;D'!G$4-2022)</f>
        <v>0.20810720000000002</v>
      </c>
      <c r="H12" s="258">
        <f>AVERAGE($D23:$F23)*(1+'User Dashboard'!$C$20)^('T&amp;D'!H$4-2022)</f>
        <v>0.21226934400000003</v>
      </c>
      <c r="I12" s="258">
        <f>AVERAGE($D23:$F23)*(1+'User Dashboard'!$C$20)^('T&amp;D'!I$4-2022)</f>
        <v>0.21651473088000003</v>
      </c>
      <c r="J12" s="258">
        <f>AVERAGE($D23:$F23)*(1+'User Dashboard'!$C$20)^('T&amp;D'!J$4-2022)</f>
        <v>0.22084502549760004</v>
      </c>
      <c r="K12" s="258">
        <f>AVERAGE($D23:$F23)*(1+'User Dashboard'!$C$20)^('T&amp;D'!K$4-2022)</f>
        <v>0.22526192600755199</v>
      </c>
      <c r="L12" s="258">
        <f>AVERAGE($D23:$F23)*(1+'User Dashboard'!$C$20)^('T&amp;D'!L$4-2022)</f>
        <v>0.22976716452770304</v>
      </c>
      <c r="M12" s="258">
        <f>AVERAGE($D23:$F23)*(1+'User Dashboard'!$C$20)^('T&amp;D'!M$4-2022)</f>
        <v>0.23436250781825713</v>
      </c>
      <c r="N12" s="258">
        <f>AVERAGE($D23:$F23)*(1+'User Dashboard'!$C$20)^('T&amp;D'!N$4-2022)</f>
        <v>0.23904975797462227</v>
      </c>
      <c r="O12" s="258">
        <f>AVERAGE($D23:$F23)*(1+'User Dashboard'!$C$20)^('T&amp;D'!O$4-2022)</f>
        <v>0.24383075313411467</v>
      </c>
      <c r="P12" s="258">
        <f>AVERAGE($D23:$F23)*(1+'User Dashboard'!$C$20)^('T&amp;D'!P$4-2022)</f>
        <v>0.24870736819679701</v>
      </c>
      <c r="Q12" s="258">
        <f>AVERAGE($D23:$F23)*(1+'User Dashboard'!$C$20)^('T&amp;D'!Q$4-2022)</f>
        <v>0.25368151556073293</v>
      </c>
      <c r="R12" s="258">
        <f>AVERAGE($D23:$F23)*(1+'User Dashboard'!$C$20)^('T&amp;D'!R$4-2022)</f>
        <v>0.25875514587194759</v>
      </c>
      <c r="S12" s="258">
        <f>AVERAGE($D23:$F23)*(1+'User Dashboard'!$C$20)^('T&amp;D'!S$4-2022)</f>
        <v>0.26393024878938648</v>
      </c>
      <c r="T12" s="258">
        <f>AVERAGE($D23:$F23)*(1+'User Dashboard'!$C$20)^('T&amp;D'!T$4-2022)</f>
        <v>0.26920885376517428</v>
      </c>
      <c r="U12" s="258">
        <f>AVERAGE($D23:$F23)*(1+'User Dashboard'!$C$20)^('T&amp;D'!U$4-2022)</f>
        <v>0.27459303084047776</v>
      </c>
      <c r="V12" s="258">
        <f>AVERAGE($D23:$F23)*(1+'User Dashboard'!$C$20)^('T&amp;D'!V$4-2022)</f>
        <v>0.28008489145728732</v>
      </c>
      <c r="W12" s="258">
        <f>AVERAGE($D23:$F23)*(1+'User Dashboard'!$C$20)^('T&amp;D'!W$4-2022)</f>
        <v>0.28568658928643303</v>
      </c>
      <c r="X12" s="258">
        <f>AVERAGE($D23:$F23)*(1+'User Dashboard'!$C$20)^('T&amp;D'!X$4-2022)</f>
        <v>0.29140032107216174</v>
      </c>
      <c r="Y12" s="258">
        <f>AVERAGE($D23:$F23)*(1+'User Dashboard'!$C$20)^('T&amp;D'!Y$4-2022)</f>
        <v>0.29722832749360495</v>
      </c>
      <c r="Z12" s="258">
        <f>AVERAGE($D23:$F23)*(1+'User Dashboard'!$C$20)^('T&amp;D'!Z$4-2022)</f>
        <v>0.30317289404347703</v>
      </c>
      <c r="AA12" s="258">
        <f>AVERAGE($D23:$F23)*(1+'User Dashboard'!$C$20)^('T&amp;D'!AA$4-2022)</f>
        <v>0.30923635192434656</v>
      </c>
      <c r="AB12" s="258">
        <f>AVERAGE($D23:$F23)*(1+'User Dashboard'!$C$20)^('T&amp;D'!AB$4-2022)</f>
        <v>0.3154210789628335</v>
      </c>
      <c r="AC12" s="258">
        <f>AVERAGE($D23:$F23)*(1+'User Dashboard'!$C$20)^('T&amp;D'!AC$4-2022)</f>
        <v>0.32172950054209015</v>
      </c>
      <c r="AD12" s="258">
        <f>AVERAGE($D23:$F23)*(1+'User Dashboard'!$C$20)^('T&amp;D'!AD$4-2022)</f>
        <v>0.328164090552932</v>
      </c>
      <c r="AE12" s="258">
        <f>AVERAGE($D23:$F23)*(1+'User Dashboard'!$C$20)^('T&amp;D'!AE$4-2022)</f>
        <v>0.33472737236399058</v>
      </c>
      <c r="AF12" s="258">
        <f>AVERAGE($D23:$F23)*(1+'User Dashboard'!$C$20)^('T&amp;D'!AF$4-2022)</f>
        <v>0.34142191981127046</v>
      </c>
      <c r="AG12" s="258">
        <f>AVERAGE($D23:$F23)*(1+'User Dashboard'!$C$20)^('T&amp;D'!AG$4-2022)</f>
        <v>0.34825035820749584</v>
      </c>
      <c r="AH12" s="258">
        <f>AVERAGE($D23:$F23)*(1+'User Dashboard'!$C$20)^('T&amp;D'!AH$4-2022)</f>
        <v>0.35521536537164577</v>
      </c>
      <c r="AI12" s="258">
        <f>AVERAGE($D23:$F23)*(1+'User Dashboard'!$C$20)^('T&amp;D'!AI$4-2022)</f>
        <v>0.36231967267907861</v>
      </c>
      <c r="AJ12" s="258">
        <f>AVERAGE($D23:$F23)*(1+'User Dashboard'!$C$20)^('T&amp;D'!AJ$4-2022)</f>
        <v>0.36956606613266024</v>
      </c>
      <c r="AL12" s="83" t="str">
        <f t="shared" ref="AL12:AL13" si="3">_xlfn.CONCAT($B$11,"-",C12)</f>
        <v>SDG&amp;E-Commercial</v>
      </c>
    </row>
    <row r="13" spans="2:38" ht="16" thickBot="1">
      <c r="B13" s="365"/>
      <c r="C13" s="113" t="s">
        <v>128</v>
      </c>
      <c r="D13" s="23">
        <v>0.27</v>
      </c>
      <c r="E13" s="23">
        <v>0.27</v>
      </c>
      <c r="F13" s="23">
        <v>0.27</v>
      </c>
      <c r="G13" s="259">
        <f>AVERAGE($D24:$F24)*(1+'User Dashboard'!$C$20)^('T&amp;D'!G$4-2022)</f>
        <v>0.28094471999999998</v>
      </c>
      <c r="H13" s="259">
        <f>AVERAGE($D24:$F24)*(1+'User Dashboard'!$C$20)^('T&amp;D'!H$4-2022)</f>
        <v>0.2865636144</v>
      </c>
      <c r="I13" s="259">
        <f>AVERAGE($D24:$F24)*(1+'User Dashboard'!$C$20)^('T&amp;D'!I$4-2022)</f>
        <v>0.29229488668799997</v>
      </c>
      <c r="J13" s="259">
        <f>AVERAGE($D24:$F24)*(1+'User Dashboard'!$C$20)^('T&amp;D'!J$4-2022)</f>
        <v>0.29814078442176001</v>
      </c>
      <c r="K13" s="259">
        <f>AVERAGE($D24:$F24)*(1+'User Dashboard'!$C$20)^('T&amp;D'!K$4-2022)</f>
        <v>0.3041036001101951</v>
      </c>
      <c r="L13" s="259">
        <f>AVERAGE($D24:$F24)*(1+'User Dashboard'!$C$20)^('T&amp;D'!L$4-2022)</f>
        <v>0.31018567211239906</v>
      </c>
      <c r="M13" s="259">
        <f>AVERAGE($D24:$F24)*(1+'User Dashboard'!$C$20)^('T&amp;D'!M$4-2022)</f>
        <v>0.31638938555464702</v>
      </c>
      <c r="N13" s="259">
        <f>AVERAGE($D24:$F24)*(1+'User Dashboard'!$C$20)^('T&amp;D'!N$4-2022)</f>
        <v>0.32271717326574001</v>
      </c>
      <c r="O13" s="259">
        <f>AVERAGE($D24:$F24)*(1+'User Dashboard'!$C$20)^('T&amp;D'!O$4-2022)</f>
        <v>0.32917151673105471</v>
      </c>
      <c r="P13" s="259">
        <f>AVERAGE($D24:$F24)*(1+'User Dashboard'!$C$20)^('T&amp;D'!P$4-2022)</f>
        <v>0.33575494706567588</v>
      </c>
      <c r="Q13" s="259">
        <f>AVERAGE($D24:$F24)*(1+'User Dashboard'!$C$20)^('T&amp;D'!Q$4-2022)</f>
        <v>0.34247004600698938</v>
      </c>
      <c r="R13" s="259">
        <f>AVERAGE($D24:$F24)*(1+'User Dashboard'!$C$20)^('T&amp;D'!R$4-2022)</f>
        <v>0.34931944692712918</v>
      </c>
      <c r="S13" s="259">
        <f>AVERAGE($D24:$F24)*(1+'User Dashboard'!$C$20)^('T&amp;D'!S$4-2022)</f>
        <v>0.35630583586567172</v>
      </c>
      <c r="T13" s="259">
        <f>AVERAGE($D24:$F24)*(1+'User Dashboard'!$C$20)^('T&amp;D'!T$4-2022)</f>
        <v>0.36343195258298516</v>
      </c>
      <c r="U13" s="259">
        <f>AVERAGE($D24:$F24)*(1+'User Dashboard'!$C$20)^('T&amp;D'!U$4-2022)</f>
        <v>0.37070059163464492</v>
      </c>
      <c r="V13" s="259">
        <f>AVERAGE($D24:$F24)*(1+'User Dashboard'!$C$20)^('T&amp;D'!V$4-2022)</f>
        <v>0.37811460346733777</v>
      </c>
      <c r="W13" s="259">
        <f>AVERAGE($D24:$F24)*(1+'User Dashboard'!$C$20)^('T&amp;D'!W$4-2022)</f>
        <v>0.38567689553668455</v>
      </c>
      <c r="X13" s="259">
        <f>AVERAGE($D24:$F24)*(1+'User Dashboard'!$C$20)^('T&amp;D'!X$4-2022)</f>
        <v>0.39339043344741825</v>
      </c>
      <c r="Y13" s="259">
        <f>AVERAGE($D24:$F24)*(1+'User Dashboard'!$C$20)^('T&amp;D'!Y$4-2022)</f>
        <v>0.40125824211636657</v>
      </c>
      <c r="Z13" s="259">
        <f>AVERAGE($D24:$F24)*(1+'User Dashboard'!$C$20)^('T&amp;D'!Z$4-2022)</f>
        <v>0.40928340695869392</v>
      </c>
      <c r="AA13" s="259">
        <f>AVERAGE($D24:$F24)*(1+'User Dashboard'!$C$20)^('T&amp;D'!AA$4-2022)</f>
        <v>0.41746907509786774</v>
      </c>
      <c r="AB13" s="259">
        <f>AVERAGE($D24:$F24)*(1+'User Dashboard'!$C$20)^('T&amp;D'!AB$4-2022)</f>
        <v>0.42581845659982515</v>
      </c>
      <c r="AC13" s="259">
        <f>AVERAGE($D24:$F24)*(1+'User Dashboard'!$C$20)^('T&amp;D'!AC$4-2022)</f>
        <v>0.43433482573182164</v>
      </c>
      <c r="AD13" s="259">
        <f>AVERAGE($D24:$F24)*(1+'User Dashboard'!$C$20)^('T&amp;D'!AD$4-2022)</f>
        <v>0.44302152224645808</v>
      </c>
      <c r="AE13" s="259">
        <f>AVERAGE($D24:$F24)*(1+'User Dashboard'!$C$20)^('T&amp;D'!AE$4-2022)</f>
        <v>0.4518819526913872</v>
      </c>
      <c r="AF13" s="259">
        <f>AVERAGE($D24:$F24)*(1+'User Dashboard'!$C$20)^('T&amp;D'!AF$4-2022)</f>
        <v>0.46091959174521502</v>
      </c>
      <c r="AG13" s="259">
        <f>AVERAGE($D24:$F24)*(1+'User Dashboard'!$C$20)^('T&amp;D'!AG$4-2022)</f>
        <v>0.47013798358011927</v>
      </c>
      <c r="AH13" s="259">
        <f>AVERAGE($D24:$F24)*(1+'User Dashboard'!$C$20)^('T&amp;D'!AH$4-2022)</f>
        <v>0.47954074325172169</v>
      </c>
      <c r="AI13" s="259">
        <f>AVERAGE($D24:$F24)*(1+'User Dashboard'!$C$20)^('T&amp;D'!AI$4-2022)</f>
        <v>0.48913155811675602</v>
      </c>
      <c r="AJ13" s="259">
        <f>AVERAGE($D24:$F24)*(1+'User Dashboard'!$C$20)^('T&amp;D'!AJ$4-2022)</f>
        <v>0.4989141892790912</v>
      </c>
      <c r="AL13" s="83" t="str">
        <f t="shared" si="3"/>
        <v>SDG&amp;E-Total Core</v>
      </c>
    </row>
    <row r="15" spans="2:38" ht="16" thickBot="1">
      <c r="C15" s="4" t="s">
        <v>130</v>
      </c>
      <c r="D15" s="10">
        <v>2022</v>
      </c>
      <c r="E15" s="4">
        <f>D15+1</f>
        <v>2023</v>
      </c>
      <c r="F15" s="4">
        <f t="shared" ref="F15" si="4">E15+1</f>
        <v>2024</v>
      </c>
      <c r="AL15" s="83"/>
    </row>
    <row r="16" spans="2:38">
      <c r="B16" s="363" t="s">
        <v>126</v>
      </c>
      <c r="C16" s="111" t="s">
        <v>20</v>
      </c>
      <c r="D16" s="257">
        <f>D5/(1+'User Dashboard'!$C$20)^('T&amp;D'!D$15-2022)</f>
        <v>0.38250000000000001</v>
      </c>
      <c r="E16" s="257">
        <f>E5/(1+'User Dashboard'!$C$20)^('T&amp;D'!E$15-2022)</f>
        <v>0.36277450980392156</v>
      </c>
      <c r="F16" s="257">
        <f>F5/(1+'User Dashboard'!$C$20)^('T&amp;D'!F$15-2022)</f>
        <v>0.36764705882352944</v>
      </c>
      <c r="AL16" s="83"/>
    </row>
    <row r="17" spans="2:38">
      <c r="B17" s="364"/>
      <c r="C17" s="112" t="s">
        <v>127</v>
      </c>
      <c r="D17" s="258">
        <f>D6/(1+'User Dashboard'!$C$20)^('T&amp;D'!D$15-2022)</f>
        <v>0.23275999999999999</v>
      </c>
      <c r="E17" s="258">
        <f>E6/(1+'User Dashboard'!$C$20)^('T&amp;D'!E$15-2022)</f>
        <v>0.2316343137254902</v>
      </c>
      <c r="F17" s="258">
        <f>F6/(1+'User Dashboard'!$C$20)^('T&amp;D'!F$15-2022)</f>
        <v>0.19795271049596308</v>
      </c>
      <c r="AL17" s="83"/>
    </row>
    <row r="18" spans="2:38" ht="16" thickBot="1">
      <c r="B18" s="365"/>
      <c r="C18" s="113" t="s">
        <v>128</v>
      </c>
      <c r="D18" s="259">
        <f>D7/(1+'User Dashboard'!$C$20)^('T&amp;D'!D$15-2022)</f>
        <v>0.28162999999999999</v>
      </c>
      <c r="E18" s="259">
        <f>E7/(1+'User Dashboard'!$C$20)^('T&amp;D'!E$15-2022)</f>
        <v>0.28027254901960785</v>
      </c>
      <c r="F18" s="259">
        <f>F7/(1+'User Dashboard'!$C$20)^('T&amp;D'!F$15-2022)</f>
        <v>0.30005767012687429</v>
      </c>
      <c r="AL18" s="83"/>
    </row>
    <row r="19" spans="2:38">
      <c r="B19" s="363" t="s">
        <v>129</v>
      </c>
      <c r="C19" s="111" t="s">
        <v>20</v>
      </c>
      <c r="D19" s="257">
        <f>D8/(1+'User Dashboard'!$C$20)^('T&amp;D'!D$15-2022)</f>
        <v>0.23</v>
      </c>
      <c r="E19" s="257">
        <f>E8/(1+'User Dashboard'!$C$20)^('T&amp;D'!E$15-2022)</f>
        <v>0.21568627450980393</v>
      </c>
      <c r="F19" s="257">
        <f>F8/(1+'User Dashboard'!$C$20)^('T&amp;D'!F$15-2022)</f>
        <v>0.21145713187235679</v>
      </c>
      <c r="AL19" s="83"/>
    </row>
    <row r="20" spans="2:38">
      <c r="B20" s="364"/>
      <c r="C20" s="112" t="s">
        <v>127</v>
      </c>
      <c r="D20" s="258">
        <f>D9/(1+'User Dashboard'!$C$20)^('T&amp;D'!D$15-2022)</f>
        <v>0.13</v>
      </c>
      <c r="E20" s="258">
        <f>E9/(1+'User Dashboard'!$C$20)^('T&amp;D'!E$15-2022)</f>
        <v>0.12745098039215685</v>
      </c>
      <c r="F20" s="258">
        <f>F9/(1+'User Dashboard'!$C$20)^('T&amp;D'!F$15-2022)</f>
        <v>0.12495194156093811</v>
      </c>
      <c r="AL20" s="83"/>
    </row>
    <row r="21" spans="2:38" ht="16" thickBot="1">
      <c r="B21" s="365"/>
      <c r="C21" s="113" t="s">
        <v>128</v>
      </c>
      <c r="D21" s="259">
        <f>D10/(1+'User Dashboard'!$C$20)^('T&amp;D'!D$15-2022)</f>
        <v>0.19</v>
      </c>
      <c r="E21" s="259">
        <f>E10/(1+'User Dashboard'!$C$20)^('T&amp;D'!E$15-2022)</f>
        <v>0.18627450980392157</v>
      </c>
      <c r="F21" s="259">
        <f>F10/(1+'User Dashboard'!$C$20)^('T&amp;D'!F$15-2022)</f>
        <v>0.18262206843521722</v>
      </c>
      <c r="AL21" s="83"/>
    </row>
    <row r="22" spans="2:38">
      <c r="B22" s="363" t="s">
        <v>18</v>
      </c>
      <c r="C22" s="111" t="s">
        <v>20</v>
      </c>
      <c r="D22" s="257">
        <f>D11/(1+'User Dashboard'!$C$20)^('T&amp;D'!D$15-2022)</f>
        <v>0.33</v>
      </c>
      <c r="E22" s="257">
        <f>E11/(1+'User Dashboard'!$C$20)^('T&amp;D'!E$15-2022)</f>
        <v>0.3235294117647059</v>
      </c>
      <c r="F22" s="257">
        <f>F11/(1+'User Dashboard'!$C$20)^('T&amp;D'!F$15-2022)</f>
        <v>0.31718569780853517</v>
      </c>
      <c r="AL22" s="83"/>
    </row>
    <row r="23" spans="2:38">
      <c r="B23" s="364"/>
      <c r="C23" s="112" t="s">
        <v>127</v>
      </c>
      <c r="D23" s="258">
        <f>D12/(1+'User Dashboard'!$C$20)^('T&amp;D'!D$15-2022)</f>
        <v>0.2</v>
      </c>
      <c r="E23" s="258">
        <f>E12/(1+'User Dashboard'!$C$20)^('T&amp;D'!E$15-2022)</f>
        <v>0.19607843137254902</v>
      </c>
      <c r="F23" s="258">
        <f>F12/(1+'User Dashboard'!$C$20)^('T&amp;D'!F$15-2022)</f>
        <v>0.19223375624759709</v>
      </c>
      <c r="AL23" s="83"/>
    </row>
    <row r="24" spans="2:38" ht="16" thickBot="1">
      <c r="B24" s="365"/>
      <c r="C24" s="113" t="s">
        <v>128</v>
      </c>
      <c r="D24" s="259">
        <f>D13/(1+'User Dashboard'!$C$20)^('T&amp;D'!D$15-2022)</f>
        <v>0.27</v>
      </c>
      <c r="E24" s="259">
        <f>E13/(1+'User Dashboard'!$C$20)^('T&amp;D'!E$15-2022)</f>
        <v>0.26470588235294118</v>
      </c>
      <c r="F24" s="259">
        <f>F13/(1+'User Dashboard'!$C$20)^('T&amp;D'!F$15-2022)</f>
        <v>0.25951557093425609</v>
      </c>
      <c r="AL24" s="83"/>
    </row>
    <row r="25" spans="2:38">
      <c r="E25" s="5"/>
    </row>
    <row r="27" spans="2:38" s="110" customFormat="1">
      <c r="B27" s="110" t="s">
        <v>131</v>
      </c>
    </row>
    <row r="28" spans="2:38" ht="16" thickBot="1">
      <c r="B28" s="37" t="s">
        <v>132</v>
      </c>
    </row>
    <row r="29" spans="2:38">
      <c r="C29" s="360" t="s">
        <v>126</v>
      </c>
      <c r="D29" s="361"/>
      <c r="E29" s="362"/>
      <c r="F29" s="360" t="s">
        <v>133</v>
      </c>
      <c r="G29" s="361"/>
      <c r="H29" s="362"/>
      <c r="I29" s="360" t="s">
        <v>18</v>
      </c>
      <c r="J29" s="361"/>
      <c r="K29" s="362"/>
    </row>
    <row r="30" spans="2:38">
      <c r="C30" s="20" t="s">
        <v>20</v>
      </c>
      <c r="D30" s="4" t="s">
        <v>127</v>
      </c>
      <c r="E30" s="21" t="s">
        <v>128</v>
      </c>
      <c r="F30" s="20" t="s">
        <v>20</v>
      </c>
      <c r="G30" s="4" t="s">
        <v>127</v>
      </c>
      <c r="H30" s="21" t="s">
        <v>128</v>
      </c>
      <c r="I30" s="20" t="s">
        <v>20</v>
      </c>
      <c r="J30" s="4" t="s">
        <v>127</v>
      </c>
      <c r="K30" s="21" t="s">
        <v>128</v>
      </c>
    </row>
    <row r="31" spans="2:38">
      <c r="B31" s="30" t="s">
        <v>53</v>
      </c>
      <c r="C31" s="114">
        <v>0.16200000000000001</v>
      </c>
      <c r="D31" s="115">
        <v>0.128</v>
      </c>
      <c r="E31" s="116">
        <v>0.151</v>
      </c>
      <c r="F31" s="114">
        <v>0.13800000000000001</v>
      </c>
      <c r="G31" s="115">
        <v>0.105</v>
      </c>
      <c r="H31" s="116">
        <v>0.126</v>
      </c>
      <c r="I31" s="114">
        <v>0.13600000000000001</v>
      </c>
      <c r="J31" s="115">
        <v>0.109</v>
      </c>
      <c r="K31" s="116">
        <v>0.123</v>
      </c>
      <c r="M31" s="5"/>
    </row>
    <row r="32" spans="2:38">
      <c r="B32" s="30" t="s">
        <v>55</v>
      </c>
      <c r="C32" s="114">
        <v>0.13300000000000001</v>
      </c>
      <c r="D32" s="115">
        <v>0.113</v>
      </c>
      <c r="E32" s="116">
        <v>0.127</v>
      </c>
      <c r="F32" s="114">
        <v>0.121</v>
      </c>
      <c r="G32" s="115">
        <v>9.9000000000000005E-2</v>
      </c>
      <c r="H32" s="116">
        <v>0.112</v>
      </c>
      <c r="I32" s="114">
        <v>0.11899999999999999</v>
      </c>
      <c r="J32" s="115">
        <v>0.10199999999999999</v>
      </c>
      <c r="K32" s="116">
        <v>0.11</v>
      </c>
    </row>
    <row r="33" spans="2:11">
      <c r="B33" s="30" t="s">
        <v>57</v>
      </c>
      <c r="C33" s="114">
        <v>9.8000000000000004E-2</v>
      </c>
      <c r="D33" s="115">
        <v>9.1999999999999998E-2</v>
      </c>
      <c r="E33" s="116">
        <v>9.6000000000000002E-2</v>
      </c>
      <c r="F33" s="114">
        <v>0.105</v>
      </c>
      <c r="G33" s="115">
        <v>9.1999999999999998E-2</v>
      </c>
      <c r="H33" s="116">
        <v>0.1</v>
      </c>
      <c r="I33" s="114">
        <v>0.109</v>
      </c>
      <c r="J33" s="115">
        <v>9.6000000000000002E-2</v>
      </c>
      <c r="K33" s="116">
        <v>0.10199999999999999</v>
      </c>
    </row>
    <row r="34" spans="2:11">
      <c r="B34" s="30" t="s">
        <v>59</v>
      </c>
      <c r="C34" s="114">
        <v>7.6999999999999999E-2</v>
      </c>
      <c r="D34" s="115">
        <v>8.1000000000000003E-2</v>
      </c>
      <c r="E34" s="116">
        <v>7.8E-2</v>
      </c>
      <c r="F34" s="114">
        <v>8.6999999999999994E-2</v>
      </c>
      <c r="G34" s="115">
        <v>8.5000000000000006E-2</v>
      </c>
      <c r="H34" s="116">
        <v>8.5999999999999993E-2</v>
      </c>
      <c r="I34" s="114">
        <v>0.09</v>
      </c>
      <c r="J34" s="115">
        <v>8.7999999999999995E-2</v>
      </c>
      <c r="K34" s="116">
        <v>8.7999999999999995E-2</v>
      </c>
    </row>
    <row r="35" spans="2:11">
      <c r="B35" s="30" t="s">
        <v>60</v>
      </c>
      <c r="C35" s="114">
        <v>5.6000000000000001E-2</v>
      </c>
      <c r="D35" s="115">
        <v>6.9000000000000006E-2</v>
      </c>
      <c r="E35" s="116">
        <v>6.0999999999999999E-2</v>
      </c>
      <c r="F35" s="114">
        <v>6.3E-2</v>
      </c>
      <c r="G35" s="115">
        <v>7.3999999999999996E-2</v>
      </c>
      <c r="H35" s="116">
        <v>6.7000000000000004E-2</v>
      </c>
      <c r="I35" s="114">
        <v>6.7000000000000004E-2</v>
      </c>
      <c r="J35" s="115">
        <v>7.4999999999999997E-2</v>
      </c>
      <c r="K35" s="116">
        <v>7.0999999999999994E-2</v>
      </c>
    </row>
    <row r="36" spans="2:11">
      <c r="B36" s="30" t="s">
        <v>61</v>
      </c>
      <c r="C36" s="114">
        <v>4.5999999999999999E-2</v>
      </c>
      <c r="D36" s="115">
        <v>6.0999999999999999E-2</v>
      </c>
      <c r="E36" s="116">
        <v>5.0999999999999997E-2</v>
      </c>
      <c r="F36" s="114">
        <v>4.9000000000000002E-2</v>
      </c>
      <c r="G36" s="115">
        <v>7.0000000000000007E-2</v>
      </c>
      <c r="H36" s="116">
        <v>5.7000000000000002E-2</v>
      </c>
      <c r="I36" s="114">
        <v>5.0999999999999997E-2</v>
      </c>
      <c r="J36" s="115">
        <v>6.8000000000000005E-2</v>
      </c>
      <c r="K36" s="116">
        <v>5.8999999999999997E-2</v>
      </c>
    </row>
    <row r="37" spans="2:11">
      <c r="B37" s="30" t="s">
        <v>62</v>
      </c>
      <c r="C37" s="114">
        <v>4.1000000000000002E-2</v>
      </c>
      <c r="D37" s="115">
        <v>5.7000000000000002E-2</v>
      </c>
      <c r="E37" s="116">
        <v>4.5999999999999999E-2</v>
      </c>
      <c r="F37" s="114">
        <v>4.7E-2</v>
      </c>
      <c r="G37" s="115">
        <v>6.8000000000000005E-2</v>
      </c>
      <c r="H37" s="116">
        <v>5.5E-2</v>
      </c>
      <c r="I37" s="114">
        <v>4.9000000000000002E-2</v>
      </c>
      <c r="J37" s="115">
        <v>6.6000000000000003E-2</v>
      </c>
      <c r="K37" s="116">
        <v>5.7000000000000002E-2</v>
      </c>
    </row>
    <row r="38" spans="2:11">
      <c r="B38" s="30" t="s">
        <v>63</v>
      </c>
      <c r="C38" s="114">
        <v>0.04</v>
      </c>
      <c r="D38" s="115">
        <v>5.8999999999999997E-2</v>
      </c>
      <c r="E38" s="116">
        <v>4.5999999999999999E-2</v>
      </c>
      <c r="F38" s="114">
        <v>4.7E-2</v>
      </c>
      <c r="G38" s="115">
        <v>6.8000000000000005E-2</v>
      </c>
      <c r="H38" s="116">
        <v>5.5E-2</v>
      </c>
      <c r="I38" s="114">
        <v>4.8000000000000001E-2</v>
      </c>
      <c r="J38" s="115">
        <v>6.5000000000000002E-2</v>
      </c>
      <c r="K38" s="116">
        <v>5.7000000000000002E-2</v>
      </c>
    </row>
    <row r="39" spans="2:11">
      <c r="B39" s="30" t="s">
        <v>64</v>
      </c>
      <c r="C39" s="114">
        <v>4.2999999999999997E-2</v>
      </c>
      <c r="D39" s="115">
        <v>6.2E-2</v>
      </c>
      <c r="E39" s="116">
        <v>4.9000000000000002E-2</v>
      </c>
      <c r="F39" s="114">
        <v>4.7E-2</v>
      </c>
      <c r="G39" s="115">
        <v>6.9000000000000006E-2</v>
      </c>
      <c r="H39" s="116">
        <v>5.5E-2</v>
      </c>
      <c r="I39" s="114">
        <v>4.7E-2</v>
      </c>
      <c r="J39" s="115">
        <v>6.5000000000000002E-2</v>
      </c>
      <c r="K39" s="116">
        <v>5.6000000000000001E-2</v>
      </c>
    </row>
    <row r="40" spans="2:11">
      <c r="B40" s="30" t="s">
        <v>65</v>
      </c>
      <c r="C40" s="114">
        <v>5.1999999999999998E-2</v>
      </c>
      <c r="D40" s="115">
        <v>6.8000000000000005E-2</v>
      </c>
      <c r="E40" s="116">
        <v>5.7000000000000002E-2</v>
      </c>
      <c r="F40" s="114">
        <v>5.8000000000000003E-2</v>
      </c>
      <c r="G40" s="115">
        <v>7.3999999999999996E-2</v>
      </c>
      <c r="H40" s="116">
        <v>6.4000000000000001E-2</v>
      </c>
      <c r="I40" s="114">
        <v>5.7000000000000002E-2</v>
      </c>
      <c r="J40" s="115">
        <v>6.9000000000000006E-2</v>
      </c>
      <c r="K40" s="116">
        <v>6.3E-2</v>
      </c>
    </row>
    <row r="41" spans="2:11">
      <c r="B41" s="30" t="s">
        <v>66</v>
      </c>
      <c r="C41" s="114">
        <v>9.8000000000000004E-2</v>
      </c>
      <c r="D41" s="115">
        <v>9.0999999999999998E-2</v>
      </c>
      <c r="E41" s="116">
        <v>9.6000000000000002E-2</v>
      </c>
      <c r="F41" s="114">
        <v>9.1999999999999998E-2</v>
      </c>
      <c r="G41" s="115">
        <v>8.7999999999999995E-2</v>
      </c>
      <c r="H41" s="116">
        <v>9.0999999999999998E-2</v>
      </c>
      <c r="I41" s="114">
        <v>8.8999999999999996E-2</v>
      </c>
      <c r="J41" s="115">
        <v>8.5999999999999993E-2</v>
      </c>
      <c r="K41" s="116">
        <v>8.7999999999999995E-2</v>
      </c>
    </row>
    <row r="42" spans="2:11" ht="16" thickBot="1">
      <c r="B42" s="30" t="s">
        <v>67</v>
      </c>
      <c r="C42" s="117">
        <v>0.154</v>
      </c>
      <c r="D42" s="118">
        <v>0.11899999999999999</v>
      </c>
      <c r="E42" s="119">
        <v>0.14199999999999999</v>
      </c>
      <c r="F42" s="117">
        <v>0.14499999999999999</v>
      </c>
      <c r="G42" s="118">
        <v>0.107</v>
      </c>
      <c r="H42" s="119">
        <v>0.13200000000000001</v>
      </c>
      <c r="I42" s="117">
        <v>0.13900000000000001</v>
      </c>
      <c r="J42" s="118">
        <v>0.11</v>
      </c>
      <c r="K42" s="119">
        <v>0.126</v>
      </c>
    </row>
    <row r="43" spans="2:11">
      <c r="C43" s="41"/>
    </row>
    <row r="45" spans="2:11">
      <c r="B45" s="30" t="s">
        <v>134</v>
      </c>
      <c r="C45" s="166">
        <f>SUM(C41:C42,C31:C33)</f>
        <v>0.64500000000000002</v>
      </c>
      <c r="D45" s="166">
        <f t="shared" ref="D45:K45" si="5">SUM(D41:D42,D31:D33)</f>
        <v>0.54299999999999993</v>
      </c>
      <c r="E45" s="166">
        <f t="shared" si="5"/>
        <v>0.61199999999999999</v>
      </c>
      <c r="F45" s="166">
        <f t="shared" si="5"/>
        <v>0.60099999999999998</v>
      </c>
      <c r="G45" s="166">
        <f t="shared" si="5"/>
        <v>0.49099999999999999</v>
      </c>
      <c r="H45" s="166">
        <f t="shared" si="5"/>
        <v>0.56099999999999994</v>
      </c>
      <c r="I45" s="166">
        <f t="shared" si="5"/>
        <v>0.59199999999999997</v>
      </c>
      <c r="J45" s="166">
        <f t="shared" si="5"/>
        <v>0.503</v>
      </c>
      <c r="K45" s="166">
        <f t="shared" si="5"/>
        <v>0.54899999999999993</v>
      </c>
    </row>
    <row r="46" spans="2:11">
      <c r="B46" s="30" t="s">
        <v>135</v>
      </c>
      <c r="C46" s="166">
        <f t="shared" ref="C46:K46" si="6">1-C45</f>
        <v>0.35499999999999998</v>
      </c>
      <c r="D46" s="166">
        <f t="shared" si="6"/>
        <v>0.45700000000000007</v>
      </c>
      <c r="E46" s="166">
        <f t="shared" si="6"/>
        <v>0.38800000000000001</v>
      </c>
      <c r="F46" s="166">
        <f t="shared" si="6"/>
        <v>0.39900000000000002</v>
      </c>
      <c r="G46" s="166">
        <f t="shared" si="6"/>
        <v>0.50900000000000001</v>
      </c>
      <c r="H46" s="166">
        <f t="shared" si="6"/>
        <v>0.43900000000000006</v>
      </c>
      <c r="I46" s="166">
        <f t="shared" si="6"/>
        <v>0.40800000000000003</v>
      </c>
      <c r="J46" s="166">
        <f t="shared" si="6"/>
        <v>0.497</v>
      </c>
      <c r="K46" s="166">
        <f t="shared" si="6"/>
        <v>0.45100000000000007</v>
      </c>
    </row>
    <row r="47" spans="2:11">
      <c r="B47" s="30"/>
    </row>
    <row r="48" spans="2:11">
      <c r="B48" s="30" t="s">
        <v>136</v>
      </c>
      <c r="C48" s="120">
        <v>1</v>
      </c>
      <c r="D48" s="121">
        <v>1</v>
      </c>
      <c r="E48" s="121">
        <v>1</v>
      </c>
      <c r="F48" s="121">
        <v>1</v>
      </c>
      <c r="G48" s="121">
        <v>1</v>
      </c>
      <c r="H48" s="121">
        <v>1</v>
      </c>
      <c r="I48" s="121">
        <v>1</v>
      </c>
      <c r="J48" s="121">
        <v>1</v>
      </c>
      <c r="K48" s="121">
        <v>1</v>
      </c>
    </row>
    <row r="49" spans="2:11">
      <c r="B49" s="30" t="s">
        <v>137</v>
      </c>
      <c r="C49" s="122">
        <f t="shared" ref="C49:K49" si="7">1-C48</f>
        <v>0</v>
      </c>
      <c r="D49" s="123">
        <f t="shared" si="7"/>
        <v>0</v>
      </c>
      <c r="E49" s="123">
        <f t="shared" si="7"/>
        <v>0</v>
      </c>
      <c r="F49" s="123">
        <f t="shared" si="7"/>
        <v>0</v>
      </c>
      <c r="G49" s="123">
        <f t="shared" si="7"/>
        <v>0</v>
      </c>
      <c r="H49" s="123">
        <f t="shared" si="7"/>
        <v>0</v>
      </c>
      <c r="I49" s="123">
        <f t="shared" si="7"/>
        <v>0</v>
      </c>
      <c r="J49" s="123">
        <f t="shared" si="7"/>
        <v>0</v>
      </c>
      <c r="K49" s="123">
        <f t="shared" si="7"/>
        <v>0</v>
      </c>
    </row>
    <row r="50" spans="2:11">
      <c r="B50" s="30"/>
    </row>
    <row r="51" spans="2:11">
      <c r="B51" s="30" t="s">
        <v>136</v>
      </c>
      <c r="C51" s="167">
        <f>C48/C45</f>
        <v>1.5503875968992247</v>
      </c>
      <c r="D51" s="167">
        <f t="shared" ref="D51:K51" si="8">D48/D45</f>
        <v>1.8416206261510131</v>
      </c>
      <c r="E51" s="167">
        <f t="shared" si="8"/>
        <v>1.6339869281045751</v>
      </c>
      <c r="F51" s="167">
        <f t="shared" si="8"/>
        <v>1.6638935108153079</v>
      </c>
      <c r="G51" s="167">
        <f t="shared" si="8"/>
        <v>2.0366598778004072</v>
      </c>
      <c r="H51" s="167">
        <f t="shared" si="8"/>
        <v>1.7825311942959003</v>
      </c>
      <c r="I51" s="167">
        <f t="shared" si="8"/>
        <v>1.6891891891891893</v>
      </c>
      <c r="J51" s="167">
        <f t="shared" si="8"/>
        <v>1.9880715705765408</v>
      </c>
      <c r="K51" s="167">
        <f t="shared" si="8"/>
        <v>1.8214936247723135</v>
      </c>
    </row>
    <row r="52" spans="2:11">
      <c r="B52" s="30" t="s">
        <v>137</v>
      </c>
      <c r="C52" s="167">
        <f t="shared" ref="C52:K52" si="9">C49/C46</f>
        <v>0</v>
      </c>
      <c r="D52" s="167">
        <f t="shared" si="9"/>
        <v>0</v>
      </c>
      <c r="E52" s="167">
        <f t="shared" si="9"/>
        <v>0</v>
      </c>
      <c r="F52" s="167">
        <f t="shared" si="9"/>
        <v>0</v>
      </c>
      <c r="G52" s="167">
        <f t="shared" si="9"/>
        <v>0</v>
      </c>
      <c r="H52" s="167">
        <f t="shared" si="9"/>
        <v>0</v>
      </c>
      <c r="I52" s="167">
        <f t="shared" si="9"/>
        <v>0</v>
      </c>
      <c r="J52" s="167">
        <f t="shared" si="9"/>
        <v>0</v>
      </c>
      <c r="K52" s="167">
        <f t="shared" si="9"/>
        <v>0</v>
      </c>
    </row>
    <row r="54" spans="2:11" s="37" customFormat="1">
      <c r="B54" s="37" t="s">
        <v>138</v>
      </c>
    </row>
    <row r="55" spans="2:11">
      <c r="B55" s="30" t="s">
        <v>53</v>
      </c>
      <c r="C55" s="167">
        <f>C$51</f>
        <v>1.5503875968992247</v>
      </c>
      <c r="D55" s="167">
        <f t="shared" ref="C55:K57" si="10">D$51</f>
        <v>1.8416206261510131</v>
      </c>
      <c r="E55" s="167">
        <f t="shared" si="10"/>
        <v>1.6339869281045751</v>
      </c>
      <c r="F55" s="167">
        <f t="shared" si="10"/>
        <v>1.6638935108153079</v>
      </c>
      <c r="G55" s="167">
        <f t="shared" si="10"/>
        <v>2.0366598778004072</v>
      </c>
      <c r="H55" s="167">
        <f t="shared" si="10"/>
        <v>1.7825311942959003</v>
      </c>
      <c r="I55" s="167">
        <f t="shared" si="10"/>
        <v>1.6891891891891893</v>
      </c>
      <c r="J55" s="167">
        <f t="shared" si="10"/>
        <v>1.9880715705765408</v>
      </c>
      <c r="K55" s="167">
        <f t="shared" si="10"/>
        <v>1.8214936247723135</v>
      </c>
    </row>
    <row r="56" spans="2:11">
      <c r="B56" s="30" t="s">
        <v>55</v>
      </c>
      <c r="C56" s="167">
        <f>C$51</f>
        <v>1.5503875968992247</v>
      </c>
      <c r="D56" s="167">
        <f t="shared" si="10"/>
        <v>1.8416206261510131</v>
      </c>
      <c r="E56" s="167">
        <f t="shared" si="10"/>
        <v>1.6339869281045751</v>
      </c>
      <c r="F56" s="167">
        <f t="shared" si="10"/>
        <v>1.6638935108153079</v>
      </c>
      <c r="G56" s="167">
        <f t="shared" si="10"/>
        <v>2.0366598778004072</v>
      </c>
      <c r="H56" s="167">
        <f t="shared" si="10"/>
        <v>1.7825311942959003</v>
      </c>
      <c r="I56" s="167">
        <f t="shared" si="10"/>
        <v>1.6891891891891893</v>
      </c>
      <c r="J56" s="167">
        <f t="shared" si="10"/>
        <v>1.9880715705765408</v>
      </c>
      <c r="K56" s="167">
        <f t="shared" si="10"/>
        <v>1.8214936247723135</v>
      </c>
    </row>
    <row r="57" spans="2:11">
      <c r="B57" s="30" t="s">
        <v>57</v>
      </c>
      <c r="C57" s="167">
        <f t="shared" si="10"/>
        <v>1.5503875968992247</v>
      </c>
      <c r="D57" s="167">
        <f t="shared" si="10"/>
        <v>1.8416206261510131</v>
      </c>
      <c r="E57" s="167">
        <f t="shared" si="10"/>
        <v>1.6339869281045751</v>
      </c>
      <c r="F57" s="167">
        <f t="shared" si="10"/>
        <v>1.6638935108153079</v>
      </c>
      <c r="G57" s="167">
        <f t="shared" si="10"/>
        <v>2.0366598778004072</v>
      </c>
      <c r="H57" s="167">
        <f t="shared" si="10"/>
        <v>1.7825311942959003</v>
      </c>
      <c r="I57" s="167">
        <f t="shared" si="10"/>
        <v>1.6891891891891893</v>
      </c>
      <c r="J57" s="167">
        <f t="shared" si="10"/>
        <v>1.9880715705765408</v>
      </c>
      <c r="K57" s="167">
        <f t="shared" si="10"/>
        <v>1.8214936247723135</v>
      </c>
    </row>
    <row r="58" spans="2:11">
      <c r="B58" s="30" t="s">
        <v>59</v>
      </c>
      <c r="C58" s="167">
        <f t="shared" ref="C58:K64" si="11">C$52</f>
        <v>0</v>
      </c>
      <c r="D58" s="167">
        <f t="shared" si="11"/>
        <v>0</v>
      </c>
      <c r="E58" s="167">
        <f t="shared" si="11"/>
        <v>0</v>
      </c>
      <c r="F58" s="167">
        <f t="shared" si="11"/>
        <v>0</v>
      </c>
      <c r="G58" s="167">
        <f t="shared" si="11"/>
        <v>0</v>
      </c>
      <c r="H58" s="167">
        <f t="shared" si="11"/>
        <v>0</v>
      </c>
      <c r="I58" s="167">
        <f t="shared" si="11"/>
        <v>0</v>
      </c>
      <c r="J58" s="167">
        <f t="shared" si="11"/>
        <v>0</v>
      </c>
      <c r="K58" s="167">
        <f t="shared" si="11"/>
        <v>0</v>
      </c>
    </row>
    <row r="59" spans="2:11">
      <c r="B59" s="30" t="s">
        <v>60</v>
      </c>
      <c r="C59" s="167">
        <f t="shared" si="11"/>
        <v>0</v>
      </c>
      <c r="D59" s="167">
        <f t="shared" si="11"/>
        <v>0</v>
      </c>
      <c r="E59" s="167">
        <f t="shared" si="11"/>
        <v>0</v>
      </c>
      <c r="F59" s="167">
        <f t="shared" si="11"/>
        <v>0</v>
      </c>
      <c r="G59" s="167">
        <f t="shared" si="11"/>
        <v>0</v>
      </c>
      <c r="H59" s="167">
        <f t="shared" si="11"/>
        <v>0</v>
      </c>
      <c r="I59" s="167">
        <f t="shared" si="11"/>
        <v>0</v>
      </c>
      <c r="J59" s="167">
        <f t="shared" si="11"/>
        <v>0</v>
      </c>
      <c r="K59" s="167">
        <f t="shared" si="11"/>
        <v>0</v>
      </c>
    </row>
    <row r="60" spans="2:11">
      <c r="B60" s="30" t="s">
        <v>61</v>
      </c>
      <c r="C60" s="167">
        <f t="shared" si="11"/>
        <v>0</v>
      </c>
      <c r="D60" s="167">
        <f t="shared" si="11"/>
        <v>0</v>
      </c>
      <c r="E60" s="167">
        <f t="shared" si="11"/>
        <v>0</v>
      </c>
      <c r="F60" s="167">
        <f t="shared" si="11"/>
        <v>0</v>
      </c>
      <c r="G60" s="167">
        <f t="shared" si="11"/>
        <v>0</v>
      </c>
      <c r="H60" s="167">
        <f t="shared" si="11"/>
        <v>0</v>
      </c>
      <c r="I60" s="167">
        <f t="shared" si="11"/>
        <v>0</v>
      </c>
      <c r="J60" s="167">
        <f t="shared" si="11"/>
        <v>0</v>
      </c>
      <c r="K60" s="167">
        <f t="shared" si="11"/>
        <v>0</v>
      </c>
    </row>
    <row r="61" spans="2:11">
      <c r="B61" s="30" t="s">
        <v>62</v>
      </c>
      <c r="C61" s="167">
        <f t="shared" si="11"/>
        <v>0</v>
      </c>
      <c r="D61" s="167">
        <f t="shared" si="11"/>
        <v>0</v>
      </c>
      <c r="E61" s="167">
        <f t="shared" si="11"/>
        <v>0</v>
      </c>
      <c r="F61" s="167">
        <f t="shared" si="11"/>
        <v>0</v>
      </c>
      <c r="G61" s="167">
        <f t="shared" si="11"/>
        <v>0</v>
      </c>
      <c r="H61" s="167">
        <f t="shared" si="11"/>
        <v>0</v>
      </c>
      <c r="I61" s="167">
        <f t="shared" si="11"/>
        <v>0</v>
      </c>
      <c r="J61" s="167">
        <f t="shared" si="11"/>
        <v>0</v>
      </c>
      <c r="K61" s="167">
        <f t="shared" si="11"/>
        <v>0</v>
      </c>
    </row>
    <row r="62" spans="2:11">
      <c r="B62" s="30" t="s">
        <v>63</v>
      </c>
      <c r="C62" s="167">
        <f t="shared" si="11"/>
        <v>0</v>
      </c>
      <c r="D62" s="167">
        <f t="shared" si="11"/>
        <v>0</v>
      </c>
      <c r="E62" s="167">
        <f t="shared" si="11"/>
        <v>0</v>
      </c>
      <c r="F62" s="167">
        <f t="shared" si="11"/>
        <v>0</v>
      </c>
      <c r="G62" s="167">
        <f t="shared" si="11"/>
        <v>0</v>
      </c>
      <c r="H62" s="167">
        <f t="shared" si="11"/>
        <v>0</v>
      </c>
      <c r="I62" s="167">
        <f t="shared" si="11"/>
        <v>0</v>
      </c>
      <c r="J62" s="167">
        <f t="shared" si="11"/>
        <v>0</v>
      </c>
      <c r="K62" s="167">
        <f t="shared" si="11"/>
        <v>0</v>
      </c>
    </row>
    <row r="63" spans="2:11">
      <c r="B63" s="30" t="s">
        <v>64</v>
      </c>
      <c r="C63" s="167">
        <f t="shared" si="11"/>
        <v>0</v>
      </c>
      <c r="D63" s="167">
        <f t="shared" si="11"/>
        <v>0</v>
      </c>
      <c r="E63" s="167">
        <f t="shared" si="11"/>
        <v>0</v>
      </c>
      <c r="F63" s="167">
        <f t="shared" si="11"/>
        <v>0</v>
      </c>
      <c r="G63" s="167">
        <f t="shared" si="11"/>
        <v>0</v>
      </c>
      <c r="H63" s="167">
        <f t="shared" si="11"/>
        <v>0</v>
      </c>
      <c r="I63" s="167">
        <f t="shared" si="11"/>
        <v>0</v>
      </c>
      <c r="J63" s="167">
        <f t="shared" si="11"/>
        <v>0</v>
      </c>
      <c r="K63" s="167">
        <f t="shared" si="11"/>
        <v>0</v>
      </c>
    </row>
    <row r="64" spans="2:11">
      <c r="B64" s="30" t="s">
        <v>65</v>
      </c>
      <c r="C64" s="167">
        <f t="shared" si="11"/>
        <v>0</v>
      </c>
      <c r="D64" s="167">
        <f t="shared" si="11"/>
        <v>0</v>
      </c>
      <c r="E64" s="167">
        <f t="shared" si="11"/>
        <v>0</v>
      </c>
      <c r="F64" s="167">
        <f t="shared" si="11"/>
        <v>0</v>
      </c>
      <c r="G64" s="167">
        <f t="shared" si="11"/>
        <v>0</v>
      </c>
      <c r="H64" s="167">
        <f t="shared" si="11"/>
        <v>0</v>
      </c>
      <c r="I64" s="167">
        <f t="shared" si="11"/>
        <v>0</v>
      </c>
      <c r="J64" s="167">
        <f t="shared" si="11"/>
        <v>0</v>
      </c>
      <c r="K64" s="167">
        <f t="shared" si="11"/>
        <v>0</v>
      </c>
    </row>
    <row r="65" spans="2:11">
      <c r="B65" s="30" t="s">
        <v>66</v>
      </c>
      <c r="C65" s="167">
        <f t="shared" ref="C65:K66" si="12">C$51</f>
        <v>1.5503875968992247</v>
      </c>
      <c r="D65" s="167">
        <f t="shared" si="12"/>
        <v>1.8416206261510131</v>
      </c>
      <c r="E65" s="167">
        <f t="shared" si="12"/>
        <v>1.6339869281045751</v>
      </c>
      <c r="F65" s="167">
        <f t="shared" si="12"/>
        <v>1.6638935108153079</v>
      </c>
      <c r="G65" s="167">
        <f t="shared" si="12"/>
        <v>2.0366598778004072</v>
      </c>
      <c r="H65" s="167">
        <f t="shared" si="12"/>
        <v>1.7825311942959003</v>
      </c>
      <c r="I65" s="167">
        <f t="shared" si="12"/>
        <v>1.6891891891891893</v>
      </c>
      <c r="J65" s="167">
        <f t="shared" si="12"/>
        <v>1.9880715705765408</v>
      </c>
      <c r="K65" s="167">
        <f t="shared" si="12"/>
        <v>1.8214936247723135</v>
      </c>
    </row>
    <row r="66" spans="2:11">
      <c r="B66" s="30" t="s">
        <v>67</v>
      </c>
      <c r="C66" s="167">
        <f t="shared" si="12"/>
        <v>1.5503875968992247</v>
      </c>
      <c r="D66" s="167">
        <f t="shared" si="12"/>
        <v>1.8416206261510131</v>
      </c>
      <c r="E66" s="167">
        <f t="shared" si="12"/>
        <v>1.6339869281045751</v>
      </c>
      <c r="F66" s="167">
        <f t="shared" si="12"/>
        <v>1.6638935108153079</v>
      </c>
      <c r="G66" s="167">
        <f t="shared" si="12"/>
        <v>2.0366598778004072</v>
      </c>
      <c r="H66" s="167">
        <f t="shared" si="12"/>
        <v>1.7825311942959003</v>
      </c>
      <c r="I66" s="167">
        <f t="shared" si="12"/>
        <v>1.6891891891891893</v>
      </c>
      <c r="J66" s="167">
        <f t="shared" si="12"/>
        <v>1.9880715705765408</v>
      </c>
      <c r="K66" s="167">
        <f t="shared" si="12"/>
        <v>1.8214936247723135</v>
      </c>
    </row>
    <row r="67" spans="2:11">
      <c r="B67" s="30"/>
      <c r="C67" s="124"/>
      <c r="D67" s="124"/>
      <c r="E67" s="124"/>
      <c r="F67" s="124"/>
      <c r="G67" s="124"/>
      <c r="H67" s="124"/>
      <c r="I67" s="124"/>
      <c r="J67" s="124"/>
      <c r="K67" s="124"/>
    </row>
    <row r="68" spans="2:11">
      <c r="B68" s="125" t="s">
        <v>103</v>
      </c>
      <c r="C68" s="41" t="str">
        <f>_xlfn.CONCAT($C$29,"-",C30)</f>
        <v>PG&amp;E-Residential</v>
      </c>
      <c r="D68" s="41" t="str">
        <f>_xlfn.CONCAT($C$29,"-",D30)</f>
        <v>PG&amp;E-Commercial</v>
      </c>
      <c r="E68" s="41" t="str">
        <f>_xlfn.CONCAT($C$29,"-",E30)</f>
        <v>PG&amp;E-Total Core</v>
      </c>
      <c r="F68" s="41" t="str">
        <f>_xlfn.CONCAT($F$29,"-",F30)</f>
        <v>Socal Gas-Residential</v>
      </c>
      <c r="G68" s="41" t="str">
        <f>_xlfn.CONCAT($F$29,"-",G30)</f>
        <v>Socal Gas-Commercial</v>
      </c>
      <c r="H68" s="41" t="str">
        <f>_xlfn.CONCAT($F$29,"-",H30)</f>
        <v>Socal Gas-Total Core</v>
      </c>
      <c r="I68" s="41" t="str">
        <f>_xlfn.CONCAT($I$29,"-",I30)</f>
        <v>SDG&amp;E-Residential</v>
      </c>
      <c r="J68" s="41" t="str">
        <f t="shared" ref="J68:K68" si="13">_xlfn.CONCAT($I$29,"-",J30)</f>
        <v>SDG&amp;E-Commercial</v>
      </c>
      <c r="K68" s="41" t="str">
        <f t="shared" si="13"/>
        <v>SDG&amp;E-Total Core</v>
      </c>
    </row>
  </sheetData>
  <mergeCells count="9">
    <mergeCell ref="C29:E29"/>
    <mergeCell ref="F29:H29"/>
    <mergeCell ref="I29:K29"/>
    <mergeCell ref="B5:B7"/>
    <mergeCell ref="B8:B10"/>
    <mergeCell ref="B11:B13"/>
    <mergeCell ref="B16:B18"/>
    <mergeCell ref="B19:B21"/>
    <mergeCell ref="B22:B24"/>
  </mergeCells>
  <phoneticPr fontId="6" type="noConversion"/>
  <pageMargins left="0.75" right="0.75" top="1" bottom="1" header="0.5" footer="0.5"/>
  <pageSetup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E8BA7-6735-479B-A6BB-2A7CAFED13C3}">
  <sheetPr codeName="Sheet15">
    <tabColor theme="5"/>
  </sheetPr>
  <dimension ref="B2:F25"/>
  <sheetViews>
    <sheetView workbookViewId="0">
      <selection activeCell="E11" sqref="E11"/>
    </sheetView>
  </sheetViews>
  <sheetFormatPr baseColWidth="10" defaultColWidth="8.3984375" defaultRowHeight="15"/>
  <cols>
    <col min="1" max="1" width="7.796875" style="13" customWidth="1"/>
    <col min="2" max="2" width="52.3984375" style="13" customWidth="1"/>
    <col min="3" max="5" width="22" style="13" customWidth="1"/>
    <col min="6" max="6" width="85.19921875" style="13" bestFit="1" customWidth="1"/>
    <col min="7" max="16384" width="8.3984375" style="13"/>
  </cols>
  <sheetData>
    <row r="2" spans="2:6">
      <c r="B2" s="11" t="s">
        <v>139</v>
      </c>
      <c r="C2" s="367" t="s">
        <v>140</v>
      </c>
      <c r="D2" s="225" t="s">
        <v>141</v>
      </c>
      <c r="E2" s="225" t="s">
        <v>142</v>
      </c>
      <c r="F2" s="12"/>
    </row>
    <row r="3" spans="2:6">
      <c r="B3" s="12" t="s">
        <v>143</v>
      </c>
      <c r="C3" s="368"/>
      <c r="D3" s="226" t="s">
        <v>144</v>
      </c>
      <c r="E3" s="226" t="s">
        <v>145</v>
      </c>
      <c r="F3" s="12" t="s">
        <v>146</v>
      </c>
    </row>
    <row r="4" spans="2:6" ht="48">
      <c r="B4" s="143" t="s">
        <v>147</v>
      </c>
      <c r="C4" s="260">
        <f>IF('User Dashboard'!$C$10="TRC",'Methane Leakage'!D4,'Methane Leakage'!E4)*$C$16/$C$14</f>
        <v>5.57E-2</v>
      </c>
      <c r="D4" s="260">
        <f>D5*$C$21</f>
        <v>5.57E-2</v>
      </c>
      <c r="E4" s="260">
        <f>E5*$C$21</f>
        <v>0.20985401459854011</v>
      </c>
      <c r="F4" s="15" t="s">
        <v>148</v>
      </c>
    </row>
    <row r="5" spans="2:6">
      <c r="B5" s="143" t="s">
        <v>149</v>
      </c>
      <c r="C5" s="260">
        <f>IF('User Dashboard'!$C$10="TRC",'Methane Leakage'!D5,'Methane Leakage'!E5)</f>
        <v>6.104720000000001E-3</v>
      </c>
      <c r="D5" s="227">
        <v>6.104720000000001E-3</v>
      </c>
      <c r="E5" s="227">
        <v>2.3E-2</v>
      </c>
      <c r="F5" s="15"/>
    </row>
    <row r="7" spans="2:6">
      <c r="B7" s="14" t="s">
        <v>399</v>
      </c>
      <c r="C7" s="260">
        <f>C8*C21</f>
        <v>3.786496350364963E-2</v>
      </c>
      <c r="D7" s="325"/>
      <c r="E7" s="324"/>
      <c r="F7" s="324" t="s">
        <v>150</v>
      </c>
    </row>
    <row r="8" spans="2:6">
      <c r="B8" s="355" t="s">
        <v>398</v>
      </c>
      <c r="C8" s="323">
        <v>4.15E-3</v>
      </c>
      <c r="D8" s="352"/>
      <c r="E8" s="353"/>
      <c r="F8" s="354"/>
    </row>
    <row r="11" spans="2:6">
      <c r="B11" s="16" t="s">
        <v>151</v>
      </c>
      <c r="C11" s="159" t="s">
        <v>152</v>
      </c>
      <c r="D11" s="351" t="s">
        <v>153</v>
      </c>
      <c r="F11" s="351"/>
    </row>
    <row r="13" spans="2:6">
      <c r="B13" s="366" t="s">
        <v>154</v>
      </c>
      <c r="C13" s="366"/>
    </row>
    <row r="14" spans="2:6">
      <c r="B14" s="262" t="s">
        <v>152</v>
      </c>
      <c r="C14" s="261">
        <v>25</v>
      </c>
    </row>
    <row r="15" spans="2:6">
      <c r="B15" s="262" t="s">
        <v>155</v>
      </c>
      <c r="C15" s="261">
        <v>72</v>
      </c>
    </row>
    <row r="16" spans="2:6">
      <c r="B16" s="17" t="s">
        <v>156</v>
      </c>
      <c r="C16" s="17">
        <f>INDEX(C14:C15,MATCH(C11,B14:B15,0))</f>
        <v>25</v>
      </c>
      <c r="D16" s="17"/>
      <c r="E16" s="17"/>
    </row>
    <row r="18" spans="2:5">
      <c r="B18" s="369" t="s">
        <v>157</v>
      </c>
      <c r="C18" s="369"/>
    </row>
    <row r="19" spans="2:5">
      <c r="B19" s="263" t="s">
        <v>158</v>
      </c>
      <c r="C19" s="261">
        <v>25</v>
      </c>
    </row>
    <row r="20" spans="2:5">
      <c r="B20" s="263" t="s">
        <v>409</v>
      </c>
      <c r="C20" s="261">
        <v>2.74</v>
      </c>
    </row>
    <row r="21" spans="2:5">
      <c r="B21" s="263" t="s">
        <v>159</v>
      </c>
      <c r="C21" s="264">
        <f>C19/C20</f>
        <v>9.1240875912408743</v>
      </c>
    </row>
    <row r="25" spans="2:5">
      <c r="C25" s="18"/>
      <c r="D25" s="18"/>
      <c r="E25" s="18"/>
    </row>
  </sheetData>
  <mergeCells count="3">
    <mergeCell ref="B13:C13"/>
    <mergeCell ref="C2:C3"/>
    <mergeCell ref="B18:C18"/>
  </mergeCells>
  <dataValidations count="1">
    <dataValidation type="list" allowBlank="1" showInputMessage="1" showErrorMessage="1" sqref="C11" xr:uid="{F2B4D3A4-0D21-4A84-8A1F-6CF80799575A}">
      <formula1>$B$14:$B$15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sheetPr>
  <dimension ref="B2:H22"/>
  <sheetViews>
    <sheetView workbookViewId="0">
      <selection activeCell="C15" sqref="C15"/>
    </sheetView>
  </sheetViews>
  <sheetFormatPr baseColWidth="10" defaultColWidth="9" defaultRowHeight="15"/>
  <cols>
    <col min="1" max="1" width="7.796875" style="106" customWidth="1"/>
    <col min="2" max="2" width="32" style="106" customWidth="1"/>
    <col min="3" max="3" width="12" style="106" customWidth="1"/>
    <col min="4" max="4" width="11.3984375" style="106" customWidth="1"/>
    <col min="5" max="5" width="10.796875" style="106" customWidth="1"/>
    <col min="6" max="6" width="11.796875" style="106" bestFit="1" customWidth="1"/>
    <col min="7" max="9" width="9" style="106"/>
    <col min="10" max="10" width="30" style="106" customWidth="1"/>
    <col min="11" max="16384" width="9" style="106"/>
  </cols>
  <sheetData>
    <row r="2" spans="2:8" s="107" customFormat="1">
      <c r="B2" s="107" t="s">
        <v>160</v>
      </c>
    </row>
    <row r="4" spans="2:8">
      <c r="B4" s="1"/>
      <c r="C4" s="151" t="s">
        <v>126</v>
      </c>
      <c r="D4" s="151" t="s">
        <v>129</v>
      </c>
      <c r="E4" s="151" t="s">
        <v>18</v>
      </c>
      <c r="G4" s="1"/>
      <c r="H4" s="1"/>
    </row>
    <row r="5" spans="2:8">
      <c r="B5" s="112" t="s">
        <v>161</v>
      </c>
      <c r="C5" s="218">
        <v>0</v>
      </c>
      <c r="D5" s="218">
        <v>3.8999999999999998E-3</v>
      </c>
      <c r="E5" s="218">
        <v>4.0000000000000001E-3</v>
      </c>
      <c r="G5" s="1"/>
      <c r="H5" s="5"/>
    </row>
    <row r="6" spans="2:8">
      <c r="B6" s="112" t="s">
        <v>162</v>
      </c>
      <c r="C6" s="219">
        <v>2.41E-2</v>
      </c>
      <c r="D6" s="219">
        <v>1.37E-2</v>
      </c>
      <c r="E6" s="219">
        <v>0.01</v>
      </c>
      <c r="G6" s="1"/>
      <c r="H6" s="1"/>
    </row>
    <row r="7" spans="2:8">
      <c r="B7" s="81" t="s">
        <v>163</v>
      </c>
    </row>
    <row r="9" spans="2:8" s="107" customFormat="1">
      <c r="B9" s="107" t="s">
        <v>164</v>
      </c>
    </row>
    <row r="11" spans="2:8">
      <c r="B11" s="143" t="s">
        <v>165</v>
      </c>
      <c r="C11" s="201">
        <v>0.02</v>
      </c>
      <c r="D11" s="147"/>
      <c r="E11" s="147"/>
      <c r="F11" s="147"/>
    </row>
    <row r="12" spans="2:8">
      <c r="B12" s="144" t="s">
        <v>126</v>
      </c>
      <c r="C12" s="197">
        <v>0</v>
      </c>
      <c r="D12" s="197">
        <v>7.2700000000000001E-2</v>
      </c>
      <c r="E12" s="147"/>
      <c r="F12" s="147"/>
    </row>
    <row r="13" spans="2:8">
      <c r="B13" s="145" t="s">
        <v>270</v>
      </c>
      <c r="C13" s="198">
        <v>0</v>
      </c>
      <c r="D13" s="198">
        <v>7.0999999999999994E-2</v>
      </c>
      <c r="E13" s="147"/>
      <c r="F13" s="147"/>
    </row>
    <row r="14" spans="2:8">
      <c r="B14" s="146" t="s">
        <v>18</v>
      </c>
      <c r="C14" s="199">
        <v>0</v>
      </c>
      <c r="D14" s="199">
        <v>7.1800000000000003E-2</v>
      </c>
      <c r="E14" s="147"/>
      <c r="F14" s="147"/>
    </row>
    <row r="15" spans="2:8">
      <c r="B15" s="147"/>
      <c r="C15" s="147"/>
      <c r="D15" s="147"/>
      <c r="E15" s="147"/>
      <c r="F15" s="147"/>
    </row>
    <row r="16" spans="2:8">
      <c r="B16" s="147"/>
      <c r="C16" s="220" t="s">
        <v>166</v>
      </c>
      <c r="D16" s="220" t="s">
        <v>26</v>
      </c>
      <c r="E16" s="147"/>
      <c r="F16" s="147"/>
    </row>
    <row r="17" spans="2:6">
      <c r="B17" s="143" t="s">
        <v>413</v>
      </c>
      <c r="C17" s="356"/>
      <c r="D17" s="200">
        <v>0.03</v>
      </c>
      <c r="E17" s="147"/>
      <c r="F17" s="147"/>
    </row>
    <row r="18" spans="2:6">
      <c r="B18" s="143" t="s">
        <v>35</v>
      </c>
      <c r="C18" s="357">
        <f>AVERAGE(C12:C14)</f>
        <v>0</v>
      </c>
      <c r="D18" s="357">
        <f>(1+C11)*(1+D17)-1</f>
        <v>5.0599999999999978E-2</v>
      </c>
      <c r="E18" s="147"/>
      <c r="F18" s="147"/>
    </row>
    <row r="19" spans="2:6">
      <c r="B19" s="147"/>
      <c r="C19" s="147"/>
      <c r="D19" s="147"/>
      <c r="E19" s="147"/>
      <c r="F19" s="147"/>
    </row>
    <row r="20" spans="2:6" s="107" customFormat="1">
      <c r="B20" s="107" t="s">
        <v>167</v>
      </c>
    </row>
    <row r="22" spans="2:6">
      <c r="B22" s="152" t="s">
        <v>168</v>
      </c>
      <c r="C22" s="196">
        <v>10</v>
      </c>
    </row>
  </sheetData>
  <phoneticPr fontId="21" type="noConversion"/>
  <pageMargins left="0.7" right="0.7" top="0.75" bottom="0.75" header="0.3" footer="0.3"/>
  <pageSetup orientation="portrait" r:id="rId1"/>
  <ignoredErrors>
    <ignoredError sqref="C18"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0AAD-68A9-4862-AF18-628B9F6577A2}">
  <sheetPr codeName="Sheet9">
    <tabColor theme="5"/>
  </sheetPr>
  <dimension ref="B2:L62"/>
  <sheetViews>
    <sheetView workbookViewId="0"/>
  </sheetViews>
  <sheetFormatPr baseColWidth="10" defaultColWidth="9" defaultRowHeight="15"/>
  <cols>
    <col min="1" max="1" width="7.796875" customWidth="1"/>
    <col min="2" max="2" width="25.19921875" style="1" customWidth="1"/>
    <col min="3" max="8" width="28.19921875" style="1" customWidth="1"/>
    <col min="9" max="9" width="21" style="1" customWidth="1"/>
    <col min="10" max="10" width="25.796875" style="1" bestFit="1" customWidth="1"/>
    <col min="11" max="11" width="17" customWidth="1"/>
    <col min="12" max="12" width="17.796875" bestFit="1" customWidth="1"/>
    <col min="13" max="13" width="31.19921875" bestFit="1" customWidth="1"/>
  </cols>
  <sheetData>
    <row r="2" spans="2:10" s="3" customFormat="1">
      <c r="B2" s="3" t="s">
        <v>169</v>
      </c>
    </row>
    <row r="3" spans="2:10">
      <c r="B3" s="42"/>
      <c r="C3" s="8"/>
      <c r="D3" s="8"/>
      <c r="E3" s="8"/>
      <c r="F3" s="8"/>
      <c r="G3" s="8"/>
      <c r="H3" s="8"/>
      <c r="I3" s="8"/>
      <c r="J3" s="8"/>
    </row>
    <row r="4" spans="2:10">
      <c r="B4" s="29" t="s">
        <v>170</v>
      </c>
      <c r="C4" s="156">
        <v>2021</v>
      </c>
    </row>
    <row r="5" spans="2:10">
      <c r="B5" s="29" t="s">
        <v>38</v>
      </c>
      <c r="C5" s="99">
        <f>'User Dashboard'!$C$20</f>
        <v>0.02</v>
      </c>
    </row>
    <row r="7" spans="2:10" s="103" customFormat="1" ht="32">
      <c r="B7" s="100" t="s">
        <v>171</v>
      </c>
      <c r="C7" s="100" t="s">
        <v>17</v>
      </c>
      <c r="D7" s="100" t="s">
        <v>172</v>
      </c>
      <c r="E7" s="100" t="s">
        <v>173</v>
      </c>
      <c r="F7" s="100" t="s">
        <v>174</v>
      </c>
      <c r="G7" s="100" t="s">
        <v>175</v>
      </c>
      <c r="H7" s="100" t="s">
        <v>176</v>
      </c>
      <c r="I7" s="102"/>
    </row>
    <row r="8" spans="2:10">
      <c r="B8" s="154" t="s">
        <v>177</v>
      </c>
      <c r="C8" s="154" t="s">
        <v>126</v>
      </c>
      <c r="D8" s="154" t="s">
        <v>178</v>
      </c>
      <c r="E8" s="154" t="s">
        <v>179</v>
      </c>
      <c r="F8" s="154">
        <v>1</v>
      </c>
      <c r="G8" s="154">
        <v>1</v>
      </c>
      <c r="H8" s="154">
        <v>1</v>
      </c>
      <c r="J8"/>
    </row>
    <row r="9" spans="2:10">
      <c r="B9" s="155" t="s">
        <v>180</v>
      </c>
      <c r="C9" s="155" t="s">
        <v>133</v>
      </c>
      <c r="D9" s="154" t="s">
        <v>178</v>
      </c>
      <c r="E9" s="154" t="s">
        <v>179</v>
      </c>
      <c r="F9" s="155">
        <v>1</v>
      </c>
      <c r="G9" s="154">
        <v>1</v>
      </c>
      <c r="H9" s="154">
        <v>1</v>
      </c>
      <c r="J9"/>
    </row>
    <row r="10" spans="2:10">
      <c r="B10" s="155" t="s">
        <v>181</v>
      </c>
      <c r="C10" s="155" t="s">
        <v>18</v>
      </c>
      <c r="D10" s="154" t="s">
        <v>178</v>
      </c>
      <c r="E10" s="154" t="s">
        <v>179</v>
      </c>
      <c r="F10" s="155">
        <v>1</v>
      </c>
      <c r="G10" s="154">
        <v>1</v>
      </c>
      <c r="H10" s="154">
        <v>1</v>
      </c>
      <c r="J10"/>
    </row>
    <row r="11" spans="2:10">
      <c r="B11" s="155"/>
      <c r="C11" s="155"/>
      <c r="D11" s="155"/>
      <c r="E11" s="155"/>
      <c r="F11" s="155"/>
      <c r="G11" s="155"/>
      <c r="H11" s="155"/>
      <c r="J11"/>
    </row>
    <row r="12" spans="2:10">
      <c r="B12" s="155"/>
      <c r="C12" s="155"/>
      <c r="D12" s="155"/>
      <c r="E12" s="155"/>
      <c r="F12" s="155"/>
      <c r="G12" s="155"/>
      <c r="H12" s="155"/>
      <c r="J12"/>
    </row>
    <row r="13" spans="2:10">
      <c r="B13" s="155"/>
      <c r="C13" s="155"/>
      <c r="D13" s="155"/>
      <c r="E13" s="155"/>
      <c r="F13" s="155"/>
      <c r="G13" s="155"/>
      <c r="H13" s="155"/>
      <c r="J13"/>
    </row>
    <row r="14" spans="2:10">
      <c r="B14" s="155"/>
      <c r="C14" s="155"/>
      <c r="D14" s="155"/>
      <c r="E14" s="155"/>
      <c r="F14" s="155"/>
      <c r="G14" s="155"/>
      <c r="H14" s="155"/>
      <c r="J14"/>
    </row>
    <row r="15" spans="2:10">
      <c r="B15" s="155"/>
      <c r="C15" s="155"/>
      <c r="D15" s="155"/>
      <c r="E15" s="155"/>
      <c r="F15" s="155"/>
      <c r="G15" s="155"/>
      <c r="H15" s="155"/>
      <c r="J15"/>
    </row>
    <row r="16" spans="2:10">
      <c r="B16" s="155"/>
      <c r="C16" s="155"/>
      <c r="D16" s="155"/>
      <c r="E16" s="155"/>
      <c r="F16" s="155"/>
      <c r="G16" s="155"/>
      <c r="H16" s="155"/>
      <c r="J16"/>
    </row>
    <row r="17" spans="2:10">
      <c r="B17" s="155"/>
      <c r="C17" s="155"/>
      <c r="D17" s="155"/>
      <c r="E17" s="155"/>
      <c r="F17" s="155"/>
      <c r="G17" s="155"/>
      <c r="H17" s="155"/>
      <c r="J17"/>
    </row>
    <row r="20" spans="2:10" s="3" customFormat="1">
      <c r="B20" s="3" t="s">
        <v>182</v>
      </c>
    </row>
    <row r="22" spans="2:10" s="6" customFormat="1" ht="32">
      <c r="B22" s="100" t="s">
        <v>171</v>
      </c>
      <c r="C22" s="100" t="str">
        <f>"Total Avoided Mainline Extension Costs ($" &amp;$C$4 &amp; ")"</f>
        <v>Total Avoided Mainline Extension Costs ($2021)</v>
      </c>
      <c r="D22" s="100" t="str">
        <f>"Total Avoided Service Extension Costs ($" &amp;$C$4 &amp; ")"</f>
        <v>Total Avoided Service Extension Costs ($2021)</v>
      </c>
      <c r="E22" s="100" t="str">
        <f>"Total Avoided Meter Costs ($" &amp;$C$4 &amp; ")"</f>
        <v>Total Avoided Meter Costs ($2021)</v>
      </c>
      <c r="F22" s="101" t="str">
        <f>"Total Avoided Gas Infrastructure Costs ($" &amp;$C$4 &amp; ")"</f>
        <v>Total Avoided Gas Infrastructure Costs ($2021)</v>
      </c>
      <c r="G22" s="104" t="s">
        <v>183</v>
      </c>
    </row>
    <row r="23" spans="2:10">
      <c r="B23" s="47" t="str">
        <f>IF(B8="", "", B8)</f>
        <v>Example_Project_Name_PGE</v>
      </c>
      <c r="C23" s="39" cm="1">
        <f t="array" ref="C23">IFERROR(INDEX($D$41:$F$44, MATCH(1, ($D8 = $B$41:$B$44)*($E8=$C$41:$C$44), 0), MATCH($C8, $D$40:$F$40, 0))*(1+$C$5)^($C$4-$G23), 0)*$F8</f>
        <v>21.42</v>
      </c>
      <c r="D23" s="39">
        <f t="shared" ref="D23:D32" si="0">IFERROR(INDEX($D$49:$F$50, MATCH($D8, $B$49:$B$50, 0), MATCH($C8, $D$48:$F$48, 0)) *(1+$C$5)^($C$4-$G23), 0)*$G8</f>
        <v>848.64</v>
      </c>
      <c r="E23" s="39" cm="1">
        <f t="array" ref="E23">IFERROR(INDEX($D$55:$F$62, MATCH(1, ($D8 = $B$55:$B$62)*($E8=$C$55:$C$62), 0), MATCH($C8, $D$54:$F$54, 0))*(1+$C$5)^($C$4-$G23), 0)*$H8</f>
        <v>588.54</v>
      </c>
      <c r="F23" s="48">
        <f>SUM($C23:$E23)</f>
        <v>1458.6</v>
      </c>
      <c r="G23" s="105">
        <f>IFERROR(INDEX($D$37:$F$37, MATCH($C8, $D$40:$F$40, 0)), "")</f>
        <v>2020</v>
      </c>
      <c r="H23"/>
      <c r="I23"/>
      <c r="J23"/>
    </row>
    <row r="24" spans="2:10">
      <c r="B24" s="47" t="str">
        <f t="shared" ref="B24:B32" si="1">IF(B9="", "", B9)</f>
        <v>Example_Project_Name_SCG</v>
      </c>
      <c r="C24" s="39" cm="1">
        <f t="array" ref="C24">IFERROR(INDEX($D$41:$F$44, MATCH(1, ($D9 = $B$41:$B$44)*($E9=$C$41:$C$44), 0), MATCH($C9, $D$40:$F$40, 0))*(1+$C$5)^($C$4-$G24), 0)*$F9</f>
        <v>30.82</v>
      </c>
      <c r="D24" s="39">
        <f t="shared" si="0"/>
        <v>7620</v>
      </c>
      <c r="E24" s="39" cm="1">
        <f t="array" ref="E24">IFERROR(INDEX($D$55:$F$62, MATCH(1, ($D9 = $B$55:$B$62)*($E9=$C$55:$C$62), 0), MATCH($C9, $D$54:$F$54, 0))*(1+$C$5)^($C$4-$G24), 0)*$H9</f>
        <v>489</v>
      </c>
      <c r="F24" s="48">
        <f t="shared" ref="F24:F32" si="2">SUM($C24:$E24)</f>
        <v>8139.82</v>
      </c>
      <c r="G24" s="105">
        <f t="shared" ref="G24:G32" si="3">IFERROR(INDEX($D$37:$F$37, MATCH($C9, $D$40:$F$40, 0)), "")</f>
        <v>2021</v>
      </c>
      <c r="H24"/>
      <c r="I24"/>
      <c r="J24"/>
    </row>
    <row r="25" spans="2:10">
      <c r="B25" s="47" t="str">
        <f t="shared" si="1"/>
        <v>Example_Project_Name_SDGE</v>
      </c>
      <c r="C25" s="39" cm="1">
        <f t="array" ref="C25">IFERROR(INDEX($D$41:$F$44, MATCH(1, ($D10 = $B$41:$B$44)*($E10=$C$41:$C$44), 0), MATCH($C10, $D$40:$F$40, 0))*(1+$C$5)^($C$4-$G25), 0)*$F10</f>
        <v>38.69</v>
      </c>
      <c r="D25" s="39">
        <f t="shared" si="0"/>
        <v>3163.3760770744288</v>
      </c>
      <c r="E25" s="39" cm="1">
        <f t="array" ref="E25">IFERROR(INDEX($D$55:$F$62, MATCH(1, ($D10 = $B$55:$B$62)*($E10=$C$55:$C$62), 0), MATCH($C10, $D$54:$F$54, 0))*(1+$C$5)^($C$4-$G25), 0)*$H10</f>
        <v>264.79257600771956</v>
      </c>
      <c r="F25" s="48">
        <f t="shared" si="2"/>
        <v>3466.8586530821485</v>
      </c>
      <c r="G25" s="105">
        <f t="shared" si="3"/>
        <v>2024</v>
      </c>
      <c r="H25"/>
      <c r="I25"/>
      <c r="J25"/>
    </row>
    <row r="26" spans="2:10">
      <c r="B26" s="47" t="str">
        <f t="shared" si="1"/>
        <v/>
      </c>
      <c r="C26" s="39" cm="1">
        <f t="array" ref="C26">IFERROR(INDEX($D$41:$F$44, MATCH(1, ($D11 = $B$41:$B$44)*($E11=$C$41:$C$44), 0), MATCH($C11, $D$40:$F$40, 0))*(1+$C$5)^($C$4-$G26), 0)*$F11</f>
        <v>0</v>
      </c>
      <c r="D26" s="39">
        <f t="shared" si="0"/>
        <v>0</v>
      </c>
      <c r="E26" s="39" cm="1">
        <f t="array" ref="E26">IFERROR(INDEX($D$55:$F$62, MATCH(1, ($D11 = $B$55:$B$62)*($E11=$C$55:$C$62), 0), MATCH($C11, $D$54:$F$54, 0))*(1+$C$5)^($C$4-$G26), 0)*$H11</f>
        <v>0</v>
      </c>
      <c r="F26" s="48">
        <f t="shared" si="2"/>
        <v>0</v>
      </c>
      <c r="G26" s="105" t="str">
        <f t="shared" si="3"/>
        <v/>
      </c>
      <c r="H26"/>
      <c r="I26"/>
      <c r="J26"/>
    </row>
    <row r="27" spans="2:10">
      <c r="B27" s="47" t="str">
        <f t="shared" si="1"/>
        <v/>
      </c>
      <c r="C27" s="39" cm="1">
        <f t="array" ref="C27">IFERROR(INDEX($D$41:$F$44, MATCH(1, ($D12 = $B$41:$B$44)*($E12=$C$41:$C$44), 0), MATCH($C12, $D$40:$F$40, 0))*(1+$C$5)^($C$4-$G27), 0)*$F12</f>
        <v>0</v>
      </c>
      <c r="D27" s="39">
        <f t="shared" si="0"/>
        <v>0</v>
      </c>
      <c r="E27" s="39" cm="1">
        <f t="array" ref="E27">IFERROR(INDEX($D$55:$F$62, MATCH(1, ($D12 = $B$55:$B$62)*($E12=$C$55:$C$62), 0), MATCH($C12, $D$54:$F$54, 0))*(1+$C$5)^($C$4-$G27), 0)*$H12</f>
        <v>0</v>
      </c>
      <c r="F27" s="48">
        <f t="shared" si="2"/>
        <v>0</v>
      </c>
      <c r="G27" s="105" t="str">
        <f t="shared" si="3"/>
        <v/>
      </c>
      <c r="H27"/>
      <c r="I27"/>
      <c r="J27"/>
    </row>
    <row r="28" spans="2:10">
      <c r="B28" s="47" t="str">
        <f t="shared" si="1"/>
        <v/>
      </c>
      <c r="C28" s="39" cm="1">
        <f t="array" ref="C28">IFERROR(INDEX($D$41:$F$44, MATCH(1, ($D13 = $B$41:$B$44)*($E13=$C$41:$C$44), 0), MATCH($C13, $D$40:$F$40, 0))*(1+$C$5)^($C$4-$G28), 0)*$F13</f>
        <v>0</v>
      </c>
      <c r="D28" s="39">
        <f t="shared" si="0"/>
        <v>0</v>
      </c>
      <c r="E28" s="39" cm="1">
        <f t="array" ref="E28">IFERROR(INDEX($D$55:$F$62, MATCH(1, ($D13 = $B$55:$B$62)*($E13=$C$55:$C$62), 0), MATCH($C13, $D$54:$F$54, 0))*(1+$C$5)^($C$4-$G28), 0)*$H13</f>
        <v>0</v>
      </c>
      <c r="F28" s="48">
        <f t="shared" si="2"/>
        <v>0</v>
      </c>
      <c r="G28" s="105" t="str">
        <f t="shared" si="3"/>
        <v/>
      </c>
      <c r="H28"/>
      <c r="I28"/>
      <c r="J28"/>
    </row>
    <row r="29" spans="2:10">
      <c r="B29" s="47" t="str">
        <f t="shared" si="1"/>
        <v/>
      </c>
      <c r="C29" s="39" cm="1">
        <f t="array" ref="C29">IFERROR(INDEX($D$41:$F$44, MATCH(1, ($D14 = $B$41:$B$44)*($E14=$C$41:$C$44), 0), MATCH($C14, $D$40:$F$40, 0))*(1+$C$5)^($C$4-$G29), 0)*$F14</f>
        <v>0</v>
      </c>
      <c r="D29" s="39">
        <f t="shared" si="0"/>
        <v>0</v>
      </c>
      <c r="E29" s="39" cm="1">
        <f t="array" ref="E29">IFERROR(INDEX($D$55:$F$62, MATCH(1, ($D14 = $B$55:$B$62)*($E14=$C$55:$C$62), 0), MATCH($C14, $D$54:$F$54, 0))*(1+$C$5)^($C$4-$G29), 0)*$H14</f>
        <v>0</v>
      </c>
      <c r="F29" s="48">
        <f t="shared" si="2"/>
        <v>0</v>
      </c>
      <c r="G29" s="105" t="str">
        <f t="shared" si="3"/>
        <v/>
      </c>
      <c r="H29"/>
      <c r="I29"/>
      <c r="J29"/>
    </row>
    <row r="30" spans="2:10">
      <c r="B30" s="47" t="str">
        <f t="shared" si="1"/>
        <v/>
      </c>
      <c r="C30" s="39" cm="1">
        <f t="array" ref="C30">IFERROR(INDEX($D$41:$F$44, MATCH(1, ($D15 = $B$41:$B$44)*($E15=$C$41:$C$44), 0), MATCH($C15, $D$40:$F$40, 0))*(1+$C$5)^($C$4-$G30), 0)*$F15</f>
        <v>0</v>
      </c>
      <c r="D30" s="39">
        <f t="shared" si="0"/>
        <v>0</v>
      </c>
      <c r="E30" s="39" cm="1">
        <f t="array" ref="E30">IFERROR(INDEX($D$55:$F$62, MATCH(1, ($D15 = $B$55:$B$62)*($E15=$C$55:$C$62), 0), MATCH($C15, $D$54:$F$54, 0))*(1+$C$5)^($C$4-$G30), 0)*$H15</f>
        <v>0</v>
      </c>
      <c r="F30" s="48">
        <f t="shared" si="2"/>
        <v>0</v>
      </c>
      <c r="G30" s="105" t="str">
        <f t="shared" si="3"/>
        <v/>
      </c>
      <c r="H30"/>
      <c r="I30"/>
      <c r="J30"/>
    </row>
    <row r="31" spans="2:10">
      <c r="B31" s="47" t="str">
        <f t="shared" si="1"/>
        <v/>
      </c>
      <c r="C31" s="39" cm="1">
        <f t="array" ref="C31">IFERROR(INDEX($D$41:$F$44, MATCH(1, ($D16 = $B$41:$B$44)*($E16=$C$41:$C$44), 0), MATCH($C16, $D$40:$F$40, 0))*(1+$C$5)^($C$4-$G31), 0)*$F16</f>
        <v>0</v>
      </c>
      <c r="D31" s="39">
        <f t="shared" si="0"/>
        <v>0</v>
      </c>
      <c r="E31" s="39" cm="1">
        <f t="array" ref="E31">IFERROR(INDEX($D$55:$F$62, MATCH(1, ($D16 = $B$55:$B$62)*($E16=$C$55:$C$62), 0), MATCH($C16, $D$54:$F$54, 0))*(1+$C$5)^($C$4-$G31), 0)*$H16</f>
        <v>0</v>
      </c>
      <c r="F31" s="48">
        <f t="shared" si="2"/>
        <v>0</v>
      </c>
      <c r="G31" s="105" t="str">
        <f t="shared" si="3"/>
        <v/>
      </c>
      <c r="H31"/>
      <c r="I31"/>
      <c r="J31"/>
    </row>
    <row r="32" spans="2:10">
      <c r="B32" s="47" t="str">
        <f t="shared" si="1"/>
        <v/>
      </c>
      <c r="C32" s="39" cm="1">
        <f t="array" ref="C32">IFERROR(INDEX($D$41:$F$44, MATCH(1, ($D17 = $B$41:$B$44)*($E17=$C$41:$C$44), 0), MATCH($C17, $D$40:$F$40, 0))*(1+$C$5)^($C$4-$G32), 0)*$F17</f>
        <v>0</v>
      </c>
      <c r="D32" s="39">
        <f t="shared" si="0"/>
        <v>0</v>
      </c>
      <c r="E32" s="39" cm="1">
        <f t="array" ref="E32">IFERROR(INDEX($D$55:$F$62, MATCH(1, ($D17 = $B$55:$B$62)*($E17=$C$55:$C$62), 0), MATCH($C17, $D$54:$F$54, 0))*(1+$C$5)^($C$4-$G32), 0)*$H17</f>
        <v>0</v>
      </c>
      <c r="F32" s="48">
        <f t="shared" si="2"/>
        <v>0</v>
      </c>
      <c r="G32" s="105" t="str">
        <f t="shared" si="3"/>
        <v/>
      </c>
      <c r="H32"/>
      <c r="I32"/>
      <c r="J32"/>
    </row>
    <row r="34" spans="2:12">
      <c r="E34" s="46"/>
    </row>
    <row r="35" spans="2:12" s="3" customFormat="1">
      <c r="B35" s="3" t="s">
        <v>184</v>
      </c>
    </row>
    <row r="36" spans="2:12">
      <c r="B36" s="42"/>
      <c r="C36" s="8"/>
      <c r="D36" s="8"/>
      <c r="E36" s="8"/>
      <c r="F36" s="8"/>
      <c r="G36" s="8"/>
      <c r="H36" s="8"/>
      <c r="I36" s="8"/>
      <c r="J36" s="8"/>
    </row>
    <row r="37" spans="2:12">
      <c r="B37" s="44" t="s">
        <v>183</v>
      </c>
      <c r="C37" s="45"/>
      <c r="D37" s="41">
        <v>2020</v>
      </c>
      <c r="E37" s="41">
        <v>2021</v>
      </c>
      <c r="F37" s="41">
        <v>2024</v>
      </c>
      <c r="G37" s="8"/>
      <c r="K37" s="1"/>
      <c r="L37" s="1"/>
    </row>
    <row r="38" spans="2:12">
      <c r="B38" s="43"/>
      <c r="C38" s="8"/>
      <c r="D38" s="41"/>
      <c r="E38" s="41"/>
      <c r="F38" s="41"/>
      <c r="G38" s="8"/>
      <c r="K38" s="1"/>
      <c r="L38" s="1"/>
    </row>
    <row r="39" spans="2:12">
      <c r="B39" s="37" t="s">
        <v>185</v>
      </c>
      <c r="G39" s="46"/>
      <c r="K39" s="1"/>
      <c r="L39" s="1"/>
    </row>
    <row r="40" spans="2:12">
      <c r="B40" s="29" t="s">
        <v>186</v>
      </c>
      <c r="C40" s="29" t="s">
        <v>173</v>
      </c>
      <c r="D40" s="29" t="s">
        <v>126</v>
      </c>
      <c r="E40" s="29" t="s">
        <v>133</v>
      </c>
      <c r="F40" s="29" t="s">
        <v>18</v>
      </c>
      <c r="K40" s="1"/>
      <c r="L40" s="1"/>
    </row>
    <row r="41" spans="2:12">
      <c r="B41" s="38" t="s">
        <v>178</v>
      </c>
      <c r="C41" s="38" t="s">
        <v>179</v>
      </c>
      <c r="D41" s="153">
        <v>21</v>
      </c>
      <c r="E41" s="153">
        <v>30.82</v>
      </c>
      <c r="F41" s="153">
        <f>38.69*(1.02)^($F$37-2021)</f>
        <v>41.058137519999995</v>
      </c>
      <c r="K41" s="1"/>
      <c r="L41" s="1"/>
    </row>
    <row r="42" spans="2:12">
      <c r="B42" s="38" t="s">
        <v>178</v>
      </c>
      <c r="C42" s="38" t="s">
        <v>187</v>
      </c>
      <c r="D42" s="153">
        <v>22</v>
      </c>
      <c r="E42" s="153">
        <v>30.82</v>
      </c>
      <c r="F42" s="153">
        <f t="shared" ref="F42:F44" si="4">38.69*(1.02)^($F$37-2021)</f>
        <v>41.058137519999995</v>
      </c>
      <c r="K42" s="1"/>
      <c r="L42" s="1"/>
    </row>
    <row r="43" spans="2:12">
      <c r="B43" s="38" t="s">
        <v>178</v>
      </c>
      <c r="C43" s="40" t="s">
        <v>188</v>
      </c>
      <c r="D43" s="153">
        <v>46</v>
      </c>
      <c r="E43" s="153">
        <v>30.82</v>
      </c>
      <c r="F43" s="153">
        <f t="shared" si="4"/>
        <v>41.058137519999995</v>
      </c>
      <c r="K43" s="1"/>
      <c r="L43" s="1"/>
    </row>
    <row r="44" spans="2:12">
      <c r="B44" s="38" t="s">
        <v>178</v>
      </c>
      <c r="C44" s="40" t="s">
        <v>189</v>
      </c>
      <c r="D44" s="153">
        <v>46</v>
      </c>
      <c r="E44" s="153">
        <v>30.82</v>
      </c>
      <c r="F44" s="153">
        <f t="shared" si="4"/>
        <v>41.058137519999995</v>
      </c>
      <c r="K44" s="1"/>
      <c r="L44" s="1"/>
    </row>
    <row r="45" spans="2:12">
      <c r="K45" s="1"/>
      <c r="L45" s="1"/>
    </row>
    <row r="46" spans="2:12">
      <c r="B46" s="37" t="s">
        <v>190</v>
      </c>
      <c r="E46" s="46"/>
      <c r="K46" s="1"/>
      <c r="L46" s="1"/>
    </row>
    <row r="47" spans="2:12">
      <c r="B47" s="41" t="s">
        <v>191</v>
      </c>
      <c r="K47" s="1"/>
      <c r="L47" s="1"/>
    </row>
    <row r="48" spans="2:12">
      <c r="B48" s="49" t="s">
        <v>186</v>
      </c>
      <c r="C48" s="49"/>
      <c r="D48" s="29" t="s">
        <v>126</v>
      </c>
      <c r="E48" s="29" t="s">
        <v>133</v>
      </c>
      <c r="F48" s="29" t="s">
        <v>18</v>
      </c>
      <c r="K48" s="1"/>
      <c r="L48" s="1"/>
    </row>
    <row r="49" spans="2:12">
      <c r="B49" s="50" t="s">
        <v>192</v>
      </c>
      <c r="C49" s="51"/>
      <c r="D49" s="169">
        <v>3615</v>
      </c>
      <c r="E49" s="153">
        <v>7620</v>
      </c>
      <c r="F49" s="153">
        <v>3357</v>
      </c>
      <c r="K49" s="1"/>
      <c r="L49" s="1"/>
    </row>
    <row r="50" spans="2:12">
      <c r="B50" s="50" t="s">
        <v>178</v>
      </c>
      <c r="C50" s="51"/>
      <c r="D50" s="169">
        <v>832</v>
      </c>
      <c r="E50" s="153">
        <v>7620</v>
      </c>
      <c r="F50" s="153">
        <v>3357</v>
      </c>
      <c r="K50" s="1"/>
      <c r="L50" s="1"/>
    </row>
    <row r="51" spans="2:12">
      <c r="K51" s="1"/>
      <c r="L51" s="1"/>
    </row>
    <row r="52" spans="2:12">
      <c r="B52" s="37" t="s">
        <v>193</v>
      </c>
      <c r="E52" s="46"/>
      <c r="K52" s="1"/>
      <c r="L52" s="1"/>
    </row>
    <row r="53" spans="2:12">
      <c r="K53" s="1"/>
      <c r="L53" s="1"/>
    </row>
    <row r="54" spans="2:12">
      <c r="B54" s="29" t="s">
        <v>186</v>
      </c>
      <c r="C54" s="29" t="s">
        <v>173</v>
      </c>
      <c r="D54" s="29" t="s">
        <v>126</v>
      </c>
      <c r="E54" s="29" t="s">
        <v>133</v>
      </c>
      <c r="F54" s="29" t="s">
        <v>18</v>
      </c>
      <c r="K54" s="1"/>
      <c r="L54" s="1"/>
    </row>
    <row r="55" spans="2:12">
      <c r="B55" s="38" t="s">
        <v>192</v>
      </c>
      <c r="C55" s="38" t="s">
        <v>179</v>
      </c>
      <c r="D55" s="153">
        <v>468</v>
      </c>
      <c r="E55" s="153">
        <v>489</v>
      </c>
      <c r="F55" s="153">
        <v>281</v>
      </c>
      <c r="K55" s="1"/>
      <c r="L55" s="1"/>
    </row>
    <row r="56" spans="2:12">
      <c r="B56" s="38" t="s">
        <v>192</v>
      </c>
      <c r="C56" s="38" t="s">
        <v>187</v>
      </c>
      <c r="D56" s="153">
        <v>445</v>
      </c>
      <c r="E56" s="153">
        <v>330</v>
      </c>
      <c r="F56" s="153">
        <v>281</v>
      </c>
      <c r="K56" s="1"/>
      <c r="L56" s="1"/>
    </row>
    <row r="57" spans="2:12">
      <c r="B57" s="38" t="s">
        <v>192</v>
      </c>
      <c r="C57" s="38" t="s">
        <v>188</v>
      </c>
      <c r="D57" s="153">
        <v>1384</v>
      </c>
      <c r="E57" s="153">
        <v>330</v>
      </c>
      <c r="F57" s="153">
        <v>281</v>
      </c>
      <c r="K57" s="1"/>
      <c r="L57" s="1"/>
    </row>
    <row r="58" spans="2:12">
      <c r="B58" s="38" t="s">
        <v>192</v>
      </c>
      <c r="C58" s="38" t="s">
        <v>189</v>
      </c>
      <c r="D58" s="153">
        <v>1384</v>
      </c>
      <c r="E58" s="153">
        <v>13184</v>
      </c>
      <c r="F58" s="153">
        <v>8012</v>
      </c>
      <c r="K58" s="1"/>
      <c r="L58" s="1"/>
    </row>
    <row r="59" spans="2:12">
      <c r="B59" s="38" t="s">
        <v>178</v>
      </c>
      <c r="C59" s="38" t="s">
        <v>179</v>
      </c>
      <c r="D59" s="153">
        <v>577</v>
      </c>
      <c r="E59" s="153">
        <v>489</v>
      </c>
      <c r="F59" s="153">
        <v>281</v>
      </c>
      <c r="K59" s="1"/>
      <c r="L59" s="1"/>
    </row>
    <row r="60" spans="2:12">
      <c r="B60" s="38" t="s">
        <v>178</v>
      </c>
      <c r="C60" s="38" t="s">
        <v>187</v>
      </c>
      <c r="D60" s="153">
        <v>559</v>
      </c>
      <c r="E60" s="153">
        <v>330</v>
      </c>
      <c r="F60" s="153">
        <v>281</v>
      </c>
    </row>
    <row r="61" spans="2:12">
      <c r="B61" s="38" t="s">
        <v>178</v>
      </c>
      <c r="C61" s="38" t="s">
        <v>188</v>
      </c>
      <c r="D61" s="153">
        <v>605</v>
      </c>
      <c r="E61" s="153">
        <v>330</v>
      </c>
      <c r="F61" s="153">
        <v>281</v>
      </c>
    </row>
    <row r="62" spans="2:12">
      <c r="B62" s="38" t="s">
        <v>178</v>
      </c>
      <c r="C62" s="38" t="s">
        <v>189</v>
      </c>
      <c r="D62" s="153">
        <v>605</v>
      </c>
      <c r="E62" s="153">
        <v>13184</v>
      </c>
      <c r="F62" s="153">
        <v>8012</v>
      </c>
    </row>
  </sheetData>
  <pageMargins left="0.7" right="0.7" top="0.75" bottom="0.75" header="0.3" footer="0.3"/>
  <pageSetup orientation="portrait" horizontalDpi="90" verticalDpi="90" r:id="rId1"/>
  <extLst>
    <ext xmlns:x14="http://schemas.microsoft.com/office/spreadsheetml/2009/9/main" uri="{CCE6A557-97BC-4b89-ADB6-D9C93CAAB3DF}">
      <x14:dataValidations xmlns:xm="http://schemas.microsoft.com/office/excel/2006/main" count="3">
        <x14:dataValidation type="list" allowBlank="1" showInputMessage="1" showErrorMessage="1" xr:uid="{B81B321A-A568-4E1C-A385-E91875B607F6}">
          <x14:formula1>
            <xm:f>Lists!$B$4:$B$6</xm:f>
          </x14:formula1>
          <xm:sqref>C8:C17</xm:sqref>
        </x14:dataValidation>
        <x14:dataValidation type="list" allowBlank="1" showInputMessage="1" showErrorMessage="1" xr:uid="{6CE741B7-4A1C-47F5-9334-ABFD47292F64}">
          <x14:formula1>
            <xm:f>Lists!$B$17:$B$18</xm:f>
          </x14:formula1>
          <xm:sqref>D8:D17</xm:sqref>
        </x14:dataValidation>
        <x14:dataValidation type="list" allowBlank="1" showInputMessage="1" showErrorMessage="1" xr:uid="{031F5C6D-1E32-4EAD-8323-FCDA20673853}">
          <x14:formula1>
            <xm:f>Lists!$C$17:$C$20</xm:f>
          </x14:formula1>
          <xm:sqref>E8:E17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9945-3F33-418B-A865-30226C69B4B9}">
  <sheetPr codeName="Sheet12">
    <tabColor theme="5"/>
  </sheetPr>
  <dimension ref="A1:AZ401"/>
  <sheetViews>
    <sheetView workbookViewId="0"/>
  </sheetViews>
  <sheetFormatPr baseColWidth="10" defaultColWidth="9" defaultRowHeight="15"/>
  <cols>
    <col min="1" max="1" width="7.796875" style="7" customWidth="1"/>
    <col min="5" max="5" width="11.796875" bestFit="1" customWidth="1"/>
    <col min="6" max="6" width="19.19921875" bestFit="1" customWidth="1"/>
    <col min="7" max="7" width="17.796875" bestFit="1" customWidth="1"/>
    <col min="8" max="8" width="14" bestFit="1" customWidth="1"/>
    <col min="9" max="9" width="16.19921875" bestFit="1" customWidth="1"/>
    <col min="10" max="10" width="17.796875" bestFit="1" customWidth="1"/>
    <col min="11" max="11" width="14" bestFit="1" customWidth="1"/>
    <col min="12" max="12" width="16.19921875" bestFit="1" customWidth="1"/>
    <col min="13" max="13" width="17.796875" bestFit="1" customWidth="1"/>
    <col min="14" max="14" width="14" bestFit="1" customWidth="1"/>
    <col min="16" max="16" width="15.3984375" customWidth="1"/>
    <col min="17" max="17" width="23.19921875" bestFit="1" customWidth="1"/>
    <col min="18" max="18" width="10" style="1" customWidth="1"/>
    <col min="19" max="19" width="16.19921875" style="1" bestFit="1" customWidth="1"/>
    <col min="20" max="20" width="12" style="1" bestFit="1" customWidth="1"/>
    <col min="21" max="21" width="9.796875" style="1" bestFit="1" customWidth="1"/>
    <col min="22" max="52" width="9" style="1"/>
  </cols>
  <sheetData>
    <row r="1" spans="1:51" s="56" customFormat="1">
      <c r="A1" s="26"/>
    </row>
    <row r="2" spans="1:51" s="181" customFormat="1">
      <c r="A2" s="59"/>
      <c r="B2" s="59" t="s">
        <v>194</v>
      </c>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row>
    <row r="3" spans="1:51" s="56" customFormat="1">
      <c r="A3" s="26"/>
    </row>
    <row r="4" spans="1:51" ht="32.25" customHeight="1">
      <c r="A4" s="191"/>
      <c r="B4" s="370"/>
      <c r="C4" s="371"/>
      <c r="D4" s="209"/>
      <c r="E4" s="209"/>
      <c r="F4" s="217" t="s">
        <v>196</v>
      </c>
      <c r="G4" s="376" t="s">
        <v>196</v>
      </c>
      <c r="H4" s="378"/>
      <c r="I4" s="217" t="s">
        <v>195</v>
      </c>
      <c r="J4" s="376" t="s">
        <v>197</v>
      </c>
      <c r="K4" s="378"/>
      <c r="L4" s="376" t="s">
        <v>198</v>
      </c>
      <c r="M4" s="377"/>
      <c r="N4" s="378"/>
      <c r="O4" s="1"/>
      <c r="P4" s="374" t="s">
        <v>199</v>
      </c>
      <c r="Q4" s="372" t="s">
        <v>200</v>
      </c>
      <c r="R4" s="170"/>
      <c r="S4" s="188"/>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row>
    <row r="5" spans="1:51">
      <c r="A5" s="191"/>
      <c r="B5" s="210" t="s">
        <v>201</v>
      </c>
      <c r="C5" s="211" t="s">
        <v>50</v>
      </c>
      <c r="D5" s="211" t="s">
        <v>202</v>
      </c>
      <c r="E5" s="211" t="s">
        <v>203</v>
      </c>
      <c r="F5" s="210" t="s">
        <v>204</v>
      </c>
      <c r="G5" s="211" t="s">
        <v>205</v>
      </c>
      <c r="H5" s="212" t="s">
        <v>206</v>
      </c>
      <c r="I5" s="210" t="s">
        <v>204</v>
      </c>
      <c r="J5" s="211" t="s">
        <v>205</v>
      </c>
      <c r="K5" s="212" t="s">
        <v>206</v>
      </c>
      <c r="L5" s="210" t="s">
        <v>204</v>
      </c>
      <c r="M5" s="211" t="s">
        <v>205</v>
      </c>
      <c r="N5" s="212" t="s">
        <v>206</v>
      </c>
      <c r="O5" s="1"/>
      <c r="P5" s="375"/>
      <c r="Q5" s="373"/>
      <c r="R5" s="170"/>
      <c r="S5" s="278" t="s">
        <v>207</v>
      </c>
      <c r="T5" s="279">
        <f>'User Dashboard'!E$58</f>
        <v>2023</v>
      </c>
      <c r="U5" s="279">
        <f>'User Dashboard'!F$58</f>
        <v>2024</v>
      </c>
      <c r="V5" s="279">
        <f>'User Dashboard'!G$58</f>
        <v>2025</v>
      </c>
      <c r="W5" s="279">
        <f>'User Dashboard'!H$58</f>
        <v>2026</v>
      </c>
      <c r="X5" s="279">
        <f>'User Dashboard'!I$58</f>
        <v>2027</v>
      </c>
      <c r="Y5" s="279">
        <f>'User Dashboard'!J$58</f>
        <v>2028</v>
      </c>
      <c r="Z5" s="279">
        <f>'User Dashboard'!K$58</f>
        <v>2029</v>
      </c>
      <c r="AA5" s="279">
        <f>'User Dashboard'!L$58</f>
        <v>2030</v>
      </c>
      <c r="AB5" s="279">
        <f>'User Dashboard'!M$58</f>
        <v>2031</v>
      </c>
      <c r="AC5" s="279">
        <f>'User Dashboard'!N$58</f>
        <v>2032</v>
      </c>
      <c r="AD5" s="279">
        <f>'User Dashboard'!O$58</f>
        <v>2033</v>
      </c>
      <c r="AE5" s="279">
        <f>'User Dashboard'!P$58</f>
        <v>2034</v>
      </c>
      <c r="AF5" s="279">
        <f>'User Dashboard'!Q$58</f>
        <v>2035</v>
      </c>
      <c r="AG5" s="279">
        <f>'User Dashboard'!R$58</f>
        <v>2036</v>
      </c>
      <c r="AH5" s="279">
        <f>'User Dashboard'!S$58</f>
        <v>2037</v>
      </c>
      <c r="AI5" s="279">
        <f>'User Dashboard'!T$58</f>
        <v>2038</v>
      </c>
      <c r="AJ5" s="279">
        <f>'User Dashboard'!U$58</f>
        <v>2039</v>
      </c>
      <c r="AK5" s="279">
        <f>'User Dashboard'!V$58</f>
        <v>2040</v>
      </c>
      <c r="AL5" s="279">
        <f>'User Dashboard'!W$58</f>
        <v>2041</v>
      </c>
      <c r="AM5" s="279">
        <f>'User Dashboard'!X$58</f>
        <v>2042</v>
      </c>
      <c r="AN5" s="279">
        <f>'User Dashboard'!Y$58</f>
        <v>2043</v>
      </c>
      <c r="AO5" s="279">
        <f>'User Dashboard'!Z$58</f>
        <v>2044</v>
      </c>
      <c r="AP5" s="279">
        <f>'User Dashboard'!AA$58</f>
        <v>2045</v>
      </c>
      <c r="AQ5" s="279">
        <f>'User Dashboard'!AB$58</f>
        <v>2046</v>
      </c>
      <c r="AR5" s="279">
        <f>'User Dashboard'!AC$58</f>
        <v>2047</v>
      </c>
      <c r="AS5" s="279">
        <f>'User Dashboard'!AD$58</f>
        <v>2048</v>
      </c>
      <c r="AT5" s="279">
        <f>'User Dashboard'!AE$58</f>
        <v>2049</v>
      </c>
      <c r="AU5" s="279">
        <f>'User Dashboard'!AF$58</f>
        <v>2050</v>
      </c>
      <c r="AV5" s="279">
        <f>'User Dashboard'!AG$58</f>
        <v>2051</v>
      </c>
      <c r="AW5" s="279">
        <f>'User Dashboard'!AH$58</f>
        <v>2052</v>
      </c>
      <c r="AX5" s="279">
        <f>'User Dashboard'!AI$58</f>
        <v>2053</v>
      </c>
      <c r="AY5" s="280">
        <f>'User Dashboard'!AJ$58</f>
        <v>2054</v>
      </c>
    </row>
    <row r="6" spans="1:51">
      <c r="A6" s="26"/>
      <c r="B6" s="94">
        <f>YEAR(D6)</f>
        <v>2022</v>
      </c>
      <c r="C6" s="1">
        <f>MONTH(D6)</f>
        <v>1</v>
      </c>
      <c r="D6" s="213">
        <v>44562</v>
      </c>
      <c r="E6" s="1" t="str">
        <f>C6&amp;"-"&amp;B6</f>
        <v>1-2022</v>
      </c>
      <c r="F6" s="265">
        <f>'IEPR Gas Prices Real'!F6*(INDEX('GDP Deflator'!$C$5:$C$89,MATCH('IEPR Gas Prices Nominal'!$B6,'GDP Deflator'!$B$5:$B$89,0))/100)</f>
        <v>7.1456828023246928</v>
      </c>
      <c r="G6" s="266">
        <f>'IEPR Gas Prices Real'!G6*(INDEX('GDP Deflator'!$C$5:$C$89,MATCH('IEPR Gas Prices Nominal'!$B6,'GDP Deflator'!$B$5:$B$89,0))/100)</f>
        <v>0.8880808876599291</v>
      </c>
      <c r="H6" s="267">
        <f>'IEPR Gas Prices Real'!H6*(INDEX('GDP Deflator'!$C$5:$C$89,MATCH('IEPR Gas Prices Nominal'!$B6,'GDP Deflator'!$B$5:$B$89,0))/100)</f>
        <v>8.033763689984621</v>
      </c>
      <c r="I6" s="266">
        <f>'IEPR Gas Prices Real'!I6*(INDEX('GDP Deflator'!$C$5:$C$89,MATCH('IEPR Gas Prices Nominal'!$B6,'GDP Deflator'!$B$5:$B$89,0))/100)</f>
        <v>7.6905059775732125</v>
      </c>
      <c r="J6" s="266">
        <f>'IEPR Gas Prices Real'!J6*(INDEX('GDP Deflator'!$C$5:$C$89,MATCH('IEPR Gas Prices Nominal'!$B6,'GDP Deflator'!$B$5:$B$89,0))/100)</f>
        <v>1.4664363155196718</v>
      </c>
      <c r="K6" s="266">
        <f>'IEPR Gas Prices Real'!K6*(INDEX('GDP Deflator'!$C$5:$C$89,MATCH('IEPR Gas Prices Nominal'!$B6,'GDP Deflator'!$B$5:$B$89,0))/100)</f>
        <v>9.1569422930928841</v>
      </c>
      <c r="L6" s="265">
        <f>'IEPR Gas Prices Real'!L6*(INDEX('GDP Deflator'!$C$5:$C$89,MATCH('IEPR Gas Prices Nominal'!$B6,'GDP Deflator'!$B$5:$B$89,0))/100)</f>
        <v>7.663440790131764</v>
      </c>
      <c r="M6" s="266">
        <f>'IEPR Gas Prices Real'!M6*(INDEX('GDP Deflator'!$C$5:$C$89,MATCH('IEPR Gas Prices Nominal'!$B6,'GDP Deflator'!$B$5:$B$89,0))/100)</f>
        <v>0.69253054374736689</v>
      </c>
      <c r="N6" s="267">
        <f>'IEPR Gas Prices Real'!N6*(INDEX('GDP Deflator'!$C$5:$C$89,MATCH('IEPR Gas Prices Nominal'!$B6,'GDP Deflator'!$B$5:$B$89,0))/100)</f>
        <v>8.3559713338791308</v>
      </c>
      <c r="O6" s="1"/>
      <c r="P6" s="274">
        <f t="shared" ref="P6:P69" si="0">AVERAGE(F6,I6,L6)</f>
        <v>7.4998765233432225</v>
      </c>
      <c r="Q6" s="275">
        <f>AVERAGE(H6,K6,N6)</f>
        <v>8.5155591056522137</v>
      </c>
      <c r="R6" s="171"/>
      <c r="S6" s="283">
        <v>1</v>
      </c>
      <c r="T6" s="281">
        <f t="shared" ref="T6:AC17" si="1">INDEX($P$6:$P$401,MATCH(_xlfn.CONCAT($S6,"-",T$5),$E$6:$E$401,0))</f>
        <v>5.8063147785339497</v>
      </c>
      <c r="U6" s="281">
        <f t="shared" si="1"/>
        <v>5.788016769126668</v>
      </c>
      <c r="V6" s="281">
        <f t="shared" si="1"/>
        <v>5.9385102613722198</v>
      </c>
      <c r="W6" s="281">
        <f t="shared" si="1"/>
        <v>6.0746325526661664</v>
      </c>
      <c r="X6" s="281">
        <f t="shared" si="1"/>
        <v>6.1995546322925463</v>
      </c>
      <c r="Y6" s="281">
        <f t="shared" si="1"/>
        <v>6.3245974535768141</v>
      </c>
      <c r="Z6" s="281">
        <f t="shared" si="1"/>
        <v>6.4528315606249516</v>
      </c>
      <c r="AA6" s="281">
        <f t="shared" si="1"/>
        <v>6.5841668175389119</v>
      </c>
      <c r="AB6" s="281">
        <f t="shared" si="1"/>
        <v>6.7174832403603171</v>
      </c>
      <c r="AC6" s="281">
        <f t="shared" si="1"/>
        <v>6.854908949297239</v>
      </c>
      <c r="AD6" s="281">
        <f t="shared" ref="AD6:AM17" si="2">INDEX($P$6:$P$401,MATCH(_xlfn.CONCAT($S6,"-",AD$5),$E$6:$E$401,0))</f>
        <v>6.9982175105484439</v>
      </c>
      <c r="AE6" s="281">
        <f t="shared" si="2"/>
        <v>7.1438453349741584</v>
      </c>
      <c r="AF6" s="281">
        <f t="shared" si="2"/>
        <v>7.2963258389387429</v>
      </c>
      <c r="AG6" s="281">
        <f t="shared" si="2"/>
        <v>7.447860569300417</v>
      </c>
      <c r="AH6" s="281">
        <f t="shared" si="2"/>
        <v>7.6047205989429711</v>
      </c>
      <c r="AI6" s="281">
        <f t="shared" si="2"/>
        <v>7.7695763240344142</v>
      </c>
      <c r="AJ6" s="281">
        <f t="shared" si="2"/>
        <v>7.9398609987164273</v>
      </c>
      <c r="AK6" s="281">
        <f t="shared" si="2"/>
        <v>8.1153124497460052</v>
      </c>
      <c r="AL6" s="281">
        <f t="shared" si="2"/>
        <v>8.2929686938937266</v>
      </c>
      <c r="AM6" s="281">
        <f t="shared" si="2"/>
        <v>8.4743084761135705</v>
      </c>
      <c r="AN6" s="281">
        <f t="shared" ref="AN6:AY17" si="3">INDEX($P$6:$P$401,MATCH(_xlfn.CONCAT($S6,"-",AN$5),$E$6:$E$401,0))</f>
        <v>8.6601081444052994</v>
      </c>
      <c r="AO6" s="281">
        <f t="shared" si="3"/>
        <v>8.8505409037752969</v>
      </c>
      <c r="AP6" s="281">
        <f t="shared" si="3"/>
        <v>9.0448622706454742</v>
      </c>
      <c r="AQ6" s="281">
        <f t="shared" si="3"/>
        <v>9.244080057879609</v>
      </c>
      <c r="AR6" s="281">
        <f t="shared" si="3"/>
        <v>9.4481747175645889</v>
      </c>
      <c r="AS6" s="281">
        <f t="shared" si="3"/>
        <v>9.6576553847587192</v>
      </c>
      <c r="AT6" s="281">
        <f t="shared" si="3"/>
        <v>9.871643358989509</v>
      </c>
      <c r="AU6" s="281">
        <f t="shared" si="3"/>
        <v>10.089964533407306</v>
      </c>
      <c r="AV6" s="281">
        <f t="shared" si="3"/>
        <v>10.291343325619673</v>
      </c>
      <c r="AW6" s="281">
        <f t="shared" si="3"/>
        <v>10.505010879650797</v>
      </c>
      <c r="AX6" s="281">
        <f t="shared" si="3"/>
        <v>10.717758101570547</v>
      </c>
      <c r="AY6" s="282">
        <f t="shared" si="3"/>
        <v>10.930327478964935</v>
      </c>
    </row>
    <row r="7" spans="1:51">
      <c r="A7" s="26"/>
      <c r="B7" s="94">
        <f t="shared" ref="B7:B70" si="4">YEAR(D7)</f>
        <v>2022</v>
      </c>
      <c r="C7" s="1">
        <f t="shared" ref="C7:C70" si="5">MONTH(D7)</f>
        <v>2</v>
      </c>
      <c r="D7" s="213">
        <v>44593</v>
      </c>
      <c r="E7" s="1" t="str">
        <f t="shared" ref="E7:E70" si="6">C7&amp;"-"&amp;B7</f>
        <v>2-2022</v>
      </c>
      <c r="F7" s="268">
        <f>'IEPR Gas Prices Real'!F7*(INDEX('GDP Deflator'!$C$5:$C$89,MATCH('IEPR Gas Prices Nominal'!$B7,'GDP Deflator'!$B$5:$B$89,0))/100)</f>
        <v>6.9893045661019109</v>
      </c>
      <c r="G7" s="269">
        <f>'IEPR Gas Prices Real'!G7*(INDEX('GDP Deflator'!$C$5:$C$89,MATCH('IEPR Gas Prices Nominal'!$B7,'GDP Deflator'!$B$5:$B$89,0))/100)</f>
        <v>0.8880808876599291</v>
      </c>
      <c r="H7" s="270">
        <f>'IEPR Gas Prices Real'!H7*(INDEX('GDP Deflator'!$C$5:$C$89,MATCH('IEPR Gas Prices Nominal'!$B7,'GDP Deflator'!$B$5:$B$89,0))/100)</f>
        <v>7.87738545376184</v>
      </c>
      <c r="I7" s="269">
        <f>'IEPR Gas Prices Real'!I7*(INDEX('GDP Deflator'!$C$5:$C$89,MATCH('IEPR Gas Prices Nominal'!$B7,'GDP Deflator'!$B$5:$B$89,0))/100)</f>
        <v>7.5222046698182128</v>
      </c>
      <c r="J7" s="269">
        <f>'IEPR Gas Prices Real'!J7*(INDEX('GDP Deflator'!$C$5:$C$89,MATCH('IEPR Gas Prices Nominal'!$B7,'GDP Deflator'!$B$5:$B$89,0))/100)</f>
        <v>1.4664363155196718</v>
      </c>
      <c r="K7" s="269">
        <f>'IEPR Gas Prices Real'!K7*(INDEX('GDP Deflator'!$C$5:$C$89,MATCH('IEPR Gas Prices Nominal'!$B7,'GDP Deflator'!$B$5:$B$89,0))/100)</f>
        <v>8.9886409853378844</v>
      </c>
      <c r="L7" s="268">
        <f>'IEPR Gas Prices Real'!L7*(INDEX('GDP Deflator'!$C$5:$C$89,MATCH('IEPR Gas Prices Nominal'!$B7,'GDP Deflator'!$B$5:$B$89,0))/100)</f>
        <v>7.4957317849449332</v>
      </c>
      <c r="M7" s="269">
        <f>'IEPR Gas Prices Real'!M7*(INDEX('GDP Deflator'!$C$5:$C$89,MATCH('IEPR Gas Prices Nominal'!$B7,'GDP Deflator'!$B$5:$B$89,0))/100)</f>
        <v>0.69253054374736689</v>
      </c>
      <c r="N7" s="270">
        <f>'IEPR Gas Prices Real'!N7*(INDEX('GDP Deflator'!$C$5:$C$89,MATCH('IEPR Gas Prices Nominal'!$B7,'GDP Deflator'!$B$5:$B$89,0))/100)</f>
        <v>8.1882623286923</v>
      </c>
      <c r="O7" s="1"/>
      <c r="P7" s="274">
        <f t="shared" si="0"/>
        <v>7.3357470069550184</v>
      </c>
      <c r="Q7" s="275">
        <f t="shared" ref="Q7:Q70" si="7">AVERAGE(H7,K7,N7)</f>
        <v>8.3514295892640078</v>
      </c>
      <c r="R7" s="171"/>
      <c r="S7" s="284">
        <v>2</v>
      </c>
      <c r="T7" s="281">
        <f t="shared" si="1"/>
        <v>5.6657734992993651</v>
      </c>
      <c r="U7" s="281">
        <f t="shared" si="1"/>
        <v>5.6626699931310043</v>
      </c>
      <c r="V7" s="281">
        <f t="shared" si="1"/>
        <v>5.8084915739456848</v>
      </c>
      <c r="W7" s="281">
        <f t="shared" si="1"/>
        <v>5.9412447958552077</v>
      </c>
      <c r="X7" s="281">
        <f t="shared" si="1"/>
        <v>6.0633526126164945</v>
      </c>
      <c r="Y7" s="281">
        <f t="shared" si="1"/>
        <v>6.1857897257071714</v>
      </c>
      <c r="Z7" s="281">
        <f t="shared" si="1"/>
        <v>6.3112828900442191</v>
      </c>
      <c r="AA7" s="281">
        <f t="shared" si="1"/>
        <v>6.4396653249367164</v>
      </c>
      <c r="AB7" s="281">
        <f t="shared" si="1"/>
        <v>6.5700432043634791</v>
      </c>
      <c r="AC7" s="281">
        <f t="shared" si="1"/>
        <v>6.7045896374462375</v>
      </c>
      <c r="AD7" s="281">
        <f t="shared" si="2"/>
        <v>6.8445268445561744</v>
      </c>
      <c r="AE7" s="281">
        <f t="shared" si="2"/>
        <v>6.9872421996137462</v>
      </c>
      <c r="AF7" s="281">
        <f t="shared" si="2"/>
        <v>7.1358832124457292</v>
      </c>
      <c r="AG7" s="281">
        <f t="shared" si="2"/>
        <v>7.2841460441793942</v>
      </c>
      <c r="AH7" s="281">
        <f t="shared" si="2"/>
        <v>7.4378328421840081</v>
      </c>
      <c r="AI7" s="281">
        <f t="shared" si="2"/>
        <v>7.5991106672489117</v>
      </c>
      <c r="AJ7" s="281">
        <f t="shared" si="2"/>
        <v>7.7657010388185954</v>
      </c>
      <c r="AK7" s="281">
        <f t="shared" si="2"/>
        <v>7.937141393394735</v>
      </c>
      <c r="AL7" s="281">
        <f t="shared" si="2"/>
        <v>8.110944761333382</v>
      </c>
      <c r="AM7" s="281">
        <f t="shared" si="2"/>
        <v>8.2883210999807755</v>
      </c>
      <c r="AN7" s="281">
        <f t="shared" si="3"/>
        <v>8.4700719911199709</v>
      </c>
      <c r="AO7" s="281">
        <f t="shared" si="3"/>
        <v>8.6563347639768828</v>
      </c>
      <c r="AP7" s="281">
        <f t="shared" si="3"/>
        <v>8.846427714814677</v>
      </c>
      <c r="AQ7" s="281">
        <f t="shared" si="3"/>
        <v>9.0412809046382705</v>
      </c>
      <c r="AR7" s="281">
        <f t="shared" si="3"/>
        <v>9.2409374832213107</v>
      </c>
      <c r="AS7" s="281">
        <f t="shared" si="3"/>
        <v>9.4458424849282405</v>
      </c>
      <c r="AT7" s="281">
        <f t="shared" si="3"/>
        <v>9.6551671017562217</v>
      </c>
      <c r="AU7" s="281">
        <f t="shared" si="3"/>
        <v>9.8687120690261327</v>
      </c>
      <c r="AV7" s="281">
        <f t="shared" si="3"/>
        <v>10.065713011185197</v>
      </c>
      <c r="AW7" s="281">
        <f t="shared" si="3"/>
        <v>10.274689183423503</v>
      </c>
      <c r="AX7" s="281">
        <f t="shared" si="3"/>
        <v>10.482893848099055</v>
      </c>
      <c r="AY7" s="282">
        <f t="shared" si="3"/>
        <v>10.690843320410048</v>
      </c>
    </row>
    <row r="8" spans="1:51">
      <c r="A8" s="26"/>
      <c r="B8" s="94">
        <f t="shared" si="4"/>
        <v>2022</v>
      </c>
      <c r="C8" s="1">
        <f t="shared" si="5"/>
        <v>3</v>
      </c>
      <c r="D8" s="213">
        <v>44621</v>
      </c>
      <c r="E8" s="1" t="str">
        <f t="shared" si="6"/>
        <v>3-2022</v>
      </c>
      <c r="F8" s="268">
        <f>'IEPR Gas Prices Real'!F8*(INDEX('GDP Deflator'!$C$5:$C$89,MATCH('IEPR Gas Prices Nominal'!$B8,'GDP Deflator'!$B$5:$B$89,0))/100)</f>
        <v>6.4164671135239679</v>
      </c>
      <c r="G8" s="269">
        <f>'IEPR Gas Prices Real'!G8*(INDEX('GDP Deflator'!$C$5:$C$89,MATCH('IEPR Gas Prices Nominal'!$B8,'GDP Deflator'!$B$5:$B$89,0))/100)</f>
        <v>0.8880808876599291</v>
      </c>
      <c r="H8" s="270">
        <f>'IEPR Gas Prices Real'!H8*(INDEX('GDP Deflator'!$C$5:$C$89,MATCH('IEPR Gas Prices Nominal'!$B8,'GDP Deflator'!$B$5:$B$89,0))/100)</f>
        <v>7.304548001183897</v>
      </c>
      <c r="I8" s="269">
        <f>'IEPR Gas Prices Real'!I8*(INDEX('GDP Deflator'!$C$5:$C$89,MATCH('IEPR Gas Prices Nominal'!$B8,'GDP Deflator'!$B$5:$B$89,0))/100)</f>
        <v>6.9056911783719812</v>
      </c>
      <c r="J8" s="269">
        <f>'IEPR Gas Prices Real'!J8*(INDEX('GDP Deflator'!$C$5:$C$89,MATCH('IEPR Gas Prices Nominal'!$B8,'GDP Deflator'!$B$5:$B$89,0))/100)</f>
        <v>1.4664363155196718</v>
      </c>
      <c r="K8" s="269">
        <f>'IEPR Gas Prices Real'!K8*(INDEX('GDP Deflator'!$C$5:$C$89,MATCH('IEPR Gas Prices Nominal'!$B8,'GDP Deflator'!$B$5:$B$89,0))/100)</f>
        <v>8.3721274938916537</v>
      </c>
      <c r="L8" s="268">
        <f>'IEPR Gas Prices Real'!L8*(INDEX('GDP Deflator'!$C$5:$C$89,MATCH('IEPR Gas Prices Nominal'!$B8,'GDP Deflator'!$B$5:$B$89,0))/100)</f>
        <v>6.881387988607818</v>
      </c>
      <c r="M8" s="269">
        <f>'IEPR Gas Prices Real'!M8*(INDEX('GDP Deflator'!$C$5:$C$89,MATCH('IEPR Gas Prices Nominal'!$B8,'GDP Deflator'!$B$5:$B$89,0))/100)</f>
        <v>0.69253054374736689</v>
      </c>
      <c r="N8" s="270">
        <f>'IEPR Gas Prices Real'!N8*(INDEX('GDP Deflator'!$C$5:$C$89,MATCH('IEPR Gas Prices Nominal'!$B8,'GDP Deflator'!$B$5:$B$89,0))/100)</f>
        <v>7.5739185323551848</v>
      </c>
      <c r="O8" s="1"/>
      <c r="P8" s="274">
        <f t="shared" si="0"/>
        <v>6.7345154268345881</v>
      </c>
      <c r="Q8" s="275">
        <f t="shared" si="7"/>
        <v>7.7501980091435785</v>
      </c>
      <c r="R8" s="171"/>
      <c r="S8" s="284">
        <v>3</v>
      </c>
      <c r="T8" s="281">
        <f t="shared" si="1"/>
        <v>5.1890416886778716</v>
      </c>
      <c r="U8" s="281">
        <f t="shared" si="1"/>
        <v>5.1997740985140943</v>
      </c>
      <c r="V8" s="281">
        <f t="shared" si="1"/>
        <v>5.3323787773761397</v>
      </c>
      <c r="W8" s="281">
        <f t="shared" si="1"/>
        <v>5.4538935039613818</v>
      </c>
      <c r="X8" s="281">
        <f t="shared" si="1"/>
        <v>5.5659196289505273</v>
      </c>
      <c r="Y8" s="281">
        <f t="shared" si="1"/>
        <v>5.6784419489120976</v>
      </c>
      <c r="Z8" s="281">
        <f t="shared" si="1"/>
        <v>5.7937098130430611</v>
      </c>
      <c r="AA8" s="281">
        <f t="shared" si="1"/>
        <v>5.911497935913796</v>
      </c>
      <c r="AB8" s="281">
        <f t="shared" si="1"/>
        <v>6.0311708697115485</v>
      </c>
      <c r="AC8" s="281">
        <f t="shared" si="1"/>
        <v>6.154807674421785</v>
      </c>
      <c r="AD8" s="281">
        <f t="shared" si="2"/>
        <v>6.2830598724282245</v>
      </c>
      <c r="AE8" s="281">
        <f t="shared" si="2"/>
        <v>6.4143303942777647</v>
      </c>
      <c r="AF8" s="281">
        <f t="shared" si="2"/>
        <v>6.5503275431599901</v>
      </c>
      <c r="AG8" s="281">
        <f t="shared" si="2"/>
        <v>6.6864795782183721</v>
      </c>
      <c r="AH8" s="281">
        <f t="shared" si="2"/>
        <v>6.8278086050875926</v>
      </c>
      <c r="AI8" s="281">
        <f t="shared" si="2"/>
        <v>6.9758956417282745</v>
      </c>
      <c r="AJ8" s="281">
        <f t="shared" si="2"/>
        <v>7.1288620215722434</v>
      </c>
      <c r="AK8" s="281">
        <f t="shared" si="2"/>
        <v>7.2860938587530812</v>
      </c>
      <c r="AL8" s="281">
        <f t="shared" si="2"/>
        <v>7.4456845871681923</v>
      </c>
      <c r="AM8" s="281">
        <f t="shared" si="2"/>
        <v>7.6085279480735375</v>
      </c>
      <c r="AN8" s="281">
        <f t="shared" si="3"/>
        <v>7.775398589292803</v>
      </c>
      <c r="AO8" s="281">
        <f t="shared" si="3"/>
        <v>7.9463931290393566</v>
      </c>
      <c r="AP8" s="281">
        <f t="shared" si="3"/>
        <v>8.1209284127137167</v>
      </c>
      <c r="AQ8" s="281">
        <f t="shared" si="3"/>
        <v>8.2998071425731492</v>
      </c>
      <c r="AR8" s="281">
        <f t="shared" si="3"/>
        <v>8.4831260981794916</v>
      </c>
      <c r="AS8" s="281">
        <f t="shared" si="3"/>
        <v>8.6712452210722191</v>
      </c>
      <c r="AT8" s="281">
        <f t="shared" si="3"/>
        <v>8.8634317812843673</v>
      </c>
      <c r="AU8" s="281">
        <f t="shared" si="3"/>
        <v>9.0594762518605059</v>
      </c>
      <c r="AV8" s="281">
        <f t="shared" si="3"/>
        <v>9.2403579556890403</v>
      </c>
      <c r="AW8" s="281">
        <f t="shared" si="3"/>
        <v>9.4321924645396908</v>
      </c>
      <c r="AX8" s="281">
        <f t="shared" si="3"/>
        <v>9.6234368348502866</v>
      </c>
      <c r="AY8" s="282">
        <f t="shared" si="3"/>
        <v>9.8143723466521422</v>
      </c>
    </row>
    <row r="9" spans="1:51">
      <c r="A9" s="26"/>
      <c r="B9" s="94">
        <f t="shared" si="4"/>
        <v>2022</v>
      </c>
      <c r="C9" s="1">
        <f t="shared" si="5"/>
        <v>4</v>
      </c>
      <c r="D9" s="213">
        <v>44652</v>
      </c>
      <c r="E9" s="1" t="str">
        <f t="shared" si="6"/>
        <v>4-2022</v>
      </c>
      <c r="F9" s="268">
        <f>'IEPR Gas Prices Real'!F9*(INDEX('GDP Deflator'!$C$5:$C$89,MATCH('IEPR Gas Prices Nominal'!$B9,'GDP Deflator'!$B$5:$B$89,0))/100)</f>
        <v>6.3075503701799951</v>
      </c>
      <c r="G9" s="269">
        <f>'IEPR Gas Prices Real'!G9*(INDEX('GDP Deflator'!$C$5:$C$89,MATCH('IEPR Gas Prices Nominal'!$B9,'GDP Deflator'!$B$5:$B$89,0))/100)</f>
        <v>0.8880808876599291</v>
      </c>
      <c r="H9" s="270">
        <f>'IEPR Gas Prices Real'!H9*(INDEX('GDP Deflator'!$C$5:$C$89,MATCH('IEPR Gas Prices Nominal'!$B9,'GDP Deflator'!$B$5:$B$89,0))/100)</f>
        <v>7.1956312578399242</v>
      </c>
      <c r="I9" s="269">
        <f>'IEPR Gas Prices Real'!I9*(INDEX('GDP Deflator'!$C$5:$C$89,MATCH('IEPR Gas Prices Nominal'!$B9,'GDP Deflator'!$B$5:$B$89,0))/100)</f>
        <v>6.7884700689390067</v>
      </c>
      <c r="J9" s="269">
        <f>'IEPR Gas Prices Real'!J9*(INDEX('GDP Deflator'!$C$5:$C$89,MATCH('IEPR Gas Prices Nominal'!$B9,'GDP Deflator'!$B$5:$B$89,0))/100)</f>
        <v>1.4664363155196718</v>
      </c>
      <c r="K9" s="269">
        <f>'IEPR Gas Prices Real'!K9*(INDEX('GDP Deflator'!$C$5:$C$89,MATCH('IEPR Gas Prices Nominal'!$B9,'GDP Deflator'!$B$5:$B$89,0))/100)</f>
        <v>8.2549063844586783</v>
      </c>
      <c r="L9" s="268">
        <f>'IEPR Gas Prices Real'!L9*(INDEX('GDP Deflator'!$C$5:$C$89,MATCH('IEPR Gas Prices Nominal'!$B9,'GDP Deflator'!$B$5:$B$89,0))/100)</f>
        <v>6.7645794152691066</v>
      </c>
      <c r="M9" s="269">
        <f>'IEPR Gas Prices Real'!M9*(INDEX('GDP Deflator'!$C$5:$C$89,MATCH('IEPR Gas Prices Nominal'!$B9,'GDP Deflator'!$B$5:$B$89,0))/100)</f>
        <v>0.69253054374736689</v>
      </c>
      <c r="N9" s="270">
        <f>'IEPR Gas Prices Real'!N9*(INDEX('GDP Deflator'!$C$5:$C$89,MATCH('IEPR Gas Prices Nominal'!$B9,'GDP Deflator'!$B$5:$B$89,0))/100)</f>
        <v>7.4571099590164733</v>
      </c>
      <c r="O9" s="1"/>
      <c r="P9" s="274">
        <f t="shared" si="0"/>
        <v>6.6201999514627028</v>
      </c>
      <c r="Q9" s="275">
        <f t="shared" si="7"/>
        <v>7.6358825337716922</v>
      </c>
      <c r="R9" s="171"/>
      <c r="S9" s="284">
        <v>4</v>
      </c>
      <c r="T9" s="281">
        <f t="shared" si="1"/>
        <v>5.0888000939985529</v>
      </c>
      <c r="U9" s="281">
        <f t="shared" si="1"/>
        <v>5.112701340114465</v>
      </c>
      <c r="V9" s="281">
        <f t="shared" si="1"/>
        <v>5.2418111039390336</v>
      </c>
      <c r="W9" s="281">
        <f t="shared" si="1"/>
        <v>5.3609110960499597</v>
      </c>
      <c r="X9" s="281">
        <f t="shared" si="1"/>
        <v>5.4709630405380132</v>
      </c>
      <c r="Y9" s="281">
        <f t="shared" si="1"/>
        <v>5.5816933536381912</v>
      </c>
      <c r="Z9" s="281">
        <f t="shared" si="1"/>
        <v>5.6950635898495063</v>
      </c>
      <c r="AA9" s="281">
        <f t="shared" si="1"/>
        <v>5.8107813390438645</v>
      </c>
      <c r="AB9" s="281">
        <f t="shared" si="1"/>
        <v>5.9284039184994404</v>
      </c>
      <c r="AC9" s="281">
        <f t="shared" si="1"/>
        <v>6.0500577272669007</v>
      </c>
      <c r="AD9" s="281">
        <f t="shared" si="2"/>
        <v>6.1759206895460688</v>
      </c>
      <c r="AE9" s="281">
        <f t="shared" si="2"/>
        <v>6.305210669568738</v>
      </c>
      <c r="AF9" s="281">
        <f t="shared" si="2"/>
        <v>6.438445784434581</v>
      </c>
      <c r="AG9" s="281">
        <f t="shared" si="2"/>
        <v>6.5723267057725065</v>
      </c>
      <c r="AH9" s="281">
        <f t="shared" si="2"/>
        <v>6.7114909572799677</v>
      </c>
      <c r="AI9" s="281">
        <f t="shared" si="2"/>
        <v>6.8570912204151808</v>
      </c>
      <c r="AJ9" s="281">
        <f t="shared" si="2"/>
        <v>7.0074901730209271</v>
      </c>
      <c r="AK9" s="281">
        <f t="shared" si="2"/>
        <v>7.1618983281577044</v>
      </c>
      <c r="AL9" s="281">
        <f t="shared" si="2"/>
        <v>7.3188116643072831</v>
      </c>
      <c r="AM9" s="281">
        <f t="shared" si="2"/>
        <v>7.4788953871525008</v>
      </c>
      <c r="AN9" s="281">
        <f t="shared" si="3"/>
        <v>7.6429491002226833</v>
      </c>
      <c r="AO9" s="281">
        <f t="shared" si="3"/>
        <v>7.8110388260493409</v>
      </c>
      <c r="AP9" s="281">
        <f t="shared" si="3"/>
        <v>7.9826332616802249</v>
      </c>
      <c r="AQ9" s="281">
        <f t="shared" si="3"/>
        <v>8.1584712200499698</v>
      </c>
      <c r="AR9" s="281">
        <f t="shared" si="3"/>
        <v>8.3387040338630385</v>
      </c>
      <c r="AS9" s="281">
        <f t="shared" si="3"/>
        <v>8.5236377418928893</v>
      </c>
      <c r="AT9" s="281">
        <f t="shared" si="3"/>
        <v>8.7125797237552014</v>
      </c>
      <c r="AU9" s="281">
        <f t="shared" si="3"/>
        <v>8.9052978667027549</v>
      </c>
      <c r="AV9" s="281">
        <f t="shared" si="3"/>
        <v>9.0831355185667331</v>
      </c>
      <c r="AW9" s="281">
        <f t="shared" si="3"/>
        <v>9.2716998059795817</v>
      </c>
      <c r="AX9" s="281">
        <f t="shared" si="3"/>
        <v>9.4598001037945583</v>
      </c>
      <c r="AY9" s="282">
        <f t="shared" si="3"/>
        <v>9.6475234703351944</v>
      </c>
    </row>
    <row r="10" spans="1:51">
      <c r="A10" s="26"/>
      <c r="B10" s="94">
        <f t="shared" si="4"/>
        <v>2022</v>
      </c>
      <c r="C10" s="1">
        <f t="shared" si="5"/>
        <v>5</v>
      </c>
      <c r="D10" s="213">
        <v>44682</v>
      </c>
      <c r="E10" s="1" t="str">
        <f t="shared" si="6"/>
        <v>5-2022</v>
      </c>
      <c r="F10" s="268">
        <f>'IEPR Gas Prices Real'!F10*(INDEX('GDP Deflator'!$C$5:$C$89,MATCH('IEPR Gas Prices Nominal'!$B10,'GDP Deflator'!$B$5:$B$89,0))/100)</f>
        <v>6.527343227031249</v>
      </c>
      <c r="G10" s="269">
        <f>'IEPR Gas Prices Real'!G10*(INDEX('GDP Deflator'!$C$5:$C$89,MATCH('IEPR Gas Prices Nominal'!$B10,'GDP Deflator'!$B$5:$B$89,0))/100)</f>
        <v>0.8880808876599291</v>
      </c>
      <c r="H10" s="270">
        <f>'IEPR Gas Prices Real'!H10*(INDEX('GDP Deflator'!$C$5:$C$89,MATCH('IEPR Gas Prices Nominal'!$B10,'GDP Deflator'!$B$5:$B$89,0))/100)</f>
        <v>7.4154241146911781</v>
      </c>
      <c r="I10" s="269">
        <f>'IEPR Gas Prices Real'!I10*(INDEX('GDP Deflator'!$C$5:$C$89,MATCH('IEPR Gas Prices Nominal'!$B10,'GDP Deflator'!$B$5:$B$89,0))/100)</f>
        <v>7.0250210503081414</v>
      </c>
      <c r="J10" s="269">
        <f>'IEPR Gas Prices Real'!J10*(INDEX('GDP Deflator'!$C$5:$C$89,MATCH('IEPR Gas Prices Nominal'!$B10,'GDP Deflator'!$B$5:$B$89,0))/100)</f>
        <v>1.4664363155196718</v>
      </c>
      <c r="K10" s="269">
        <f>'IEPR Gas Prices Real'!K10*(INDEX('GDP Deflator'!$C$5:$C$89,MATCH('IEPR Gas Prices Nominal'!$B10,'GDP Deflator'!$B$5:$B$89,0))/100)</f>
        <v>8.491457365827813</v>
      </c>
      <c r="L10" s="268">
        <f>'IEPR Gas Prices Real'!L10*(INDEX('GDP Deflator'!$C$5:$C$89,MATCH('IEPR Gas Prices Nominal'!$B10,'GDP Deflator'!$B$5:$B$89,0))/100)</f>
        <v>7.0002979030846468</v>
      </c>
      <c r="M10" s="269">
        <f>'IEPR Gas Prices Real'!M10*(INDEX('GDP Deflator'!$C$5:$C$89,MATCH('IEPR Gas Prices Nominal'!$B10,'GDP Deflator'!$B$5:$B$89,0))/100)</f>
        <v>0.69253054374736689</v>
      </c>
      <c r="N10" s="270">
        <f>'IEPR Gas Prices Real'!N10*(INDEX('GDP Deflator'!$C$5:$C$89,MATCH('IEPR Gas Prices Nominal'!$B10,'GDP Deflator'!$B$5:$B$89,0))/100)</f>
        <v>7.6928284468320136</v>
      </c>
      <c r="O10" s="1"/>
      <c r="P10" s="274">
        <f t="shared" si="0"/>
        <v>6.8508873934746788</v>
      </c>
      <c r="Q10" s="275">
        <f t="shared" si="7"/>
        <v>7.8665699757836682</v>
      </c>
      <c r="R10" s="171"/>
      <c r="S10" s="284">
        <v>5</v>
      </c>
      <c r="T10" s="281">
        <f t="shared" si="1"/>
        <v>5.2535407995322911</v>
      </c>
      <c r="U10" s="281">
        <f t="shared" si="1"/>
        <v>5.2920911519346889</v>
      </c>
      <c r="V10" s="281">
        <f t="shared" si="1"/>
        <v>5.4244125168131889</v>
      </c>
      <c r="W10" s="281">
        <f t="shared" si="1"/>
        <v>5.5472983232864763</v>
      </c>
      <c r="X10" s="281">
        <f t="shared" si="1"/>
        <v>5.6611100220870982</v>
      </c>
      <c r="Y10" s="281">
        <f t="shared" si="1"/>
        <v>5.7758209657803041</v>
      </c>
      <c r="Z10" s="281">
        <f t="shared" si="1"/>
        <v>5.8932027501958233</v>
      </c>
      <c r="AA10" s="281">
        <f t="shared" si="1"/>
        <v>6.0128793547813091</v>
      </c>
      <c r="AB10" s="281">
        <f t="shared" si="1"/>
        <v>6.1345809909624949</v>
      </c>
      <c r="AC10" s="281">
        <f t="shared" si="1"/>
        <v>6.2605936638141131</v>
      </c>
      <c r="AD10" s="281">
        <f t="shared" si="2"/>
        <v>6.3906228409806749</v>
      </c>
      <c r="AE10" s="281">
        <f t="shared" si="2"/>
        <v>6.5246744090347448</v>
      </c>
      <c r="AF10" s="281">
        <f t="shared" si="2"/>
        <v>6.66208288823342</v>
      </c>
      <c r="AG10" s="281">
        <f t="shared" si="2"/>
        <v>6.8006704253133377</v>
      </c>
      <c r="AH10" s="281">
        <f t="shared" si="2"/>
        <v>6.9449263786301181</v>
      </c>
      <c r="AI10" s="281">
        <f t="shared" si="2"/>
        <v>7.0956281059175241</v>
      </c>
      <c r="AJ10" s="281">
        <f t="shared" si="2"/>
        <v>7.2512979844260244</v>
      </c>
      <c r="AK10" s="281">
        <f t="shared" si="2"/>
        <v>7.4109265131359292</v>
      </c>
      <c r="AL10" s="281">
        <f t="shared" si="2"/>
        <v>7.5733403421984491</v>
      </c>
      <c r="AM10" s="281">
        <f t="shared" si="2"/>
        <v>7.7390070574407348</v>
      </c>
      <c r="AN10" s="281">
        <f t="shared" si="3"/>
        <v>7.9087935581944437</v>
      </c>
      <c r="AO10" s="281">
        <f t="shared" si="3"/>
        <v>8.0827382029944541</v>
      </c>
      <c r="AP10" s="281">
        <f t="shared" si="3"/>
        <v>8.260334589849359</v>
      </c>
      <c r="AQ10" s="281">
        <f t="shared" si="3"/>
        <v>8.4422952610718642</v>
      </c>
      <c r="AR10" s="281">
        <f t="shared" si="3"/>
        <v>8.6288349768415937</v>
      </c>
      <c r="AS10" s="281">
        <f t="shared" si="3"/>
        <v>8.8202209818507651</v>
      </c>
      <c r="AT10" s="281">
        <f t="shared" si="3"/>
        <v>9.0157651567311863</v>
      </c>
      <c r="AU10" s="281">
        <f t="shared" si="3"/>
        <v>9.215200247156945</v>
      </c>
      <c r="AV10" s="281">
        <f t="shared" si="3"/>
        <v>9.3992620827569322</v>
      </c>
      <c r="AW10" s="281">
        <f t="shared" si="3"/>
        <v>9.5943826812470316</v>
      </c>
      <c r="AX10" s="281">
        <f t="shared" si="3"/>
        <v>9.7891433002784236</v>
      </c>
      <c r="AY10" s="282">
        <f t="shared" si="3"/>
        <v>9.9834379832346247</v>
      </c>
    </row>
    <row r="11" spans="1:51">
      <c r="A11" s="26"/>
      <c r="B11" s="94">
        <f t="shared" si="4"/>
        <v>2022</v>
      </c>
      <c r="C11" s="1">
        <f t="shared" si="5"/>
        <v>6</v>
      </c>
      <c r="D11" s="213">
        <v>44713</v>
      </c>
      <c r="E11" s="1" t="str">
        <f t="shared" si="6"/>
        <v>6-2022</v>
      </c>
      <c r="F11" s="268">
        <f>'IEPR Gas Prices Real'!F11*(INDEX('GDP Deflator'!$C$5:$C$89,MATCH('IEPR Gas Prices Nominal'!$B11,'GDP Deflator'!$B$5:$B$89,0))/100)</f>
        <v>5.8933446920913095</v>
      </c>
      <c r="G11" s="269">
        <f>'IEPR Gas Prices Real'!G11*(INDEX('GDP Deflator'!$C$5:$C$89,MATCH('IEPR Gas Prices Nominal'!$B11,'GDP Deflator'!$B$5:$B$89,0))/100)</f>
        <v>0.8880808876599291</v>
      </c>
      <c r="H11" s="270">
        <f>'IEPR Gas Prices Real'!H11*(INDEX('GDP Deflator'!$C$5:$C$89,MATCH('IEPR Gas Prices Nominal'!$B11,'GDP Deflator'!$B$5:$B$89,0))/100)</f>
        <v>6.7814255797512386</v>
      </c>
      <c r="I11" s="269">
        <f>'IEPR Gas Prices Real'!I11*(INDEX('GDP Deflator'!$C$5:$C$89,MATCH('IEPR Gas Prices Nominal'!$B11,'GDP Deflator'!$B$5:$B$89,0))/100)</f>
        <v>6.2825875972566312</v>
      </c>
      <c r="J11" s="269">
        <f>'IEPR Gas Prices Real'!J11*(INDEX('GDP Deflator'!$C$5:$C$89,MATCH('IEPR Gas Prices Nominal'!$B11,'GDP Deflator'!$B$5:$B$89,0))/100)</f>
        <v>1.4664363155196718</v>
      </c>
      <c r="K11" s="269">
        <f>'IEPR Gas Prices Real'!K11*(INDEX('GDP Deflator'!$C$5:$C$89,MATCH('IEPR Gas Prices Nominal'!$B11,'GDP Deflator'!$B$5:$B$89,0))/100)</f>
        <v>7.7490239127763028</v>
      </c>
      <c r="L11" s="268">
        <f>'IEPR Gas Prices Real'!L11*(INDEX('GDP Deflator'!$C$5:$C$89,MATCH('IEPR Gas Prices Nominal'!$B11,'GDP Deflator'!$B$5:$B$89,0))/100)</f>
        <v>6.3617699834319925</v>
      </c>
      <c r="M11" s="269">
        <f>'IEPR Gas Prices Real'!M11*(INDEX('GDP Deflator'!$C$5:$C$89,MATCH('IEPR Gas Prices Nominal'!$B11,'GDP Deflator'!$B$5:$B$89,0))/100)</f>
        <v>0.69253054374736689</v>
      </c>
      <c r="N11" s="270">
        <f>'IEPR Gas Prices Real'!N11*(INDEX('GDP Deflator'!$C$5:$C$89,MATCH('IEPR Gas Prices Nominal'!$B11,'GDP Deflator'!$B$5:$B$89,0))/100)</f>
        <v>7.0543005271793593</v>
      </c>
      <c r="O11" s="1"/>
      <c r="P11" s="274">
        <f t="shared" si="0"/>
        <v>6.1792340909266441</v>
      </c>
      <c r="Q11" s="275">
        <f t="shared" si="7"/>
        <v>7.1949166732356344</v>
      </c>
      <c r="R11" s="171"/>
      <c r="S11" s="284">
        <v>6</v>
      </c>
      <c r="T11" s="281">
        <f t="shared" si="1"/>
        <v>5.3766711269990379</v>
      </c>
      <c r="U11" s="281">
        <f t="shared" si="1"/>
        <v>5.4303937493200829</v>
      </c>
      <c r="V11" s="281">
        <f t="shared" si="1"/>
        <v>5.5648208661459826</v>
      </c>
      <c r="W11" s="281">
        <f t="shared" si="1"/>
        <v>5.6905150070588943</v>
      </c>
      <c r="X11" s="281">
        <f t="shared" si="1"/>
        <v>5.807196785125889</v>
      </c>
      <c r="Y11" s="281">
        <f t="shared" si="1"/>
        <v>5.9250034392180213</v>
      </c>
      <c r="Z11" s="281">
        <f t="shared" si="1"/>
        <v>6.045487440498218</v>
      </c>
      <c r="AA11" s="281">
        <f t="shared" si="1"/>
        <v>6.168187709077146</v>
      </c>
      <c r="AB11" s="281">
        <f t="shared" si="1"/>
        <v>6.2930206666254422</v>
      </c>
      <c r="AC11" s="281">
        <f t="shared" si="1"/>
        <v>6.4224192378220151</v>
      </c>
      <c r="AD11" s="281">
        <f t="shared" si="2"/>
        <v>6.5555902121843275</v>
      </c>
      <c r="AE11" s="281">
        <f t="shared" si="2"/>
        <v>6.6933760168393741</v>
      </c>
      <c r="AF11" s="281">
        <f t="shared" si="2"/>
        <v>6.8338611717817734</v>
      </c>
      <c r="AG11" s="281">
        <f t="shared" si="2"/>
        <v>6.9760798895440326</v>
      </c>
      <c r="AH11" s="281">
        <f t="shared" si="2"/>
        <v>7.1243199940690749</v>
      </c>
      <c r="AI11" s="281">
        <f t="shared" si="2"/>
        <v>7.2789527235531972</v>
      </c>
      <c r="AJ11" s="281">
        <f t="shared" si="2"/>
        <v>7.4386845587242538</v>
      </c>
      <c r="AK11" s="281">
        <f t="shared" si="2"/>
        <v>7.6022823691827268</v>
      </c>
      <c r="AL11" s="281">
        <f t="shared" si="2"/>
        <v>7.7689354219568658</v>
      </c>
      <c r="AM11" s="281">
        <f t="shared" si="2"/>
        <v>7.9388968937629842</v>
      </c>
      <c r="AN11" s="281">
        <f t="shared" si="3"/>
        <v>8.1130965861109203</v>
      </c>
      <c r="AO11" s="281">
        <f t="shared" si="3"/>
        <v>8.2915431102776722</v>
      </c>
      <c r="AP11" s="281">
        <f t="shared" si="3"/>
        <v>8.4737614900161713</v>
      </c>
      <c r="AQ11" s="281">
        <f t="shared" si="3"/>
        <v>8.6604293566092529</v>
      </c>
      <c r="AR11" s="281">
        <f t="shared" si="3"/>
        <v>8.8518266914545638</v>
      </c>
      <c r="AS11" s="281">
        <f t="shared" si="3"/>
        <v>9.0481769204886167</v>
      </c>
      <c r="AT11" s="281">
        <f t="shared" si="3"/>
        <v>9.2488034831688299</v>
      </c>
      <c r="AU11" s="281">
        <f t="shared" si="3"/>
        <v>9.4534044507294848</v>
      </c>
      <c r="AV11" s="281">
        <f t="shared" si="3"/>
        <v>9.6422605038467353</v>
      </c>
      <c r="AW11" s="281">
        <f t="shared" si="3"/>
        <v>9.8424189535766402</v>
      </c>
      <c r="AX11" s="281">
        <f t="shared" si="3"/>
        <v>10.042331392545549</v>
      </c>
      <c r="AY11" s="282">
        <f t="shared" si="3"/>
        <v>10.24168799517752</v>
      </c>
    </row>
    <row r="12" spans="1:51">
      <c r="A12" s="26"/>
      <c r="B12" s="94">
        <f t="shared" si="4"/>
        <v>2022</v>
      </c>
      <c r="C12" s="1">
        <f t="shared" si="5"/>
        <v>7</v>
      </c>
      <c r="D12" s="213">
        <v>44743</v>
      </c>
      <c r="E12" s="1" t="str">
        <f t="shared" si="6"/>
        <v>7-2022</v>
      </c>
      <c r="F12" s="268">
        <f>'IEPR Gas Prices Real'!F12*(INDEX('GDP Deflator'!$C$5:$C$89,MATCH('IEPR Gas Prices Nominal'!$B12,'GDP Deflator'!$B$5:$B$89,0))/100)</f>
        <v>5.8054427213239075</v>
      </c>
      <c r="G12" s="269">
        <f>'IEPR Gas Prices Real'!G12*(INDEX('GDP Deflator'!$C$5:$C$89,MATCH('IEPR Gas Prices Nominal'!$B12,'GDP Deflator'!$B$5:$B$89,0))/100)</f>
        <v>0.8880808876599291</v>
      </c>
      <c r="H12" s="270">
        <f>'IEPR Gas Prices Real'!H12*(INDEX('GDP Deflator'!$C$5:$C$89,MATCH('IEPR Gas Prices Nominal'!$B12,'GDP Deflator'!$B$5:$B$89,0))/100)</f>
        <v>6.6935236089838366</v>
      </c>
      <c r="I12" s="269">
        <f>'IEPR Gas Prices Real'!I12*(INDEX('GDP Deflator'!$C$5:$C$89,MATCH('IEPR Gas Prices Nominal'!$B12,'GDP Deflator'!$B$5:$B$89,0))/100)</f>
        <v>6.1774084137709648</v>
      </c>
      <c r="J12" s="269">
        <f>'IEPR Gas Prices Real'!J12*(INDEX('GDP Deflator'!$C$5:$C$89,MATCH('IEPR Gas Prices Nominal'!$B12,'GDP Deflator'!$B$5:$B$89,0))/100)</f>
        <v>1.4664363155196718</v>
      </c>
      <c r="K12" s="269">
        <f>'IEPR Gas Prices Real'!K12*(INDEX('GDP Deflator'!$C$5:$C$89,MATCH('IEPR Gas Prices Nominal'!$B12,'GDP Deflator'!$B$5:$B$89,0))/100)</f>
        <v>7.6438447292906364</v>
      </c>
      <c r="L12" s="268">
        <f>'IEPR Gas Prices Real'!L12*(INDEX('GDP Deflator'!$C$5:$C$89,MATCH('IEPR Gas Prices Nominal'!$B12,'GDP Deflator'!$B$5:$B$89,0))/100)</f>
        <v>6.2747855806349273</v>
      </c>
      <c r="M12" s="269">
        <f>'IEPR Gas Prices Real'!M12*(INDEX('GDP Deflator'!$C$5:$C$89,MATCH('IEPR Gas Prices Nominal'!$B12,'GDP Deflator'!$B$5:$B$89,0))/100)</f>
        <v>0.69253054374736689</v>
      </c>
      <c r="N12" s="270">
        <f>'IEPR Gas Prices Real'!N12*(INDEX('GDP Deflator'!$C$5:$C$89,MATCH('IEPR Gas Prices Nominal'!$B12,'GDP Deflator'!$B$5:$B$89,0))/100)</f>
        <v>6.9673161243822941</v>
      </c>
      <c r="O12" s="1"/>
      <c r="P12" s="274">
        <f t="shared" si="0"/>
        <v>6.0858789052432662</v>
      </c>
      <c r="Q12" s="275">
        <f t="shared" si="7"/>
        <v>7.1015614875522557</v>
      </c>
      <c r="R12" s="171"/>
      <c r="S12" s="284">
        <v>7</v>
      </c>
      <c r="T12" s="281">
        <f t="shared" si="1"/>
        <v>5.4065406365382271</v>
      </c>
      <c r="U12" s="281">
        <f t="shared" si="1"/>
        <v>5.4749787853330183</v>
      </c>
      <c r="V12" s="281">
        <f t="shared" si="1"/>
        <v>5.6091468062175096</v>
      </c>
      <c r="W12" s="281">
        <f t="shared" si="1"/>
        <v>5.7354666681417532</v>
      </c>
      <c r="X12" s="281">
        <f t="shared" si="1"/>
        <v>5.8530013728411028</v>
      </c>
      <c r="Y12" s="281">
        <f t="shared" si="1"/>
        <v>5.971873884186496</v>
      </c>
      <c r="Z12" s="281">
        <f t="shared" si="1"/>
        <v>6.0933819417180155</v>
      </c>
      <c r="AA12" s="281">
        <f t="shared" si="1"/>
        <v>6.2169848651107964</v>
      </c>
      <c r="AB12" s="281">
        <f t="shared" si="1"/>
        <v>6.342793146685163</v>
      </c>
      <c r="AC12" s="281">
        <f t="shared" si="1"/>
        <v>6.4733475384728756</v>
      </c>
      <c r="AD12" s="281">
        <f t="shared" si="2"/>
        <v>6.6073535360487563</v>
      </c>
      <c r="AE12" s="281">
        <f t="shared" si="2"/>
        <v>6.7465033441365145</v>
      </c>
      <c r="AF12" s="281">
        <f t="shared" si="2"/>
        <v>6.8876236059747251</v>
      </c>
      <c r="AG12" s="281">
        <f t="shared" si="2"/>
        <v>7.0310194091107769</v>
      </c>
      <c r="AH12" s="281">
        <f t="shared" si="2"/>
        <v>7.1806924549523012</v>
      </c>
      <c r="AI12" s="281">
        <f t="shared" si="2"/>
        <v>7.3365872938369607</v>
      </c>
      <c r="AJ12" s="281">
        <f t="shared" si="2"/>
        <v>7.4976242297881965</v>
      </c>
      <c r="AK12" s="281">
        <f t="shared" si="2"/>
        <v>7.6623612339542682</v>
      </c>
      <c r="AL12" s="281">
        <f t="shared" si="2"/>
        <v>7.8303772423392699</v>
      </c>
      <c r="AM12" s="281">
        <f t="shared" si="2"/>
        <v>8.0016991270980409</v>
      </c>
      <c r="AN12" s="281">
        <f t="shared" si="3"/>
        <v>8.177304881991974</v>
      </c>
      <c r="AO12" s="281">
        <f t="shared" si="3"/>
        <v>8.3571722012577379</v>
      </c>
      <c r="AP12" s="281">
        <f t="shared" si="3"/>
        <v>8.5408672146333089</v>
      </c>
      <c r="AQ12" s="281">
        <f t="shared" si="3"/>
        <v>8.7290191700686908</v>
      </c>
      <c r="AR12" s="281">
        <f t="shared" si="3"/>
        <v>8.9219704178192956</v>
      </c>
      <c r="AS12" s="281">
        <f t="shared" si="3"/>
        <v>9.1198950220719492</v>
      </c>
      <c r="AT12" s="281">
        <f t="shared" si="3"/>
        <v>9.322140638232721</v>
      </c>
      <c r="AU12" s="281">
        <f t="shared" si="3"/>
        <v>9.5283749542119427</v>
      </c>
      <c r="AV12" s="281">
        <f t="shared" si="3"/>
        <v>9.7187654210309447</v>
      </c>
      <c r="AW12" s="281">
        <f t="shared" si="3"/>
        <v>9.9205053549556066</v>
      </c>
      <c r="AX12" s="281">
        <f t="shared" si="3"/>
        <v>10.122121589675935</v>
      </c>
      <c r="AY12" s="282">
        <f t="shared" si="3"/>
        <v>10.323099099276062</v>
      </c>
    </row>
    <row r="13" spans="1:51">
      <c r="A13" s="26"/>
      <c r="B13" s="94">
        <f t="shared" si="4"/>
        <v>2022</v>
      </c>
      <c r="C13" s="1">
        <f t="shared" si="5"/>
        <v>8</v>
      </c>
      <c r="D13" s="213">
        <v>44774</v>
      </c>
      <c r="E13" s="1" t="str">
        <f t="shared" si="6"/>
        <v>8-2022</v>
      </c>
      <c r="F13" s="268">
        <f>'IEPR Gas Prices Real'!F13*(INDEX('GDP Deflator'!$C$5:$C$89,MATCH('IEPR Gas Prices Nominal'!$B13,'GDP Deflator'!$B$5:$B$89,0))/100)</f>
        <v>5.6269735425090337</v>
      </c>
      <c r="G13" s="269">
        <f>'IEPR Gas Prices Real'!G13*(INDEX('GDP Deflator'!$C$5:$C$89,MATCH('IEPR Gas Prices Nominal'!$B13,'GDP Deflator'!$B$5:$B$89,0))/100)</f>
        <v>0.8880808876599291</v>
      </c>
      <c r="H13" s="270">
        <f>'IEPR Gas Prices Real'!H13*(INDEX('GDP Deflator'!$C$5:$C$89,MATCH('IEPR Gas Prices Nominal'!$B13,'GDP Deflator'!$B$5:$B$89,0))/100)</f>
        <v>6.5150544301689628</v>
      </c>
      <c r="I13" s="269">
        <f>'IEPR Gas Prices Real'!I13*(INDEX('GDP Deflator'!$C$5:$C$89,MATCH('IEPR Gas Prices Nominal'!$B13,'GDP Deflator'!$B$5:$B$89,0))/100)</f>
        <v>5.9758565121977352</v>
      </c>
      <c r="J13" s="269">
        <f>'IEPR Gas Prices Real'!J13*(INDEX('GDP Deflator'!$C$5:$C$89,MATCH('IEPR Gas Prices Nominal'!$B13,'GDP Deflator'!$B$5:$B$89,0))/100)</f>
        <v>1.4664363155196718</v>
      </c>
      <c r="K13" s="269">
        <f>'IEPR Gas Prices Real'!K13*(INDEX('GDP Deflator'!$C$5:$C$89,MATCH('IEPR Gas Prices Nominal'!$B13,'GDP Deflator'!$B$5:$B$89,0))/100)</f>
        <v>7.4422928277174067</v>
      </c>
      <c r="L13" s="268">
        <f>'IEPR Gas Prices Real'!L13*(INDEX('GDP Deflator'!$C$5:$C$89,MATCH('IEPR Gas Prices Nominal'!$B13,'GDP Deflator'!$B$5:$B$89,0))/100)</f>
        <v>6.0899138939940274</v>
      </c>
      <c r="M13" s="269">
        <f>'IEPR Gas Prices Real'!M13*(INDEX('GDP Deflator'!$C$5:$C$89,MATCH('IEPR Gas Prices Nominal'!$B13,'GDP Deflator'!$B$5:$B$89,0))/100)</f>
        <v>0.69253054374736689</v>
      </c>
      <c r="N13" s="270">
        <f>'IEPR Gas Prices Real'!N13*(INDEX('GDP Deflator'!$C$5:$C$89,MATCH('IEPR Gas Prices Nominal'!$B13,'GDP Deflator'!$B$5:$B$89,0))/100)</f>
        <v>6.7824444377413942</v>
      </c>
      <c r="O13" s="1"/>
      <c r="P13" s="274">
        <f t="shared" si="0"/>
        <v>5.8975813162335982</v>
      </c>
      <c r="Q13" s="275">
        <f t="shared" si="7"/>
        <v>6.9132638985425876</v>
      </c>
      <c r="R13" s="171"/>
      <c r="S13" s="284">
        <v>8</v>
      </c>
      <c r="T13" s="281">
        <f t="shared" si="1"/>
        <v>5.3520918529264128</v>
      </c>
      <c r="U13" s="281">
        <f t="shared" si="1"/>
        <v>5.4341815150649024</v>
      </c>
      <c r="V13" s="281">
        <f t="shared" si="1"/>
        <v>5.5659977762886017</v>
      </c>
      <c r="W13" s="281">
        <f t="shared" si="1"/>
        <v>5.6909733073475843</v>
      </c>
      <c r="X13" s="281">
        <f t="shared" si="1"/>
        <v>5.8075279605580716</v>
      </c>
      <c r="Y13" s="281">
        <f t="shared" si="1"/>
        <v>5.9256125347425153</v>
      </c>
      <c r="Z13" s="281">
        <f t="shared" si="1"/>
        <v>6.0462497381066704</v>
      </c>
      <c r="AA13" s="281">
        <f t="shared" si="1"/>
        <v>6.168827704380436</v>
      </c>
      <c r="AB13" s="281">
        <f t="shared" si="1"/>
        <v>6.2936493181566533</v>
      </c>
      <c r="AC13" s="281">
        <f t="shared" si="1"/>
        <v>6.4233235559728934</v>
      </c>
      <c r="AD13" s="281">
        <f t="shared" si="2"/>
        <v>6.5560746935709107</v>
      </c>
      <c r="AE13" s="281">
        <f t="shared" si="2"/>
        <v>6.6944185170054942</v>
      </c>
      <c r="AF13" s="281">
        <f t="shared" si="2"/>
        <v>6.8339729958463264</v>
      </c>
      <c r="AG13" s="281">
        <f t="shared" si="2"/>
        <v>6.976309628655609</v>
      </c>
      <c r="AH13" s="281">
        <f t="shared" si="2"/>
        <v>7.1250815139296009</v>
      </c>
      <c r="AI13" s="281">
        <f t="shared" si="2"/>
        <v>7.2798072801411697</v>
      </c>
      <c r="AJ13" s="281">
        <f t="shared" si="2"/>
        <v>7.4396379440426195</v>
      </c>
      <c r="AK13" s="281">
        <f t="shared" si="2"/>
        <v>7.602945021099238</v>
      </c>
      <c r="AL13" s="281">
        <f t="shared" si="2"/>
        <v>7.7697037738516839</v>
      </c>
      <c r="AM13" s="281">
        <f t="shared" si="2"/>
        <v>7.939714298344609</v>
      </c>
      <c r="AN13" s="281">
        <f t="shared" si="3"/>
        <v>8.113987538095488</v>
      </c>
      <c r="AO13" s="281">
        <f t="shared" si="3"/>
        <v>8.2924706110388016</v>
      </c>
      <c r="AP13" s="281">
        <f t="shared" si="3"/>
        <v>8.4747775294465644</v>
      </c>
      <c r="AQ13" s="281">
        <f t="shared" si="3"/>
        <v>8.6614793324169792</v>
      </c>
      <c r="AR13" s="281">
        <f t="shared" si="3"/>
        <v>8.8529754139130201</v>
      </c>
      <c r="AS13" s="281">
        <f t="shared" si="3"/>
        <v>9.0493877500767059</v>
      </c>
      <c r="AT13" s="281">
        <f t="shared" si="3"/>
        <v>9.2500983924187992</v>
      </c>
      <c r="AU13" s="281">
        <f t="shared" si="3"/>
        <v>9.4547498215216432</v>
      </c>
      <c r="AV13" s="281">
        <f t="shared" si="3"/>
        <v>9.6437055585805762</v>
      </c>
      <c r="AW13" s="281">
        <f t="shared" si="3"/>
        <v>9.8438808277668723</v>
      </c>
      <c r="AX13" s="281">
        <f t="shared" si="3"/>
        <v>10.044056666963455</v>
      </c>
      <c r="AY13" s="282">
        <f t="shared" si="3"/>
        <v>10.243520835178844</v>
      </c>
    </row>
    <row r="14" spans="1:51">
      <c r="A14" s="26"/>
      <c r="B14" s="94">
        <f t="shared" si="4"/>
        <v>2022</v>
      </c>
      <c r="C14" s="1">
        <f t="shared" si="5"/>
        <v>9</v>
      </c>
      <c r="D14" s="213">
        <v>44805</v>
      </c>
      <c r="E14" s="1" t="str">
        <f t="shared" si="6"/>
        <v>9-2022</v>
      </c>
      <c r="F14" s="268">
        <f>'IEPR Gas Prices Real'!F14*(INDEX('GDP Deflator'!$C$5:$C$89,MATCH('IEPR Gas Prices Nominal'!$B14,'GDP Deflator'!$B$5:$B$89,0))/100)</f>
        <v>5.5706035393388413</v>
      </c>
      <c r="G14" s="269">
        <f>'IEPR Gas Prices Real'!G14*(INDEX('GDP Deflator'!$C$5:$C$89,MATCH('IEPR Gas Prices Nominal'!$B14,'GDP Deflator'!$B$5:$B$89,0))/100)</f>
        <v>0.8880808876599291</v>
      </c>
      <c r="H14" s="270">
        <f>'IEPR Gas Prices Real'!H14*(INDEX('GDP Deflator'!$C$5:$C$89,MATCH('IEPR Gas Prices Nominal'!$B14,'GDP Deflator'!$B$5:$B$89,0))/100)</f>
        <v>6.4586844269987704</v>
      </c>
      <c r="I14" s="269">
        <f>'IEPR Gas Prices Real'!I14*(INDEX('GDP Deflator'!$C$5:$C$89,MATCH('IEPR Gas Prices Nominal'!$B14,'GDP Deflator'!$B$5:$B$89,0))/100)</f>
        <v>5.9038982488870086</v>
      </c>
      <c r="J14" s="269">
        <f>'IEPR Gas Prices Real'!J14*(INDEX('GDP Deflator'!$C$5:$C$89,MATCH('IEPR Gas Prices Nominal'!$B14,'GDP Deflator'!$B$5:$B$89,0))/100)</f>
        <v>1.4664363155196718</v>
      </c>
      <c r="K14" s="269">
        <f>'IEPR Gas Prices Real'!K14*(INDEX('GDP Deflator'!$C$5:$C$89,MATCH('IEPR Gas Prices Nominal'!$B14,'GDP Deflator'!$B$5:$B$89,0))/100)</f>
        <v>7.3703345644066802</v>
      </c>
      <c r="L14" s="268">
        <f>'IEPR Gas Prices Real'!L14*(INDEX('GDP Deflator'!$C$5:$C$89,MATCH('IEPR Gas Prices Nominal'!$B14,'GDP Deflator'!$B$5:$B$89,0))/100)</f>
        <v>6.0372389924311092</v>
      </c>
      <c r="M14" s="269">
        <f>'IEPR Gas Prices Real'!M14*(INDEX('GDP Deflator'!$C$5:$C$89,MATCH('IEPR Gas Prices Nominal'!$B14,'GDP Deflator'!$B$5:$B$89,0))/100)</f>
        <v>0.69253054374736689</v>
      </c>
      <c r="N14" s="270">
        <f>'IEPR Gas Prices Real'!N14*(INDEX('GDP Deflator'!$C$5:$C$89,MATCH('IEPR Gas Prices Nominal'!$B14,'GDP Deflator'!$B$5:$B$89,0))/100)</f>
        <v>6.729769536178476</v>
      </c>
      <c r="O14" s="1"/>
      <c r="P14" s="274">
        <f t="shared" si="0"/>
        <v>5.8372469268856539</v>
      </c>
      <c r="Q14" s="275">
        <f t="shared" si="7"/>
        <v>6.8529295091946425</v>
      </c>
      <c r="R14" s="171"/>
      <c r="S14" s="284">
        <v>9</v>
      </c>
      <c r="T14" s="281">
        <f t="shared" si="1"/>
        <v>5.4145060067906785</v>
      </c>
      <c r="U14" s="281">
        <f t="shared" si="1"/>
        <v>5.5121311262384358</v>
      </c>
      <c r="V14" s="281">
        <f t="shared" si="1"/>
        <v>5.6444674510111001</v>
      </c>
      <c r="W14" s="281">
        <f t="shared" si="1"/>
        <v>5.7708270316157124</v>
      </c>
      <c r="X14" s="281">
        <f t="shared" si="1"/>
        <v>5.8889479039205499</v>
      </c>
      <c r="Y14" s="281">
        <f t="shared" si="1"/>
        <v>6.0088255293177824</v>
      </c>
      <c r="Z14" s="281">
        <f t="shared" si="1"/>
        <v>6.131228243795154</v>
      </c>
      <c r="AA14" s="281">
        <f t="shared" si="1"/>
        <v>6.2554591460118418</v>
      </c>
      <c r="AB14" s="281">
        <f t="shared" si="1"/>
        <v>6.382021361178456</v>
      </c>
      <c r="AC14" s="281">
        <f t="shared" si="1"/>
        <v>6.5136496560128139</v>
      </c>
      <c r="AD14" s="281">
        <f t="shared" si="2"/>
        <v>6.648045159363309</v>
      </c>
      <c r="AE14" s="281">
        <f t="shared" si="2"/>
        <v>6.7886075352789517</v>
      </c>
      <c r="AF14" s="281">
        <f t="shared" si="2"/>
        <v>6.9296424808758585</v>
      </c>
      <c r="AG14" s="281">
        <f t="shared" si="2"/>
        <v>7.0740303206615591</v>
      </c>
      <c r="AH14" s="281">
        <f t="shared" si="2"/>
        <v>7.2251533481932428</v>
      </c>
      <c r="AI14" s="281">
        <f t="shared" si="2"/>
        <v>7.3820910377309055</v>
      </c>
      <c r="AJ14" s="281">
        <f t="shared" si="2"/>
        <v>7.5442079841166292</v>
      </c>
      <c r="AK14" s="281">
        <f t="shared" si="2"/>
        <v>7.7096524066193455</v>
      </c>
      <c r="AL14" s="281">
        <f t="shared" si="2"/>
        <v>7.8787978562853178</v>
      </c>
      <c r="AM14" s="281">
        <f t="shared" si="2"/>
        <v>8.051211842692604</v>
      </c>
      <c r="AN14" s="281">
        <f t="shared" si="3"/>
        <v>8.2279606061923829</v>
      </c>
      <c r="AO14" s="281">
        <f t="shared" si="3"/>
        <v>8.4089593371795797</v>
      </c>
      <c r="AP14" s="281">
        <f t="shared" si="3"/>
        <v>8.5938617800975834</v>
      </c>
      <c r="AQ14" s="281">
        <f t="shared" si="3"/>
        <v>8.7831929028112796</v>
      </c>
      <c r="AR14" s="281">
        <f t="shared" si="3"/>
        <v>8.9774182497879185</v>
      </c>
      <c r="AS14" s="281">
        <f t="shared" si="3"/>
        <v>9.176610051258999</v>
      </c>
      <c r="AT14" s="281">
        <f t="shared" si="3"/>
        <v>9.3801714395085387</v>
      </c>
      <c r="AU14" s="281">
        <f t="shared" si="3"/>
        <v>9.5877116991351414</v>
      </c>
      <c r="AV14" s="281">
        <f t="shared" si="3"/>
        <v>9.7793616355830277</v>
      </c>
      <c r="AW14" s="281">
        <f t="shared" si="3"/>
        <v>9.9823460479102213</v>
      </c>
      <c r="AX14" s="281">
        <f t="shared" si="3"/>
        <v>10.185456096987187</v>
      </c>
      <c r="AY14" s="282">
        <f t="shared" si="3"/>
        <v>10.387765483328296</v>
      </c>
    </row>
    <row r="15" spans="1:51">
      <c r="A15" s="26"/>
      <c r="B15" s="94">
        <f t="shared" si="4"/>
        <v>2022</v>
      </c>
      <c r="C15" s="1">
        <f t="shared" si="5"/>
        <v>10</v>
      </c>
      <c r="D15" s="213">
        <v>44835</v>
      </c>
      <c r="E15" s="1" t="str">
        <f t="shared" si="6"/>
        <v>10-2022</v>
      </c>
      <c r="F15" s="268">
        <f>'IEPR Gas Prices Real'!F15*(INDEX('GDP Deflator'!$C$5:$C$89,MATCH('IEPR Gas Prices Nominal'!$B15,'GDP Deflator'!$B$5:$B$89,0))/100)</f>
        <v>5.4037542560324061</v>
      </c>
      <c r="G15" s="269">
        <f>'IEPR Gas Prices Real'!G15*(INDEX('GDP Deflator'!$C$5:$C$89,MATCH('IEPR Gas Prices Nominal'!$B15,'GDP Deflator'!$B$5:$B$89,0))/100)</f>
        <v>0.8880808876599291</v>
      </c>
      <c r="H15" s="270">
        <f>'IEPR Gas Prices Real'!H15*(INDEX('GDP Deflator'!$C$5:$C$89,MATCH('IEPR Gas Prices Nominal'!$B15,'GDP Deflator'!$B$5:$B$89,0))/100)</f>
        <v>6.2918351436923352</v>
      </c>
      <c r="I15" s="269">
        <f>'IEPR Gas Prices Real'!I15*(INDEX('GDP Deflator'!$C$5:$C$89,MATCH('IEPR Gas Prices Nominal'!$B15,'GDP Deflator'!$B$5:$B$89,0))/100)</f>
        <v>5.7147491508052966</v>
      </c>
      <c r="J15" s="269">
        <f>'IEPR Gas Prices Real'!J15*(INDEX('GDP Deflator'!$C$5:$C$89,MATCH('IEPR Gas Prices Nominal'!$B15,'GDP Deflator'!$B$5:$B$89,0))/100)</f>
        <v>1.4664363155196718</v>
      </c>
      <c r="K15" s="269">
        <f>'IEPR Gas Prices Real'!K15*(INDEX('GDP Deflator'!$C$5:$C$89,MATCH('IEPR Gas Prices Nominal'!$B15,'GDP Deflator'!$B$5:$B$89,0))/100)</f>
        <v>7.1811854663249681</v>
      </c>
      <c r="L15" s="268">
        <f>'IEPR Gas Prices Real'!L15*(INDEX('GDP Deflator'!$C$5:$C$89,MATCH('IEPR Gas Prices Nominal'!$B15,'GDP Deflator'!$B$5:$B$89,0))/100)</f>
        <v>5.8649001566336709</v>
      </c>
      <c r="M15" s="269">
        <f>'IEPR Gas Prices Real'!M15*(INDEX('GDP Deflator'!$C$5:$C$89,MATCH('IEPR Gas Prices Nominal'!$B15,'GDP Deflator'!$B$5:$B$89,0))/100)</f>
        <v>0.69253054374736689</v>
      </c>
      <c r="N15" s="270">
        <f>'IEPR Gas Prices Real'!N15*(INDEX('GDP Deflator'!$C$5:$C$89,MATCH('IEPR Gas Prices Nominal'!$B15,'GDP Deflator'!$B$5:$B$89,0))/100)</f>
        <v>6.5574307003810377</v>
      </c>
      <c r="O15" s="1"/>
      <c r="P15" s="274">
        <f t="shared" si="0"/>
        <v>5.6611345211571242</v>
      </c>
      <c r="Q15" s="275">
        <f t="shared" si="7"/>
        <v>6.6768171034661137</v>
      </c>
      <c r="R15" s="171"/>
      <c r="S15" s="284">
        <v>10</v>
      </c>
      <c r="T15" s="281">
        <f t="shared" si="1"/>
        <v>5.3705102665973241</v>
      </c>
      <c r="U15" s="281">
        <f t="shared" si="1"/>
        <v>5.4818719412993309</v>
      </c>
      <c r="V15" s="281">
        <f t="shared" si="1"/>
        <v>5.6121192063462049</v>
      </c>
      <c r="W15" s="281">
        <f t="shared" si="1"/>
        <v>5.7373789217263917</v>
      </c>
      <c r="X15" s="281">
        <f t="shared" si="1"/>
        <v>5.854746313658012</v>
      </c>
      <c r="Y15" s="281">
        <f t="shared" si="1"/>
        <v>5.9740644817788491</v>
      </c>
      <c r="Z15" s="281">
        <f t="shared" si="1"/>
        <v>6.0958301034061293</v>
      </c>
      <c r="AA15" s="281">
        <f t="shared" si="1"/>
        <v>6.219274298527</v>
      </c>
      <c r="AB15" s="281">
        <f t="shared" si="1"/>
        <v>6.3450921603266695</v>
      </c>
      <c r="AC15" s="281">
        <f t="shared" si="1"/>
        <v>6.4760912830675368</v>
      </c>
      <c r="AD15" s="281">
        <f t="shared" si="2"/>
        <v>6.609490702368066</v>
      </c>
      <c r="AE15" s="281">
        <f t="shared" si="2"/>
        <v>6.7495141640608907</v>
      </c>
      <c r="AF15" s="281">
        <f t="shared" si="2"/>
        <v>6.8892566461730764</v>
      </c>
      <c r="AG15" s="281">
        <f t="shared" si="2"/>
        <v>7.0328612890019473</v>
      </c>
      <c r="AH15" s="281">
        <f t="shared" si="2"/>
        <v>7.1833705364848592</v>
      </c>
      <c r="AI15" s="281">
        <f t="shared" si="2"/>
        <v>7.339439239780126</v>
      </c>
      <c r="AJ15" s="281">
        <f t="shared" si="2"/>
        <v>7.5006598942270033</v>
      </c>
      <c r="AK15" s="281">
        <f t="shared" si="2"/>
        <v>7.6649921379440871</v>
      </c>
      <c r="AL15" s="281">
        <f t="shared" si="2"/>
        <v>7.8332037418431781</v>
      </c>
      <c r="AM15" s="281">
        <f t="shared" si="2"/>
        <v>8.004636238063485</v>
      </c>
      <c r="AN15" s="281">
        <f t="shared" si="3"/>
        <v>8.1803905664774135</v>
      </c>
      <c r="AO15" s="281">
        <f t="shared" si="3"/>
        <v>8.3603513995924796</v>
      </c>
      <c r="AP15" s="281">
        <f t="shared" si="3"/>
        <v>8.5442193820895849</v>
      </c>
      <c r="AQ15" s="281">
        <f t="shared" si="3"/>
        <v>8.7324626605788627</v>
      </c>
      <c r="AR15" s="281">
        <f t="shared" si="3"/>
        <v>8.9256042857163074</v>
      </c>
      <c r="AS15" s="281">
        <f t="shared" si="3"/>
        <v>9.1236649021642133</v>
      </c>
      <c r="AT15" s="281">
        <f t="shared" si="3"/>
        <v>9.3260806853288969</v>
      </c>
      <c r="AU15" s="281">
        <f t="shared" si="3"/>
        <v>9.5324351641199598</v>
      </c>
      <c r="AV15" s="281">
        <f t="shared" si="3"/>
        <v>9.7230168818382232</v>
      </c>
      <c r="AW15" s="281">
        <f t="shared" si="3"/>
        <v>9.9248251351417736</v>
      </c>
      <c r="AX15" s="281">
        <f t="shared" si="3"/>
        <v>10.126882649679622</v>
      </c>
      <c r="AY15" s="282">
        <f t="shared" si="3"/>
        <v>10.328065582390366</v>
      </c>
    </row>
    <row r="16" spans="1:51">
      <c r="A16" s="26"/>
      <c r="B16" s="94">
        <f t="shared" si="4"/>
        <v>2022</v>
      </c>
      <c r="C16" s="1">
        <f t="shared" si="5"/>
        <v>11</v>
      </c>
      <c r="D16" s="213">
        <v>44866</v>
      </c>
      <c r="E16" s="1" t="str">
        <f t="shared" si="6"/>
        <v>11-2022</v>
      </c>
      <c r="F16" s="268">
        <f>'IEPR Gas Prices Real'!F16*(INDEX('GDP Deflator'!$C$5:$C$89,MATCH('IEPR Gas Prices Nominal'!$B16,'GDP Deflator'!$B$5:$B$89,0))/100)</f>
        <v>5.5294241038236178</v>
      </c>
      <c r="G16" s="269">
        <f>'IEPR Gas Prices Real'!G16*(INDEX('GDP Deflator'!$C$5:$C$89,MATCH('IEPR Gas Prices Nominal'!$B16,'GDP Deflator'!$B$5:$B$89,0))/100)</f>
        <v>0.8880808876599291</v>
      </c>
      <c r="H16" s="270">
        <f>'IEPR Gas Prices Real'!H16*(INDEX('GDP Deflator'!$C$5:$C$89,MATCH('IEPR Gas Prices Nominal'!$B16,'GDP Deflator'!$B$5:$B$89,0))/100)</f>
        <v>6.4175049914835469</v>
      </c>
      <c r="I16" s="269">
        <f>'IEPR Gas Prices Real'!I16*(INDEX('GDP Deflator'!$C$5:$C$89,MATCH('IEPR Gas Prices Nominal'!$B16,'GDP Deflator'!$B$5:$B$89,0))/100)</f>
        <v>5.8344022247992893</v>
      </c>
      <c r="J16" s="269">
        <f>'IEPR Gas Prices Real'!J16*(INDEX('GDP Deflator'!$C$5:$C$89,MATCH('IEPR Gas Prices Nominal'!$B16,'GDP Deflator'!$B$5:$B$89,0))/100)</f>
        <v>1.4664363155196718</v>
      </c>
      <c r="K16" s="269">
        <f>'IEPR Gas Prices Real'!K16*(INDEX('GDP Deflator'!$C$5:$C$89,MATCH('IEPR Gas Prices Nominal'!$B16,'GDP Deflator'!$B$5:$B$89,0))/100)</f>
        <v>7.3008385403189608</v>
      </c>
      <c r="L16" s="268">
        <f>'IEPR Gas Prices Real'!L16*(INDEX('GDP Deflator'!$C$5:$C$89,MATCH('IEPR Gas Prices Nominal'!$B16,'GDP Deflator'!$B$5:$B$89,0))/100)</f>
        <v>6.0104237593893215</v>
      </c>
      <c r="M16" s="269">
        <f>'IEPR Gas Prices Real'!M16*(INDEX('GDP Deflator'!$C$5:$C$89,MATCH('IEPR Gas Prices Nominal'!$B16,'GDP Deflator'!$B$5:$B$89,0))/100)</f>
        <v>0.69253054374736689</v>
      </c>
      <c r="N16" s="270">
        <f>'IEPR Gas Prices Real'!N16*(INDEX('GDP Deflator'!$C$5:$C$89,MATCH('IEPR Gas Prices Nominal'!$B16,'GDP Deflator'!$B$5:$B$89,0))/100)</f>
        <v>6.7029543031366883</v>
      </c>
      <c r="O16" s="1"/>
      <c r="P16" s="274">
        <f t="shared" si="0"/>
        <v>5.7914166960040765</v>
      </c>
      <c r="Q16" s="275">
        <f t="shared" si="7"/>
        <v>6.807099278313065</v>
      </c>
      <c r="R16" s="171"/>
      <c r="S16" s="284">
        <v>11</v>
      </c>
      <c r="T16" s="281">
        <f t="shared" si="1"/>
        <v>5.6225295039222187</v>
      </c>
      <c r="U16" s="281">
        <f t="shared" si="1"/>
        <v>5.7544025705853583</v>
      </c>
      <c r="V16" s="281">
        <f t="shared" si="1"/>
        <v>5.8896953963828649</v>
      </c>
      <c r="W16" s="281">
        <f t="shared" si="1"/>
        <v>6.0207561813857451</v>
      </c>
      <c r="X16" s="281">
        <f t="shared" si="1"/>
        <v>6.1438482599147592</v>
      </c>
      <c r="Y16" s="281">
        <f t="shared" si="1"/>
        <v>6.269201789967866</v>
      </c>
      <c r="Z16" s="281">
        <f t="shared" si="1"/>
        <v>6.3970575350827339</v>
      </c>
      <c r="AA16" s="281">
        <f t="shared" si="1"/>
        <v>6.5265288545230256</v>
      </c>
      <c r="AB16" s="281">
        <f t="shared" si="1"/>
        <v>6.6585497137462442</v>
      </c>
      <c r="AC16" s="281">
        <f t="shared" si="1"/>
        <v>6.7961594505259519</v>
      </c>
      <c r="AD16" s="281">
        <f t="shared" si="2"/>
        <v>6.9359197791129539</v>
      </c>
      <c r="AE16" s="281">
        <f t="shared" si="2"/>
        <v>7.0831486582342436</v>
      </c>
      <c r="AF16" s="281">
        <f t="shared" si="2"/>
        <v>7.2292946669126996</v>
      </c>
      <c r="AG16" s="281">
        <f t="shared" si="2"/>
        <v>7.3800484911278161</v>
      </c>
      <c r="AH16" s="281">
        <f t="shared" si="2"/>
        <v>7.5382667316327128</v>
      </c>
      <c r="AI16" s="281">
        <f t="shared" si="2"/>
        <v>7.7020865377921766</v>
      </c>
      <c r="AJ16" s="281">
        <f t="shared" si="2"/>
        <v>7.8713156053499063</v>
      </c>
      <c r="AK16" s="281">
        <f t="shared" si="2"/>
        <v>8.0436036058424438</v>
      </c>
      <c r="AL16" s="281">
        <f t="shared" si="2"/>
        <v>8.2201722573536706</v>
      </c>
      <c r="AM16" s="281">
        <f t="shared" si="2"/>
        <v>8.4000907637829823</v>
      </c>
      <c r="AN16" s="281">
        <f t="shared" si="3"/>
        <v>8.5845573470852958</v>
      </c>
      <c r="AO16" s="281">
        <f t="shared" si="3"/>
        <v>8.7734184376113458</v>
      </c>
      <c r="AP16" s="281">
        <f t="shared" si="3"/>
        <v>8.9664070122410653</v>
      </c>
      <c r="AQ16" s="281">
        <f t="shared" si="3"/>
        <v>9.1639578967763828</v>
      </c>
      <c r="AR16" s="281">
        <f t="shared" si="3"/>
        <v>9.3666831637369512</v>
      </c>
      <c r="AS16" s="281">
        <f t="shared" si="3"/>
        <v>9.5745507752140568</v>
      </c>
      <c r="AT16" s="281">
        <f t="shared" si="3"/>
        <v>9.7870001080259215</v>
      </c>
      <c r="AU16" s="281">
        <f t="shared" si="3"/>
        <v>10.003564712276861</v>
      </c>
      <c r="AV16" s="281">
        <f t="shared" si="3"/>
        <v>10.203604238756961</v>
      </c>
      <c r="AW16" s="281">
        <f t="shared" si="3"/>
        <v>10.415380457164362</v>
      </c>
      <c r="AX16" s="281">
        <f t="shared" si="3"/>
        <v>10.627548762533781</v>
      </c>
      <c r="AY16" s="282">
        <f t="shared" si="3"/>
        <v>10.838716836815484</v>
      </c>
    </row>
    <row r="17" spans="1:51">
      <c r="A17" s="26"/>
      <c r="B17" s="94">
        <f t="shared" si="4"/>
        <v>2022</v>
      </c>
      <c r="C17" s="1">
        <f t="shared" si="5"/>
        <v>12</v>
      </c>
      <c r="D17" s="213">
        <v>44896</v>
      </c>
      <c r="E17" s="1" t="str">
        <f t="shared" si="6"/>
        <v>12-2022</v>
      </c>
      <c r="F17" s="268">
        <f>'IEPR Gas Prices Real'!F17*(INDEX('GDP Deflator'!$C$5:$C$89,MATCH('IEPR Gas Prices Nominal'!$B17,'GDP Deflator'!$B$5:$B$89,0))/100)</f>
        <v>5.4313297788500687</v>
      </c>
      <c r="G17" s="269">
        <f>'IEPR Gas Prices Real'!G17*(INDEX('GDP Deflator'!$C$5:$C$89,MATCH('IEPR Gas Prices Nominal'!$B17,'GDP Deflator'!$B$5:$B$89,0))/100)</f>
        <v>0.8880808876599291</v>
      </c>
      <c r="H17" s="270">
        <f>'IEPR Gas Prices Real'!H17*(INDEX('GDP Deflator'!$C$5:$C$89,MATCH('IEPR Gas Prices Nominal'!$B17,'GDP Deflator'!$B$5:$B$89,0))/100)</f>
        <v>6.3194106665099978</v>
      </c>
      <c r="I17" s="269">
        <f>'IEPR Gas Prices Real'!I17*(INDEX('GDP Deflator'!$C$5:$C$89,MATCH('IEPR Gas Prices Nominal'!$B17,'GDP Deflator'!$B$5:$B$89,0))/100)</f>
        <v>5.7171988745800038</v>
      </c>
      <c r="J17" s="269">
        <f>'IEPR Gas Prices Real'!J17*(INDEX('GDP Deflator'!$C$5:$C$89,MATCH('IEPR Gas Prices Nominal'!$B17,'GDP Deflator'!$B$5:$B$89,0))/100)</f>
        <v>1.4664363155196718</v>
      </c>
      <c r="K17" s="269">
        <f>'IEPR Gas Prices Real'!K17*(INDEX('GDP Deflator'!$C$5:$C$89,MATCH('IEPR Gas Prices Nominal'!$B17,'GDP Deflator'!$B$5:$B$89,0))/100)</f>
        <v>7.1836351900996753</v>
      </c>
      <c r="L17" s="268">
        <f>'IEPR Gas Prices Real'!L17*(INDEX('GDP Deflator'!$C$5:$C$89,MATCH('IEPR Gas Prices Nominal'!$B17,'GDP Deflator'!$B$5:$B$89,0))/100)</f>
        <v>5.91323522187135</v>
      </c>
      <c r="M17" s="269">
        <f>'IEPR Gas Prices Real'!M17*(INDEX('GDP Deflator'!$C$5:$C$89,MATCH('IEPR Gas Prices Nominal'!$B17,'GDP Deflator'!$B$5:$B$89,0))/100)</f>
        <v>0.69253054374736689</v>
      </c>
      <c r="N17" s="270">
        <f>'IEPR Gas Prices Real'!N17*(INDEX('GDP Deflator'!$C$5:$C$89,MATCH('IEPR Gas Prices Nominal'!$B17,'GDP Deflator'!$B$5:$B$89,0))/100)</f>
        <v>6.6057657656187168</v>
      </c>
      <c r="O17" s="1"/>
      <c r="P17" s="274">
        <f t="shared" si="0"/>
        <v>5.6872546251004747</v>
      </c>
      <c r="Q17" s="275">
        <f t="shared" si="7"/>
        <v>6.7029372074094633</v>
      </c>
      <c r="R17" s="171"/>
      <c r="S17" s="284">
        <v>12</v>
      </c>
      <c r="T17" s="281">
        <f t="shared" si="1"/>
        <v>5.6542168990483601</v>
      </c>
      <c r="U17" s="281">
        <f t="shared" si="1"/>
        <v>5.8022797937611896</v>
      </c>
      <c r="V17" s="281">
        <f t="shared" si="1"/>
        <v>5.9372573783484874</v>
      </c>
      <c r="W17" s="281">
        <f t="shared" si="1"/>
        <v>6.0689790537941617</v>
      </c>
      <c r="X17" s="281">
        <f t="shared" si="1"/>
        <v>6.1929841860548649</v>
      </c>
      <c r="Y17" s="281">
        <f t="shared" si="1"/>
        <v>6.3194849558042705</v>
      </c>
      <c r="Z17" s="281">
        <f t="shared" si="1"/>
        <v>6.4484413206443598</v>
      </c>
      <c r="AA17" s="281">
        <f t="shared" si="1"/>
        <v>6.5788791025056623</v>
      </c>
      <c r="AB17" s="281">
        <f t="shared" si="1"/>
        <v>6.7119459574423148</v>
      </c>
      <c r="AC17" s="281">
        <f t="shared" si="1"/>
        <v>6.8507993987140834</v>
      </c>
      <c r="AD17" s="281">
        <f t="shared" si="2"/>
        <v>6.9914493923723304</v>
      </c>
      <c r="AE17" s="281">
        <f t="shared" si="2"/>
        <v>7.1401493151839368</v>
      </c>
      <c r="AF17" s="281">
        <f t="shared" si="2"/>
        <v>7.2869632498753658</v>
      </c>
      <c r="AG17" s="281">
        <f t="shared" si="2"/>
        <v>7.4389813323204974</v>
      </c>
      <c r="AH17" s="281">
        <f t="shared" si="2"/>
        <v>7.5987441859486786</v>
      </c>
      <c r="AI17" s="281">
        <f t="shared" si="2"/>
        <v>7.7639190936263427</v>
      </c>
      <c r="AJ17" s="281">
        <f t="shared" si="2"/>
        <v>7.9345494591833772</v>
      </c>
      <c r="AK17" s="281">
        <f t="shared" si="2"/>
        <v>8.1080552317530419</v>
      </c>
      <c r="AL17" s="281">
        <f t="shared" si="2"/>
        <v>8.2860873360988379</v>
      </c>
      <c r="AM17" s="281">
        <f t="shared" si="2"/>
        <v>8.4674657581384682</v>
      </c>
      <c r="AN17" s="281">
        <f t="shared" si="3"/>
        <v>8.6534415721994904</v>
      </c>
      <c r="AO17" s="281">
        <f t="shared" si="3"/>
        <v>8.8438271670232851</v>
      </c>
      <c r="AP17" s="281">
        <f t="shared" si="3"/>
        <v>9.0384008831326579</v>
      </c>
      <c r="AQ17" s="281">
        <f t="shared" si="3"/>
        <v>9.237544125129503</v>
      </c>
      <c r="AR17" s="281">
        <f t="shared" si="3"/>
        <v>9.4419375712677915</v>
      </c>
      <c r="AS17" s="281">
        <f t="shared" si="3"/>
        <v>9.6514947864856762</v>
      </c>
      <c r="AT17" s="281">
        <f t="shared" si="3"/>
        <v>9.8656819602510168</v>
      </c>
      <c r="AU17" s="281">
        <f t="shared" si="3"/>
        <v>10.083999257929332</v>
      </c>
      <c r="AV17" s="281">
        <f t="shared" si="3"/>
        <v>10.28568606163538</v>
      </c>
      <c r="AW17" s="281">
        <f t="shared" si="3"/>
        <v>10.499158861564974</v>
      </c>
      <c r="AX17" s="281">
        <f t="shared" si="3"/>
        <v>10.713158468448832</v>
      </c>
      <c r="AY17" s="282">
        <f t="shared" si="3"/>
        <v>10.926066707568102</v>
      </c>
    </row>
    <row r="18" spans="1:51">
      <c r="A18" s="26"/>
      <c r="B18" s="94">
        <f t="shared" si="4"/>
        <v>2023</v>
      </c>
      <c r="C18" s="1">
        <f t="shared" si="5"/>
        <v>1</v>
      </c>
      <c r="D18" s="213">
        <v>44927</v>
      </c>
      <c r="E18" s="1" t="str">
        <f t="shared" si="6"/>
        <v>1-2023</v>
      </c>
      <c r="F18" s="268">
        <f>'IEPR Gas Prices Real'!F18*(INDEX('GDP Deflator'!$C$5:$C$89,MATCH('IEPR Gas Prices Nominal'!$B18,'GDP Deflator'!$B$5:$B$89,0))/100)</f>
        <v>5.544792014006414</v>
      </c>
      <c r="G18" s="269">
        <f>'IEPR Gas Prices Real'!G18*(INDEX('GDP Deflator'!$C$5:$C$89,MATCH('IEPR Gas Prices Nominal'!$B18,'GDP Deflator'!$B$5:$B$89,0))/100)</f>
        <v>0.90873263040044228</v>
      </c>
      <c r="H18" s="270">
        <f>'IEPR Gas Prices Real'!H18*(INDEX('GDP Deflator'!$C$5:$C$89,MATCH('IEPR Gas Prices Nominal'!$B18,'GDP Deflator'!$B$5:$B$89,0))/100)</f>
        <v>6.4535246444068557</v>
      </c>
      <c r="I18" s="269">
        <f>'IEPR Gas Prices Real'!I18*(INDEX('GDP Deflator'!$C$5:$C$89,MATCH('IEPR Gas Prices Nominal'!$B18,'GDP Deflator'!$B$5:$B$89,0))/100)</f>
        <v>5.8367812738635534</v>
      </c>
      <c r="J18" s="269">
        <f>'IEPR Gas Prices Real'!J18*(INDEX('GDP Deflator'!$C$5:$C$89,MATCH('IEPR Gas Prices Nominal'!$B18,'GDP Deflator'!$B$5:$B$89,0))/100)</f>
        <v>1.500537337120595</v>
      </c>
      <c r="K18" s="269">
        <f>'IEPR Gas Prices Real'!K18*(INDEX('GDP Deflator'!$C$5:$C$89,MATCH('IEPR Gas Prices Nominal'!$B18,'GDP Deflator'!$B$5:$B$89,0))/100)</f>
        <v>7.3373186109841475</v>
      </c>
      <c r="L18" s="268">
        <f>'IEPR Gas Prices Real'!L18*(INDEX('GDP Deflator'!$C$5:$C$89,MATCH('IEPR Gas Prices Nominal'!$B18,'GDP Deflator'!$B$5:$B$89,0))/100)</f>
        <v>6.0373710477318836</v>
      </c>
      <c r="M18" s="269">
        <f>'IEPR Gas Prices Real'!M18*(INDEX('GDP Deflator'!$C$5:$C$89,MATCH('IEPR Gas Prices Nominal'!$B18,'GDP Deflator'!$B$5:$B$89,0))/100)</f>
        <v>0.70863489057899798</v>
      </c>
      <c r="N18" s="270">
        <f>'IEPR Gas Prices Real'!N18*(INDEX('GDP Deflator'!$C$5:$C$89,MATCH('IEPR Gas Prices Nominal'!$B18,'GDP Deflator'!$B$5:$B$89,0))/100)</f>
        <v>6.7460059383108817</v>
      </c>
      <c r="O18" s="1"/>
      <c r="P18" s="274">
        <f t="shared" si="0"/>
        <v>5.8063147785339497</v>
      </c>
      <c r="Q18" s="275">
        <f t="shared" si="7"/>
        <v>6.8456163979006277</v>
      </c>
      <c r="R18" s="171"/>
      <c r="S18" s="286" t="s">
        <v>208</v>
      </c>
      <c r="T18" s="291">
        <f>AVERAGE(T6:T17)</f>
        <v>5.4333780960720235</v>
      </c>
      <c r="U18" s="291">
        <f t="shared" ref="U18:AY18" si="8">AVERAGE(U6:U17)</f>
        <v>5.4954577362019359</v>
      </c>
      <c r="V18" s="291">
        <f t="shared" si="8"/>
        <v>5.6307590928489191</v>
      </c>
      <c r="W18" s="291">
        <f t="shared" si="8"/>
        <v>5.7577397035741198</v>
      </c>
      <c r="X18" s="291">
        <f t="shared" si="8"/>
        <v>5.8757627265464931</v>
      </c>
      <c r="Y18" s="291">
        <f t="shared" si="8"/>
        <v>5.9950341718858633</v>
      </c>
      <c r="Z18" s="291">
        <f t="shared" si="8"/>
        <v>6.1169805772507369</v>
      </c>
      <c r="AA18" s="291">
        <f t="shared" si="8"/>
        <v>6.2410943710292086</v>
      </c>
      <c r="AB18" s="291">
        <f t="shared" si="8"/>
        <v>6.3673962123381846</v>
      </c>
      <c r="AC18" s="291">
        <f t="shared" si="8"/>
        <v>6.4983956477362037</v>
      </c>
      <c r="AD18" s="291">
        <f t="shared" si="8"/>
        <v>6.6330226027566859</v>
      </c>
      <c r="AE18" s="291">
        <f t="shared" si="8"/>
        <v>6.7725850465173787</v>
      </c>
      <c r="AF18" s="291">
        <f t="shared" si="8"/>
        <v>6.9144733403876906</v>
      </c>
      <c r="AG18" s="291">
        <f t="shared" si="8"/>
        <v>7.0584011402671871</v>
      </c>
      <c r="AH18" s="291">
        <f t="shared" si="8"/>
        <v>7.2085340122779273</v>
      </c>
      <c r="AI18" s="291">
        <f t="shared" si="8"/>
        <v>7.3650154304837647</v>
      </c>
      <c r="AJ18" s="291">
        <f t="shared" si="8"/>
        <v>7.526657657665516</v>
      </c>
      <c r="AK18" s="291">
        <f t="shared" si="8"/>
        <v>7.6921053791318839</v>
      </c>
      <c r="AL18" s="291">
        <f t="shared" si="8"/>
        <v>7.8607523065524871</v>
      </c>
      <c r="AM18" s="291">
        <f t="shared" si="8"/>
        <v>8.0327312408870259</v>
      </c>
      <c r="AN18" s="291">
        <f t="shared" si="8"/>
        <v>8.2090050401156791</v>
      </c>
      <c r="AO18" s="291">
        <f t="shared" si="8"/>
        <v>8.3895656741513509</v>
      </c>
      <c r="AP18" s="291">
        <f t="shared" si="8"/>
        <v>8.5739567951133644</v>
      </c>
      <c r="AQ18" s="291">
        <f t="shared" si="8"/>
        <v>8.7628350025503163</v>
      </c>
      <c r="AR18" s="291">
        <f t="shared" si="8"/>
        <v>8.9565160919471545</v>
      </c>
      <c r="AS18" s="291">
        <f t="shared" si="8"/>
        <v>9.1551985018552546</v>
      </c>
      <c r="AT18" s="291">
        <f t="shared" si="8"/>
        <v>9.3582136524542676</v>
      </c>
      <c r="AU18" s="291">
        <f t="shared" si="8"/>
        <v>9.5652409190065004</v>
      </c>
      <c r="AV18" s="291">
        <f t="shared" si="8"/>
        <v>9.7563510162574527</v>
      </c>
      <c r="AW18" s="291">
        <f t="shared" si="8"/>
        <v>9.9588742210767549</v>
      </c>
      <c r="AX18" s="291">
        <f t="shared" si="8"/>
        <v>10.161215651285602</v>
      </c>
      <c r="AY18" s="292">
        <f t="shared" si="8"/>
        <v>10.362952261610966</v>
      </c>
    </row>
    <row r="19" spans="1:51">
      <c r="A19" s="26"/>
      <c r="B19" s="94">
        <f t="shared" si="4"/>
        <v>2023</v>
      </c>
      <c r="C19" s="1">
        <f t="shared" si="5"/>
        <v>2</v>
      </c>
      <c r="D19" s="213">
        <v>44958</v>
      </c>
      <c r="E19" s="1" t="str">
        <f t="shared" si="6"/>
        <v>2-2023</v>
      </c>
      <c r="F19" s="268">
        <f>'IEPR Gas Prices Real'!F19*(INDEX('GDP Deflator'!$C$5:$C$89,MATCH('IEPR Gas Prices Nominal'!$B19,'GDP Deflator'!$B$5:$B$89,0))/100)</f>
        <v>5.4103453225790377</v>
      </c>
      <c r="G19" s="269">
        <f>'IEPR Gas Prices Real'!G19*(INDEX('GDP Deflator'!$C$5:$C$89,MATCH('IEPR Gas Prices Nominal'!$B19,'GDP Deflator'!$B$5:$B$89,0))/100)</f>
        <v>0.90873263040044228</v>
      </c>
      <c r="H19" s="270">
        <f>'IEPR Gas Prices Real'!H19*(INDEX('GDP Deflator'!$C$5:$C$89,MATCH('IEPR Gas Prices Nominal'!$B19,'GDP Deflator'!$B$5:$B$89,0))/100)</f>
        <v>6.3190779529794803</v>
      </c>
      <c r="I19" s="269">
        <f>'IEPR Gas Prices Real'!I19*(INDEX('GDP Deflator'!$C$5:$C$89,MATCH('IEPR Gas Prices Nominal'!$B19,'GDP Deflator'!$B$5:$B$89,0))/100)</f>
        <v>5.6953999791932199</v>
      </c>
      <c r="J19" s="269">
        <f>'IEPR Gas Prices Real'!J19*(INDEX('GDP Deflator'!$C$5:$C$89,MATCH('IEPR Gas Prices Nominal'!$B19,'GDP Deflator'!$B$5:$B$89,0))/100)</f>
        <v>1.500537337120595</v>
      </c>
      <c r="K19" s="269">
        <f>'IEPR Gas Prices Real'!K19*(INDEX('GDP Deflator'!$C$5:$C$89,MATCH('IEPR Gas Prices Nominal'!$B19,'GDP Deflator'!$B$5:$B$89,0))/100)</f>
        <v>7.1959373163138141</v>
      </c>
      <c r="L19" s="268">
        <f>'IEPR Gas Prices Real'!L19*(INDEX('GDP Deflator'!$C$5:$C$89,MATCH('IEPR Gas Prices Nominal'!$B19,'GDP Deflator'!$B$5:$B$89,0))/100)</f>
        <v>5.8915751961258378</v>
      </c>
      <c r="M19" s="269">
        <f>'IEPR Gas Prices Real'!M19*(INDEX('GDP Deflator'!$C$5:$C$89,MATCH('IEPR Gas Prices Nominal'!$B19,'GDP Deflator'!$B$5:$B$89,0))/100)</f>
        <v>0.70863489057899798</v>
      </c>
      <c r="N19" s="270">
        <f>'IEPR Gas Prices Real'!N19*(INDEX('GDP Deflator'!$C$5:$C$89,MATCH('IEPR Gas Prices Nominal'!$B19,'GDP Deflator'!$B$5:$B$89,0))/100)</f>
        <v>6.6002100867048359</v>
      </c>
      <c r="O19" s="1"/>
      <c r="P19" s="274">
        <f t="shared" si="0"/>
        <v>5.6657734992993651</v>
      </c>
      <c r="Q19" s="275">
        <f t="shared" si="7"/>
        <v>6.7050751186660422</v>
      </c>
      <c r="R19" s="171"/>
      <c r="S19" s="188"/>
      <c r="T19" s="188"/>
      <c r="U19" s="188"/>
      <c r="V19" s="188"/>
      <c r="W19" s="188"/>
      <c r="X19" s="188"/>
      <c r="Y19" s="188"/>
      <c r="Z19" s="188"/>
      <c r="AA19" s="188"/>
      <c r="AB19" s="188"/>
      <c r="AC19" s="188"/>
      <c r="AD19" s="188"/>
      <c r="AE19" s="188"/>
      <c r="AF19" s="188"/>
      <c r="AG19" s="188"/>
      <c r="AH19" s="188"/>
      <c r="AI19" s="188"/>
      <c r="AJ19" s="188"/>
      <c r="AK19" s="188"/>
      <c r="AL19" s="188"/>
      <c r="AM19" s="188"/>
    </row>
    <row r="20" spans="1:51">
      <c r="A20" s="26"/>
      <c r="B20" s="94">
        <f t="shared" si="4"/>
        <v>2023</v>
      </c>
      <c r="C20" s="1">
        <f t="shared" si="5"/>
        <v>3</v>
      </c>
      <c r="D20" s="213">
        <v>44986</v>
      </c>
      <c r="E20" s="1" t="str">
        <f t="shared" si="6"/>
        <v>3-2023</v>
      </c>
      <c r="F20" s="268">
        <f>'IEPR Gas Prices Real'!F20*(INDEX('GDP Deflator'!$C$5:$C$89,MATCH('IEPR Gas Prices Nominal'!$B20,'GDP Deflator'!$B$5:$B$89,0))/100)</f>
        <v>4.9548890989306589</v>
      </c>
      <c r="G20" s="269">
        <f>'IEPR Gas Prices Real'!G20*(INDEX('GDP Deflator'!$C$5:$C$89,MATCH('IEPR Gas Prices Nominal'!$B20,'GDP Deflator'!$B$5:$B$89,0))/100)</f>
        <v>0.90873263040044228</v>
      </c>
      <c r="H20" s="270">
        <f>'IEPR Gas Prices Real'!H20*(INDEX('GDP Deflator'!$C$5:$C$89,MATCH('IEPR Gas Prices Nominal'!$B20,'GDP Deflator'!$B$5:$B$89,0))/100)</f>
        <v>5.8636217293311006</v>
      </c>
      <c r="I20" s="269">
        <f>'IEPR Gas Prices Real'!I20*(INDEX('GDP Deflator'!$C$5:$C$89,MATCH('IEPR Gas Prices Nominal'!$B20,'GDP Deflator'!$B$5:$B$89,0))/100)</f>
        <v>5.2160809315474559</v>
      </c>
      <c r="J20" s="269">
        <f>'IEPR Gas Prices Real'!J20*(INDEX('GDP Deflator'!$C$5:$C$89,MATCH('IEPR Gas Prices Nominal'!$B20,'GDP Deflator'!$B$5:$B$89,0))/100)</f>
        <v>1.500537337120595</v>
      </c>
      <c r="K20" s="269">
        <f>'IEPR Gas Prices Real'!K20*(INDEX('GDP Deflator'!$C$5:$C$89,MATCH('IEPR Gas Prices Nominal'!$B20,'GDP Deflator'!$B$5:$B$89,0))/100)</f>
        <v>6.7166182686680509</v>
      </c>
      <c r="L20" s="268">
        <f>'IEPR Gas Prices Real'!L20*(INDEX('GDP Deflator'!$C$5:$C$89,MATCH('IEPR Gas Prices Nominal'!$B20,'GDP Deflator'!$B$5:$B$89,0))/100)</f>
        <v>5.3961550355554992</v>
      </c>
      <c r="M20" s="269">
        <f>'IEPR Gas Prices Real'!M20*(INDEX('GDP Deflator'!$C$5:$C$89,MATCH('IEPR Gas Prices Nominal'!$B20,'GDP Deflator'!$B$5:$B$89,0))/100)</f>
        <v>0.70863489057899798</v>
      </c>
      <c r="N20" s="270">
        <f>'IEPR Gas Prices Real'!N20*(INDEX('GDP Deflator'!$C$5:$C$89,MATCH('IEPR Gas Prices Nominal'!$B20,'GDP Deflator'!$B$5:$B$89,0))/100)</f>
        <v>6.1047899261344973</v>
      </c>
      <c r="O20" s="1"/>
      <c r="P20" s="274">
        <f t="shared" si="0"/>
        <v>5.1890416886778716</v>
      </c>
      <c r="Q20" s="275">
        <f t="shared" si="7"/>
        <v>6.2283433080445496</v>
      </c>
      <c r="R20" s="171"/>
      <c r="S20" s="190" t="s">
        <v>209</v>
      </c>
      <c r="T20" s="88">
        <f>'User Dashboard'!E$58</f>
        <v>2023</v>
      </c>
      <c r="U20" s="88">
        <f>'User Dashboard'!F$58</f>
        <v>2024</v>
      </c>
      <c r="V20" s="88">
        <f>'User Dashboard'!G$58</f>
        <v>2025</v>
      </c>
      <c r="W20" s="88">
        <f>'User Dashboard'!H$58</f>
        <v>2026</v>
      </c>
      <c r="X20" s="88">
        <f>'User Dashboard'!I$58</f>
        <v>2027</v>
      </c>
      <c r="Y20" s="88">
        <f>'User Dashboard'!J$58</f>
        <v>2028</v>
      </c>
      <c r="Z20" s="88">
        <f>'User Dashboard'!K$58</f>
        <v>2029</v>
      </c>
      <c r="AA20" s="88">
        <f>'User Dashboard'!L$58</f>
        <v>2030</v>
      </c>
      <c r="AB20" s="88">
        <f>'User Dashboard'!M$58</f>
        <v>2031</v>
      </c>
      <c r="AC20" s="88">
        <f>'User Dashboard'!N$58</f>
        <v>2032</v>
      </c>
      <c r="AD20" s="88">
        <f>'User Dashboard'!O$58</f>
        <v>2033</v>
      </c>
      <c r="AE20" s="88">
        <f>'User Dashboard'!P$58</f>
        <v>2034</v>
      </c>
      <c r="AF20" s="88">
        <f>'User Dashboard'!Q$58</f>
        <v>2035</v>
      </c>
      <c r="AG20" s="88">
        <f>'User Dashboard'!R$58</f>
        <v>2036</v>
      </c>
      <c r="AH20" s="88">
        <f>'User Dashboard'!S$58</f>
        <v>2037</v>
      </c>
      <c r="AI20" s="88">
        <f>'User Dashboard'!T$58</f>
        <v>2038</v>
      </c>
      <c r="AJ20" s="88">
        <f>'User Dashboard'!U$58</f>
        <v>2039</v>
      </c>
      <c r="AK20" s="88">
        <f>'User Dashboard'!V$58</f>
        <v>2040</v>
      </c>
      <c r="AL20" s="88">
        <f>'User Dashboard'!W$58</f>
        <v>2041</v>
      </c>
      <c r="AM20" s="88">
        <f>'User Dashboard'!X$58</f>
        <v>2042</v>
      </c>
      <c r="AN20" s="88">
        <f>'User Dashboard'!Y$58</f>
        <v>2043</v>
      </c>
      <c r="AO20" s="88">
        <f>'User Dashboard'!Z$58</f>
        <v>2044</v>
      </c>
      <c r="AP20" s="88">
        <f>'User Dashboard'!AA$58</f>
        <v>2045</v>
      </c>
      <c r="AQ20" s="88">
        <f>'User Dashboard'!AB$58</f>
        <v>2046</v>
      </c>
      <c r="AR20" s="88">
        <f>'User Dashboard'!AC$58</f>
        <v>2047</v>
      </c>
      <c r="AS20" s="88">
        <f>'User Dashboard'!AD$58</f>
        <v>2048</v>
      </c>
      <c r="AT20" s="88">
        <f>'User Dashboard'!AE$58</f>
        <v>2049</v>
      </c>
      <c r="AU20" s="88">
        <f>'User Dashboard'!AF$58</f>
        <v>2050</v>
      </c>
      <c r="AV20" s="88">
        <f>'User Dashboard'!AG$58</f>
        <v>2051</v>
      </c>
      <c r="AW20" s="88">
        <f>'User Dashboard'!AH$58</f>
        <v>2052</v>
      </c>
      <c r="AX20" s="88">
        <f>'User Dashboard'!AI$58</f>
        <v>2053</v>
      </c>
      <c r="AY20" s="88">
        <f>'User Dashboard'!AJ$58</f>
        <v>2054</v>
      </c>
    </row>
    <row r="21" spans="1:51">
      <c r="A21" s="26"/>
      <c r="B21" s="94">
        <f t="shared" si="4"/>
        <v>2023</v>
      </c>
      <c r="C21" s="1">
        <f t="shared" si="5"/>
        <v>4</v>
      </c>
      <c r="D21" s="213">
        <v>45017</v>
      </c>
      <c r="E21" s="1" t="str">
        <f t="shared" si="6"/>
        <v>4-2023</v>
      </c>
      <c r="F21" s="268">
        <f>'IEPR Gas Prices Real'!F21*(INDEX('GDP Deflator'!$C$5:$C$89,MATCH('IEPR Gas Prices Nominal'!$B21,'GDP Deflator'!$B$5:$B$89,0))/100)</f>
        <v>4.8589572670236318</v>
      </c>
      <c r="G21" s="269">
        <f>'IEPR Gas Prices Real'!G21*(INDEX('GDP Deflator'!$C$5:$C$89,MATCH('IEPR Gas Prices Nominal'!$B21,'GDP Deflator'!$B$5:$B$89,0))/100)</f>
        <v>0.90873263040044228</v>
      </c>
      <c r="H21" s="270">
        <f>'IEPR Gas Prices Real'!H21*(INDEX('GDP Deflator'!$C$5:$C$89,MATCH('IEPR Gas Prices Nominal'!$B21,'GDP Deflator'!$B$5:$B$89,0))/100)</f>
        <v>5.7676898974240736</v>
      </c>
      <c r="I21" s="269">
        <f>'IEPR Gas Prices Real'!I21*(INDEX('GDP Deflator'!$C$5:$C$89,MATCH('IEPR Gas Prices Nominal'!$B21,'GDP Deflator'!$B$5:$B$89,0))/100)</f>
        <v>5.115223981753795</v>
      </c>
      <c r="J21" s="269">
        <f>'IEPR Gas Prices Real'!J21*(INDEX('GDP Deflator'!$C$5:$C$89,MATCH('IEPR Gas Prices Nominal'!$B21,'GDP Deflator'!$B$5:$B$89,0))/100)</f>
        <v>1.500537337120595</v>
      </c>
      <c r="K21" s="269">
        <f>'IEPR Gas Prices Real'!K21*(INDEX('GDP Deflator'!$C$5:$C$89,MATCH('IEPR Gas Prices Nominal'!$B21,'GDP Deflator'!$B$5:$B$89,0))/100)</f>
        <v>6.6157613188743891</v>
      </c>
      <c r="L21" s="268">
        <f>'IEPR Gas Prices Real'!L21*(INDEX('GDP Deflator'!$C$5:$C$89,MATCH('IEPR Gas Prices Nominal'!$B21,'GDP Deflator'!$B$5:$B$89,0))/100)</f>
        <v>5.2922190332182311</v>
      </c>
      <c r="M21" s="269">
        <f>'IEPR Gas Prices Real'!M21*(INDEX('GDP Deflator'!$C$5:$C$89,MATCH('IEPR Gas Prices Nominal'!$B21,'GDP Deflator'!$B$5:$B$89,0))/100)</f>
        <v>0.70863489057899798</v>
      </c>
      <c r="N21" s="270">
        <f>'IEPR Gas Prices Real'!N21*(INDEX('GDP Deflator'!$C$5:$C$89,MATCH('IEPR Gas Prices Nominal'!$B21,'GDP Deflator'!$B$5:$B$89,0))/100)</f>
        <v>6.0008539237972292</v>
      </c>
      <c r="O21" s="1"/>
      <c r="P21" s="274">
        <f t="shared" si="0"/>
        <v>5.0888000939985529</v>
      </c>
      <c r="Q21" s="275">
        <f t="shared" si="7"/>
        <v>6.12810171336523</v>
      </c>
      <c r="R21" s="171"/>
      <c r="S21" s="283">
        <v>1</v>
      </c>
      <c r="T21" s="287">
        <f t="shared" ref="T21:AC32" si="9">INDEX($Q$6:$Q$401,MATCH(_xlfn.CONCAT($S21,"-",T$20),$E$6:$E$401,0))</f>
        <v>6.8456163979006277</v>
      </c>
      <c r="U21" s="287">
        <f t="shared" si="9"/>
        <v>6.8940993065501956</v>
      </c>
      <c r="V21" s="287">
        <f t="shared" si="9"/>
        <v>7.1157384113034894</v>
      </c>
      <c r="W21" s="287">
        <f t="shared" si="9"/>
        <v>7.3272470981378932</v>
      </c>
      <c r="X21" s="287">
        <f t="shared" si="9"/>
        <v>7.5302850294705479</v>
      </c>
      <c r="Y21" s="287">
        <f t="shared" si="9"/>
        <v>7.7379185459762816</v>
      </c>
      <c r="Z21" s="287">
        <f t="shared" si="9"/>
        <v>7.9536296792232237</v>
      </c>
      <c r="AA21" s="287">
        <f t="shared" si="9"/>
        <v>8.1777912806109949</v>
      </c>
      <c r="AB21" s="287">
        <f t="shared" si="9"/>
        <v>8.4097123015313873</v>
      </c>
      <c r="AC21" s="287">
        <f t="shared" si="9"/>
        <v>8.6522147996187115</v>
      </c>
      <c r="AD21" s="287">
        <f t="shared" ref="AD21:AM32" si="10">INDEX($Q$6:$Q$401,MATCH(_xlfn.CONCAT($S21,"-",AD$20),$E$6:$E$401,0))</f>
        <v>8.9075971511122951</v>
      </c>
      <c r="AE21" s="287">
        <f t="shared" si="10"/>
        <v>9.1727585409075747</v>
      </c>
      <c r="AF21" s="287">
        <f t="shared" si="10"/>
        <v>9.4525652930731763</v>
      </c>
      <c r="AG21" s="287">
        <f t="shared" si="10"/>
        <v>9.7398623280874972</v>
      </c>
      <c r="AH21" s="287">
        <f t="shared" si="10"/>
        <v>10.041418550765082</v>
      </c>
      <c r="AI21" s="287">
        <f t="shared" si="10"/>
        <v>10.360603029035985</v>
      </c>
      <c r="AJ21" s="287">
        <f t="shared" si="10"/>
        <v>10.695460703903782</v>
      </c>
      <c r="AK21" s="287">
        <f t="shared" si="10"/>
        <v>11.046342969288341</v>
      </c>
      <c r="AL21" s="287">
        <f t="shared" si="10"/>
        <v>11.410654598195537</v>
      </c>
      <c r="AM21" s="287">
        <f t="shared" si="10"/>
        <v>11.790235255256206</v>
      </c>
      <c r="AN21" s="287">
        <f t="shared" ref="AN21:AY32" si="11">INDEX($Q$6:$Q$401,MATCH(_xlfn.CONCAT($S21,"-",AN$20),$E$6:$E$401,0))</f>
        <v>12.186857996098595</v>
      </c>
      <c r="AO21" s="287">
        <f t="shared" si="11"/>
        <v>12.601609649462135</v>
      </c>
      <c r="AP21" s="287">
        <f t="shared" si="11"/>
        <v>13.03432500698573</v>
      </c>
      <c r="AQ21" s="287">
        <f t="shared" si="11"/>
        <v>13.487186276100696</v>
      </c>
      <c r="AR21" s="287">
        <f t="shared" si="11"/>
        <v>13.961231923433298</v>
      </c>
      <c r="AS21" s="287">
        <f t="shared" si="11"/>
        <v>14.45804059535133</v>
      </c>
      <c r="AT21" s="287">
        <f t="shared" si="11"/>
        <v>14.977449222050183</v>
      </c>
      <c r="AU21" s="287">
        <f t="shared" si="11"/>
        <v>15.52021250305871</v>
      </c>
      <c r="AV21" s="287">
        <f t="shared" si="11"/>
        <v>16.054363298838634</v>
      </c>
      <c r="AW21" s="287">
        <f t="shared" si="11"/>
        <v>16.625763994938193</v>
      </c>
      <c r="AX21" s="287">
        <f t="shared" si="11"/>
        <v>17.215175328538848</v>
      </c>
      <c r="AY21" s="288">
        <f t="shared" si="11"/>
        <v>17.823851611973595</v>
      </c>
    </row>
    <row r="22" spans="1:51">
      <c r="A22" s="26"/>
      <c r="B22" s="94">
        <f t="shared" si="4"/>
        <v>2023</v>
      </c>
      <c r="C22" s="1">
        <f t="shared" si="5"/>
        <v>5</v>
      </c>
      <c r="D22" s="213">
        <v>45047</v>
      </c>
      <c r="E22" s="1" t="str">
        <f t="shared" si="6"/>
        <v>5-2023</v>
      </c>
      <c r="F22" s="268">
        <f>'IEPR Gas Prices Real'!F22*(INDEX('GDP Deflator'!$C$5:$C$89,MATCH('IEPR Gas Prices Nominal'!$B22,'GDP Deflator'!$B$5:$B$89,0))/100)</f>
        <v>5.0160356729505873</v>
      </c>
      <c r="G22" s="269">
        <f>'IEPR Gas Prices Real'!G22*(INDEX('GDP Deflator'!$C$5:$C$89,MATCH('IEPR Gas Prices Nominal'!$B22,'GDP Deflator'!$B$5:$B$89,0))/100)</f>
        <v>0.90873263040044228</v>
      </c>
      <c r="H22" s="270">
        <f>'IEPR Gas Prices Real'!H22*(INDEX('GDP Deflator'!$C$5:$C$89,MATCH('IEPR Gas Prices Nominal'!$B22,'GDP Deflator'!$B$5:$B$89,0))/100)</f>
        <v>5.9247683033510299</v>
      </c>
      <c r="I22" s="269">
        <f>'IEPR Gas Prices Real'!I22*(INDEX('GDP Deflator'!$C$5:$C$89,MATCH('IEPR Gas Prices Nominal'!$B22,'GDP Deflator'!$B$5:$B$89,0))/100)</f>
        <v>5.2807236291253048</v>
      </c>
      <c r="J22" s="269">
        <f>'IEPR Gas Prices Real'!J22*(INDEX('GDP Deflator'!$C$5:$C$89,MATCH('IEPR Gas Prices Nominal'!$B22,'GDP Deflator'!$B$5:$B$89,0))/100)</f>
        <v>1.500537337120595</v>
      </c>
      <c r="K22" s="269">
        <f>'IEPR Gas Prices Real'!K22*(INDEX('GDP Deflator'!$C$5:$C$89,MATCH('IEPR Gas Prices Nominal'!$B22,'GDP Deflator'!$B$5:$B$89,0))/100)</f>
        <v>6.7812609662458998</v>
      </c>
      <c r="L22" s="268">
        <f>'IEPR Gas Prices Real'!L22*(INDEX('GDP Deflator'!$C$5:$C$89,MATCH('IEPR Gas Prices Nominal'!$B22,'GDP Deflator'!$B$5:$B$89,0))/100)</f>
        <v>5.4638630965209822</v>
      </c>
      <c r="M22" s="269">
        <f>'IEPR Gas Prices Real'!M22*(INDEX('GDP Deflator'!$C$5:$C$89,MATCH('IEPR Gas Prices Nominal'!$B22,'GDP Deflator'!$B$5:$B$89,0))/100)</f>
        <v>0.70863489057899798</v>
      </c>
      <c r="N22" s="270">
        <f>'IEPR Gas Prices Real'!N22*(INDEX('GDP Deflator'!$C$5:$C$89,MATCH('IEPR Gas Prices Nominal'!$B22,'GDP Deflator'!$B$5:$B$89,0))/100)</f>
        <v>6.1724979870999803</v>
      </c>
      <c r="O22" s="1"/>
      <c r="P22" s="274">
        <f t="shared" si="0"/>
        <v>5.2535407995322911</v>
      </c>
      <c r="Q22" s="275">
        <f t="shared" si="7"/>
        <v>6.29284241889897</v>
      </c>
      <c r="R22" s="171"/>
      <c r="S22" s="284">
        <v>2</v>
      </c>
      <c r="T22" s="281">
        <f t="shared" si="9"/>
        <v>6.7050751186660422</v>
      </c>
      <c r="U22" s="281">
        <f t="shared" si="9"/>
        <v>6.768752530554532</v>
      </c>
      <c r="V22" s="281">
        <f t="shared" si="9"/>
        <v>6.9857197238769535</v>
      </c>
      <c r="W22" s="281">
        <f t="shared" si="9"/>
        <v>7.1938593413269345</v>
      </c>
      <c r="X22" s="281">
        <f t="shared" si="9"/>
        <v>7.3940830097944952</v>
      </c>
      <c r="Y22" s="281">
        <f t="shared" si="9"/>
        <v>7.5991108181066407</v>
      </c>
      <c r="Z22" s="281">
        <f t="shared" si="9"/>
        <v>7.8120810086424903</v>
      </c>
      <c r="AA22" s="281">
        <f t="shared" si="9"/>
        <v>8.0332897880087994</v>
      </c>
      <c r="AB22" s="281">
        <f t="shared" si="9"/>
        <v>8.2622722655345484</v>
      </c>
      <c r="AC22" s="281">
        <f t="shared" si="9"/>
        <v>8.50189548776771</v>
      </c>
      <c r="AD22" s="281">
        <f t="shared" si="10"/>
        <v>8.7539064851200266</v>
      </c>
      <c r="AE22" s="281">
        <f t="shared" si="10"/>
        <v>9.0161554055471651</v>
      </c>
      <c r="AF22" s="281">
        <f t="shared" si="10"/>
        <v>9.2921226665801644</v>
      </c>
      <c r="AG22" s="281">
        <f t="shared" si="10"/>
        <v>9.5761478029664744</v>
      </c>
      <c r="AH22" s="281">
        <f t="shared" si="10"/>
        <v>9.8745307940061213</v>
      </c>
      <c r="AI22" s="281">
        <f t="shared" si="10"/>
        <v>10.190137372250483</v>
      </c>
      <c r="AJ22" s="281">
        <f t="shared" si="10"/>
        <v>10.521300744005949</v>
      </c>
      <c r="AK22" s="281">
        <f t="shared" si="10"/>
        <v>10.868171912937072</v>
      </c>
      <c r="AL22" s="281">
        <f t="shared" si="10"/>
        <v>11.228630665635194</v>
      </c>
      <c r="AM22" s="281">
        <f t="shared" si="10"/>
        <v>11.604247879123413</v>
      </c>
      <c r="AN22" s="281">
        <f t="shared" si="11"/>
        <v>11.996821842813263</v>
      </c>
      <c r="AO22" s="281">
        <f t="shared" si="11"/>
        <v>12.407403509663723</v>
      </c>
      <c r="AP22" s="281">
        <f t="shared" si="11"/>
        <v>12.835890451154931</v>
      </c>
      <c r="AQ22" s="281">
        <f t="shared" si="11"/>
        <v>13.284387122859357</v>
      </c>
      <c r="AR22" s="281">
        <f t="shared" si="11"/>
        <v>13.753994689090023</v>
      </c>
      <c r="AS22" s="281">
        <f t="shared" si="11"/>
        <v>14.246227695520851</v>
      </c>
      <c r="AT22" s="281">
        <f t="shared" si="11"/>
        <v>14.760972964816895</v>
      </c>
      <c r="AU22" s="281">
        <f t="shared" si="11"/>
        <v>15.29896003867754</v>
      </c>
      <c r="AV22" s="281">
        <f t="shared" si="11"/>
        <v>15.828732984404157</v>
      </c>
      <c r="AW22" s="281">
        <f t="shared" si="11"/>
        <v>16.395442298710897</v>
      </c>
      <c r="AX22" s="281">
        <f t="shared" si="11"/>
        <v>16.980311075067355</v>
      </c>
      <c r="AY22" s="282">
        <f t="shared" si="11"/>
        <v>17.584367453418707</v>
      </c>
    </row>
    <row r="23" spans="1:51">
      <c r="A23" s="26"/>
      <c r="B23" s="94">
        <f t="shared" si="4"/>
        <v>2023</v>
      </c>
      <c r="C23" s="1">
        <f t="shared" si="5"/>
        <v>6</v>
      </c>
      <c r="D23" s="213">
        <v>45078</v>
      </c>
      <c r="E23" s="1" t="str">
        <f t="shared" si="6"/>
        <v>6-2023</v>
      </c>
      <c r="F23" s="268">
        <f>'IEPR Gas Prices Real'!F23*(INDEX('GDP Deflator'!$C$5:$C$89,MATCH('IEPR Gas Prices Nominal'!$B23,'GDP Deflator'!$B$5:$B$89,0))/100)</f>
        <v>5.133371617970905</v>
      </c>
      <c r="G23" s="269">
        <f>'IEPR Gas Prices Real'!G23*(INDEX('GDP Deflator'!$C$5:$C$89,MATCH('IEPR Gas Prices Nominal'!$B23,'GDP Deflator'!$B$5:$B$89,0))/100)</f>
        <v>0.90873263040044228</v>
      </c>
      <c r="H23" s="270">
        <f>'IEPR Gas Prices Real'!H23*(INDEX('GDP Deflator'!$C$5:$C$89,MATCH('IEPR Gas Prices Nominal'!$B23,'GDP Deflator'!$B$5:$B$89,0))/100)</f>
        <v>6.0421042483713476</v>
      </c>
      <c r="I23" s="269">
        <f>'IEPR Gas Prices Real'!I23*(INDEX('GDP Deflator'!$C$5:$C$89,MATCH('IEPR Gas Prices Nominal'!$B23,'GDP Deflator'!$B$5:$B$89,0))/100)</f>
        <v>5.4043918372740141</v>
      </c>
      <c r="J23" s="269">
        <f>'IEPR Gas Prices Real'!J23*(INDEX('GDP Deflator'!$C$5:$C$89,MATCH('IEPR Gas Prices Nominal'!$B23,'GDP Deflator'!$B$5:$B$89,0))/100)</f>
        <v>1.500537337120595</v>
      </c>
      <c r="K23" s="269">
        <f>'IEPR Gas Prices Real'!K23*(INDEX('GDP Deflator'!$C$5:$C$89,MATCH('IEPR Gas Prices Nominal'!$B23,'GDP Deflator'!$B$5:$B$89,0))/100)</f>
        <v>6.9049291743946091</v>
      </c>
      <c r="L23" s="268">
        <f>'IEPR Gas Prices Real'!L23*(INDEX('GDP Deflator'!$C$5:$C$89,MATCH('IEPR Gas Prices Nominal'!$B23,'GDP Deflator'!$B$5:$B$89,0))/100)</f>
        <v>5.5922499257521938</v>
      </c>
      <c r="M23" s="269">
        <f>'IEPR Gas Prices Real'!M23*(INDEX('GDP Deflator'!$C$5:$C$89,MATCH('IEPR Gas Prices Nominal'!$B23,'GDP Deflator'!$B$5:$B$89,0))/100)</f>
        <v>0.70863489057899798</v>
      </c>
      <c r="N23" s="270">
        <f>'IEPR Gas Prices Real'!N23*(INDEX('GDP Deflator'!$C$5:$C$89,MATCH('IEPR Gas Prices Nominal'!$B23,'GDP Deflator'!$B$5:$B$89,0))/100)</f>
        <v>6.3008848163311919</v>
      </c>
      <c r="O23" s="1"/>
      <c r="P23" s="274">
        <f t="shared" si="0"/>
        <v>5.3766711269990379</v>
      </c>
      <c r="Q23" s="275">
        <f t="shared" si="7"/>
        <v>6.4159727463657168</v>
      </c>
      <c r="R23" s="171"/>
      <c r="S23" s="284">
        <v>3</v>
      </c>
      <c r="T23" s="281">
        <f t="shared" si="9"/>
        <v>6.2283433080445496</v>
      </c>
      <c r="U23" s="281">
        <f t="shared" si="9"/>
        <v>6.3058566359376229</v>
      </c>
      <c r="V23" s="281">
        <f t="shared" si="9"/>
        <v>6.5096069273074093</v>
      </c>
      <c r="W23" s="281">
        <f t="shared" si="9"/>
        <v>6.7065080494331086</v>
      </c>
      <c r="X23" s="281">
        <f t="shared" si="9"/>
        <v>6.8966500261285288</v>
      </c>
      <c r="Y23" s="281">
        <f t="shared" si="9"/>
        <v>7.091763041311566</v>
      </c>
      <c r="Z23" s="281">
        <f t="shared" si="9"/>
        <v>7.2945079316413315</v>
      </c>
      <c r="AA23" s="281">
        <f t="shared" si="9"/>
        <v>7.5051223989858791</v>
      </c>
      <c r="AB23" s="281">
        <f t="shared" si="9"/>
        <v>7.7233999308826187</v>
      </c>
      <c r="AC23" s="281">
        <f t="shared" si="9"/>
        <v>7.9521135247432584</v>
      </c>
      <c r="AD23" s="281">
        <f t="shared" si="10"/>
        <v>8.1924395129920757</v>
      </c>
      <c r="AE23" s="281">
        <f t="shared" si="10"/>
        <v>8.4432436002111846</v>
      </c>
      <c r="AF23" s="281">
        <f t="shared" si="10"/>
        <v>8.7065669972944253</v>
      </c>
      <c r="AG23" s="281">
        <f t="shared" si="10"/>
        <v>8.9784813370054515</v>
      </c>
      <c r="AH23" s="281">
        <f t="shared" si="10"/>
        <v>9.2645065569097067</v>
      </c>
      <c r="AI23" s="281">
        <f t="shared" si="10"/>
        <v>9.5669223467298448</v>
      </c>
      <c r="AJ23" s="281">
        <f t="shared" si="10"/>
        <v>9.8844617267595982</v>
      </c>
      <c r="AK23" s="281">
        <f t="shared" si="10"/>
        <v>10.217124378295418</v>
      </c>
      <c r="AL23" s="281">
        <f t="shared" si="10"/>
        <v>10.563370491470003</v>
      </c>
      <c r="AM23" s="281">
        <f t="shared" si="10"/>
        <v>10.924454727216178</v>
      </c>
      <c r="AN23" s="281">
        <f t="shared" si="11"/>
        <v>11.302148440986096</v>
      </c>
      <c r="AO23" s="281">
        <f t="shared" si="11"/>
        <v>11.697461874726196</v>
      </c>
      <c r="AP23" s="281">
        <f t="shared" si="11"/>
        <v>12.110391149053969</v>
      </c>
      <c r="AQ23" s="281">
        <f t="shared" si="11"/>
        <v>12.542913360794238</v>
      </c>
      <c r="AR23" s="281">
        <f t="shared" si="11"/>
        <v>12.996183304048202</v>
      </c>
      <c r="AS23" s="281">
        <f t="shared" si="11"/>
        <v>13.471630431664829</v>
      </c>
      <c r="AT23" s="281">
        <f t="shared" si="11"/>
        <v>13.969237644345037</v>
      </c>
      <c r="AU23" s="281">
        <f t="shared" si="11"/>
        <v>14.489724221511912</v>
      </c>
      <c r="AV23" s="281">
        <f t="shared" si="11"/>
        <v>15.003377928908003</v>
      </c>
      <c r="AW23" s="281">
        <f t="shared" si="11"/>
        <v>15.552945579827082</v>
      </c>
      <c r="AX23" s="281">
        <f t="shared" si="11"/>
        <v>16.120854061818587</v>
      </c>
      <c r="AY23" s="282">
        <f t="shared" si="11"/>
        <v>16.7078964796608</v>
      </c>
    </row>
    <row r="24" spans="1:51">
      <c r="A24" s="26"/>
      <c r="B24" s="94">
        <f t="shared" si="4"/>
        <v>2023</v>
      </c>
      <c r="C24" s="1">
        <f t="shared" si="5"/>
        <v>7</v>
      </c>
      <c r="D24" s="213">
        <v>45108</v>
      </c>
      <c r="E24" s="1" t="str">
        <f t="shared" si="6"/>
        <v>7-2023</v>
      </c>
      <c r="F24" s="268">
        <f>'IEPR Gas Prices Real'!F24*(INDEX('GDP Deflator'!$C$5:$C$89,MATCH('IEPR Gas Prices Nominal'!$B24,'GDP Deflator'!$B$5:$B$89,0))/100)</f>
        <v>5.1616593001181537</v>
      </c>
      <c r="G24" s="269">
        <f>'IEPR Gas Prices Real'!G24*(INDEX('GDP Deflator'!$C$5:$C$89,MATCH('IEPR Gas Prices Nominal'!$B24,'GDP Deflator'!$B$5:$B$89,0))/100)</f>
        <v>0.90873263040044228</v>
      </c>
      <c r="H24" s="270">
        <f>'IEPR Gas Prices Real'!H24*(INDEX('GDP Deflator'!$C$5:$C$89,MATCH('IEPR Gas Prices Nominal'!$B24,'GDP Deflator'!$B$5:$B$89,0))/100)</f>
        <v>6.0703919305185954</v>
      </c>
      <c r="I24" s="269">
        <f>'IEPR Gas Prices Real'!I24*(INDEX('GDP Deflator'!$C$5:$C$89,MATCH('IEPR Gas Prices Nominal'!$B24,'GDP Deflator'!$B$5:$B$89,0))/100)</f>
        <v>5.434315095445859</v>
      </c>
      <c r="J24" s="269">
        <f>'IEPR Gas Prices Real'!J24*(INDEX('GDP Deflator'!$C$5:$C$89,MATCH('IEPR Gas Prices Nominal'!$B24,'GDP Deflator'!$B$5:$B$89,0))/100)</f>
        <v>1.500537337120595</v>
      </c>
      <c r="K24" s="269">
        <f>'IEPR Gas Prices Real'!K24*(INDEX('GDP Deflator'!$C$5:$C$89,MATCH('IEPR Gas Prices Nominal'!$B24,'GDP Deflator'!$B$5:$B$89,0))/100)</f>
        <v>6.9348524325664531</v>
      </c>
      <c r="L24" s="268">
        <f>'IEPR Gas Prices Real'!L24*(INDEX('GDP Deflator'!$C$5:$C$89,MATCH('IEPR Gas Prices Nominal'!$B24,'GDP Deflator'!$B$5:$B$89,0))/100)</f>
        <v>5.623647514050667</v>
      </c>
      <c r="M24" s="269">
        <f>'IEPR Gas Prices Real'!M24*(INDEX('GDP Deflator'!$C$5:$C$89,MATCH('IEPR Gas Prices Nominal'!$B24,'GDP Deflator'!$B$5:$B$89,0))/100)</f>
        <v>0.70863489057899798</v>
      </c>
      <c r="N24" s="270">
        <f>'IEPR Gas Prices Real'!N24*(INDEX('GDP Deflator'!$C$5:$C$89,MATCH('IEPR Gas Prices Nominal'!$B24,'GDP Deflator'!$B$5:$B$89,0))/100)</f>
        <v>6.3322824046296651</v>
      </c>
      <c r="O24" s="1"/>
      <c r="P24" s="274">
        <f t="shared" si="0"/>
        <v>5.4065406365382271</v>
      </c>
      <c r="Q24" s="275">
        <f t="shared" si="7"/>
        <v>6.4458422559049042</v>
      </c>
      <c r="R24" s="171"/>
      <c r="S24" s="284">
        <v>4</v>
      </c>
      <c r="T24" s="281">
        <f t="shared" si="9"/>
        <v>6.12810171336523</v>
      </c>
      <c r="U24" s="281">
        <f t="shared" si="9"/>
        <v>6.2187838775379936</v>
      </c>
      <c r="V24" s="281">
        <f t="shared" si="9"/>
        <v>6.4190392538703023</v>
      </c>
      <c r="W24" s="281">
        <f t="shared" si="9"/>
        <v>6.6135256415216856</v>
      </c>
      <c r="X24" s="281">
        <f t="shared" si="9"/>
        <v>6.8016934377160139</v>
      </c>
      <c r="Y24" s="281">
        <f t="shared" si="9"/>
        <v>6.9950144460376604</v>
      </c>
      <c r="Z24" s="281">
        <f t="shared" si="9"/>
        <v>7.1958617084477767</v>
      </c>
      <c r="AA24" s="281">
        <f t="shared" si="9"/>
        <v>7.4044058021159493</v>
      </c>
      <c r="AB24" s="281">
        <f t="shared" si="9"/>
        <v>7.6206329796705097</v>
      </c>
      <c r="AC24" s="281">
        <f t="shared" si="9"/>
        <v>7.847363577588375</v>
      </c>
      <c r="AD24" s="281">
        <f t="shared" si="10"/>
        <v>8.0853003301099218</v>
      </c>
      <c r="AE24" s="281">
        <f t="shared" si="10"/>
        <v>8.3341238755021578</v>
      </c>
      <c r="AF24" s="281">
        <f t="shared" si="10"/>
        <v>8.5946852385690153</v>
      </c>
      <c r="AG24" s="281">
        <f t="shared" si="10"/>
        <v>8.8643284645595859</v>
      </c>
      <c r="AH24" s="281">
        <f t="shared" si="10"/>
        <v>9.14818890910208</v>
      </c>
      <c r="AI24" s="281">
        <f t="shared" si="10"/>
        <v>9.4481179254167511</v>
      </c>
      <c r="AJ24" s="281">
        <f t="shared" si="10"/>
        <v>9.763089878208282</v>
      </c>
      <c r="AK24" s="281">
        <f t="shared" si="10"/>
        <v>10.092928847700042</v>
      </c>
      <c r="AL24" s="281">
        <f t="shared" si="10"/>
        <v>10.436497568609095</v>
      </c>
      <c r="AM24" s="281">
        <f t="shared" si="10"/>
        <v>10.794822166295139</v>
      </c>
      <c r="AN24" s="281">
        <f t="shared" si="11"/>
        <v>11.169698951915978</v>
      </c>
      <c r="AO24" s="281">
        <f t="shared" si="11"/>
        <v>11.562107571736183</v>
      </c>
      <c r="AP24" s="281">
        <f t="shared" si="11"/>
        <v>11.972095998020478</v>
      </c>
      <c r="AQ24" s="281">
        <f t="shared" si="11"/>
        <v>12.401577438271056</v>
      </c>
      <c r="AR24" s="281">
        <f t="shared" si="11"/>
        <v>12.851761239731751</v>
      </c>
      <c r="AS24" s="281">
        <f t="shared" si="11"/>
        <v>13.324022952485498</v>
      </c>
      <c r="AT24" s="281">
        <f t="shared" si="11"/>
        <v>13.818385586815873</v>
      </c>
      <c r="AU24" s="281">
        <f t="shared" si="11"/>
        <v>14.335545836354164</v>
      </c>
      <c r="AV24" s="281">
        <f t="shared" si="11"/>
        <v>14.846155491785694</v>
      </c>
      <c r="AW24" s="281">
        <f t="shared" si="11"/>
        <v>15.392452921266978</v>
      </c>
      <c r="AX24" s="281">
        <f t="shared" si="11"/>
        <v>15.957217330762859</v>
      </c>
      <c r="AY24" s="282">
        <f t="shared" si="11"/>
        <v>16.541047603343852</v>
      </c>
    </row>
    <row r="25" spans="1:51">
      <c r="A25" s="26"/>
      <c r="B25" s="94">
        <f t="shared" si="4"/>
        <v>2023</v>
      </c>
      <c r="C25" s="1">
        <f t="shared" si="5"/>
        <v>8</v>
      </c>
      <c r="D25" s="213">
        <v>45139</v>
      </c>
      <c r="E25" s="1" t="str">
        <f t="shared" si="6"/>
        <v>8-2023</v>
      </c>
      <c r="F25" s="268">
        <f>'IEPR Gas Prices Real'!F25*(INDEX('GDP Deflator'!$C$5:$C$89,MATCH('IEPR Gas Prices Nominal'!$B25,'GDP Deflator'!$B$5:$B$89,0))/100)</f>
        <v>5.1094477096234288</v>
      </c>
      <c r="G25" s="269">
        <f>'IEPR Gas Prices Real'!G25*(INDEX('GDP Deflator'!$C$5:$C$89,MATCH('IEPR Gas Prices Nominal'!$B25,'GDP Deflator'!$B$5:$B$89,0))/100)</f>
        <v>0.90873263040044228</v>
      </c>
      <c r="H25" s="270">
        <f>'IEPR Gas Prices Real'!H25*(INDEX('GDP Deflator'!$C$5:$C$89,MATCH('IEPR Gas Prices Nominal'!$B25,'GDP Deflator'!$B$5:$B$89,0))/100)</f>
        <v>6.0181803400238714</v>
      </c>
      <c r="I25" s="269">
        <f>'IEPR Gas Prices Real'!I25*(INDEX('GDP Deflator'!$C$5:$C$89,MATCH('IEPR Gas Prices Nominal'!$B25,'GDP Deflator'!$B$5:$B$89,0))/100)</f>
        <v>5.3794868777725577</v>
      </c>
      <c r="J25" s="269">
        <f>'IEPR Gas Prices Real'!J25*(INDEX('GDP Deflator'!$C$5:$C$89,MATCH('IEPR Gas Prices Nominal'!$B25,'GDP Deflator'!$B$5:$B$89,0))/100)</f>
        <v>1.500537337120595</v>
      </c>
      <c r="K25" s="269">
        <f>'IEPR Gas Prices Real'!K25*(INDEX('GDP Deflator'!$C$5:$C$89,MATCH('IEPR Gas Prices Nominal'!$B25,'GDP Deflator'!$B$5:$B$89,0))/100)</f>
        <v>6.8800242148931519</v>
      </c>
      <c r="L25" s="268">
        <f>'IEPR Gas Prices Real'!L25*(INDEX('GDP Deflator'!$C$5:$C$89,MATCH('IEPR Gas Prices Nominal'!$B25,'GDP Deflator'!$B$5:$B$89,0))/100)</f>
        <v>5.5673409713832509</v>
      </c>
      <c r="M25" s="269">
        <f>'IEPR Gas Prices Real'!M25*(INDEX('GDP Deflator'!$C$5:$C$89,MATCH('IEPR Gas Prices Nominal'!$B25,'GDP Deflator'!$B$5:$B$89,0))/100)</f>
        <v>0.70863489057899798</v>
      </c>
      <c r="N25" s="270">
        <f>'IEPR Gas Prices Real'!N25*(INDEX('GDP Deflator'!$C$5:$C$89,MATCH('IEPR Gas Prices Nominal'!$B25,'GDP Deflator'!$B$5:$B$89,0))/100)</f>
        <v>6.275975861962249</v>
      </c>
      <c r="O25" s="1"/>
      <c r="P25" s="274">
        <f t="shared" si="0"/>
        <v>5.3520918529264128</v>
      </c>
      <c r="Q25" s="275">
        <f t="shared" si="7"/>
        <v>6.3913934722930899</v>
      </c>
      <c r="R25" s="171"/>
      <c r="S25" s="284">
        <v>5</v>
      </c>
      <c r="T25" s="281">
        <f t="shared" si="9"/>
        <v>6.29284241889897</v>
      </c>
      <c r="U25" s="281">
        <f t="shared" si="9"/>
        <v>6.3981736893582175</v>
      </c>
      <c r="V25" s="281">
        <f t="shared" si="9"/>
        <v>6.6016406667444576</v>
      </c>
      <c r="W25" s="281">
        <f t="shared" si="9"/>
        <v>6.7999128687582022</v>
      </c>
      <c r="X25" s="281">
        <f t="shared" si="9"/>
        <v>6.9918404192650998</v>
      </c>
      <c r="Y25" s="281">
        <f t="shared" si="9"/>
        <v>7.1891420581797716</v>
      </c>
      <c r="Z25" s="281">
        <f t="shared" si="9"/>
        <v>7.3940008687940955</v>
      </c>
      <c r="AA25" s="281">
        <f t="shared" si="9"/>
        <v>7.6065038178533939</v>
      </c>
      <c r="AB25" s="281">
        <f t="shared" si="9"/>
        <v>7.8268100521335642</v>
      </c>
      <c r="AC25" s="281">
        <f t="shared" si="9"/>
        <v>8.0578995141355865</v>
      </c>
      <c r="AD25" s="281">
        <f t="shared" si="10"/>
        <v>8.3000024815445261</v>
      </c>
      <c r="AE25" s="281">
        <f t="shared" si="10"/>
        <v>8.5535876149681638</v>
      </c>
      <c r="AF25" s="281">
        <f t="shared" si="10"/>
        <v>8.8183223423678552</v>
      </c>
      <c r="AG25" s="281">
        <f t="shared" si="10"/>
        <v>9.092672184100417</v>
      </c>
      <c r="AH25" s="281">
        <f t="shared" si="10"/>
        <v>9.3816243304522313</v>
      </c>
      <c r="AI25" s="281">
        <f t="shared" si="10"/>
        <v>9.6866548109190962</v>
      </c>
      <c r="AJ25" s="281">
        <f t="shared" si="10"/>
        <v>10.006897689613377</v>
      </c>
      <c r="AK25" s="281">
        <f t="shared" si="10"/>
        <v>10.341957032678266</v>
      </c>
      <c r="AL25" s="281">
        <f t="shared" si="10"/>
        <v>10.691026246500259</v>
      </c>
      <c r="AM25" s="281">
        <f t="shared" si="10"/>
        <v>11.054933836583373</v>
      </c>
      <c r="AN25" s="281">
        <f t="shared" si="11"/>
        <v>11.435543409887737</v>
      </c>
      <c r="AO25" s="281">
        <f t="shared" si="11"/>
        <v>11.833806948681293</v>
      </c>
      <c r="AP25" s="281">
        <f t="shared" si="11"/>
        <v>12.249797326189615</v>
      </c>
      <c r="AQ25" s="281">
        <f t="shared" si="11"/>
        <v>12.685401479292951</v>
      </c>
      <c r="AR25" s="281">
        <f t="shared" si="11"/>
        <v>13.141892182710306</v>
      </c>
      <c r="AS25" s="281">
        <f t="shared" si="11"/>
        <v>13.620606192443375</v>
      </c>
      <c r="AT25" s="281">
        <f t="shared" si="11"/>
        <v>14.12157101979186</v>
      </c>
      <c r="AU25" s="281">
        <f t="shared" si="11"/>
        <v>14.645448216808353</v>
      </c>
      <c r="AV25" s="281">
        <f t="shared" si="11"/>
        <v>15.162282055975895</v>
      </c>
      <c r="AW25" s="281">
        <f t="shared" si="11"/>
        <v>15.715135796534426</v>
      </c>
      <c r="AX25" s="281">
        <f t="shared" si="11"/>
        <v>16.286560527246724</v>
      </c>
      <c r="AY25" s="282">
        <f t="shared" si="11"/>
        <v>16.876962116243281</v>
      </c>
    </row>
    <row r="26" spans="1:51">
      <c r="A26" s="26"/>
      <c r="B26" s="94">
        <f t="shared" si="4"/>
        <v>2023</v>
      </c>
      <c r="C26" s="1">
        <f t="shared" si="5"/>
        <v>9</v>
      </c>
      <c r="D26" s="213">
        <v>45170</v>
      </c>
      <c r="E26" s="1" t="str">
        <f t="shared" si="6"/>
        <v>9-2023</v>
      </c>
      <c r="F26" s="268">
        <f>'IEPR Gas Prices Real'!F26*(INDEX('GDP Deflator'!$C$5:$C$89,MATCH('IEPR Gas Prices Nominal'!$B26,'GDP Deflator'!$B$5:$B$89,0))/100)</f>
        <v>5.1687994599230631</v>
      </c>
      <c r="G26" s="269">
        <f>'IEPR Gas Prices Real'!G26*(INDEX('GDP Deflator'!$C$5:$C$89,MATCH('IEPR Gas Prices Nominal'!$B26,'GDP Deflator'!$B$5:$B$89,0))/100)</f>
        <v>0.90873263040044228</v>
      </c>
      <c r="H26" s="270">
        <f>'IEPR Gas Prices Real'!H26*(INDEX('GDP Deflator'!$C$5:$C$89,MATCH('IEPR Gas Prices Nominal'!$B26,'GDP Deflator'!$B$5:$B$89,0))/100)</f>
        <v>6.0775320903235057</v>
      </c>
      <c r="I26" s="269">
        <f>'IEPR Gas Prices Real'!I26*(INDEX('GDP Deflator'!$C$5:$C$89,MATCH('IEPR Gas Prices Nominal'!$B26,'GDP Deflator'!$B$5:$B$89,0))/100)</f>
        <v>5.4421191316368134</v>
      </c>
      <c r="J26" s="269">
        <f>'IEPR Gas Prices Real'!J26*(INDEX('GDP Deflator'!$C$5:$C$89,MATCH('IEPR Gas Prices Nominal'!$B26,'GDP Deflator'!$B$5:$B$89,0))/100)</f>
        <v>1.500537337120595</v>
      </c>
      <c r="K26" s="269">
        <f>'IEPR Gas Prices Real'!K26*(INDEX('GDP Deflator'!$C$5:$C$89,MATCH('IEPR Gas Prices Nominal'!$B26,'GDP Deflator'!$B$5:$B$89,0))/100)</f>
        <v>6.9426564687574084</v>
      </c>
      <c r="L26" s="268">
        <f>'IEPR Gas Prices Real'!L26*(INDEX('GDP Deflator'!$C$5:$C$89,MATCH('IEPR Gas Prices Nominal'!$B26,'GDP Deflator'!$B$5:$B$89,0))/100)</f>
        <v>5.6325994288121599</v>
      </c>
      <c r="M26" s="269">
        <f>'IEPR Gas Prices Real'!M26*(INDEX('GDP Deflator'!$C$5:$C$89,MATCH('IEPR Gas Prices Nominal'!$B26,'GDP Deflator'!$B$5:$B$89,0))/100)</f>
        <v>0.70863489057899798</v>
      </c>
      <c r="N26" s="270">
        <f>'IEPR Gas Prices Real'!N26*(INDEX('GDP Deflator'!$C$5:$C$89,MATCH('IEPR Gas Prices Nominal'!$B26,'GDP Deflator'!$B$5:$B$89,0))/100)</f>
        <v>6.341234319391158</v>
      </c>
      <c r="O26" s="1"/>
      <c r="P26" s="274">
        <f t="shared" si="0"/>
        <v>5.4145060067906785</v>
      </c>
      <c r="Q26" s="275">
        <f t="shared" si="7"/>
        <v>6.4538076261573574</v>
      </c>
      <c r="R26" s="171"/>
      <c r="S26" s="284">
        <v>6</v>
      </c>
      <c r="T26" s="281">
        <f t="shared" si="9"/>
        <v>6.4159727463657168</v>
      </c>
      <c r="U26" s="281">
        <f t="shared" si="9"/>
        <v>6.5364762867436106</v>
      </c>
      <c r="V26" s="281">
        <f t="shared" si="9"/>
        <v>6.7420490160772522</v>
      </c>
      <c r="W26" s="281">
        <f t="shared" si="9"/>
        <v>6.9431295525306211</v>
      </c>
      <c r="X26" s="281">
        <f t="shared" si="9"/>
        <v>7.1379271823038906</v>
      </c>
      <c r="Y26" s="281">
        <f t="shared" si="9"/>
        <v>7.3383245316174905</v>
      </c>
      <c r="Z26" s="281">
        <f t="shared" si="9"/>
        <v>7.5462855590964901</v>
      </c>
      <c r="AA26" s="281">
        <f t="shared" si="9"/>
        <v>7.7618121721492299</v>
      </c>
      <c r="AB26" s="281">
        <f t="shared" si="9"/>
        <v>7.9852497277965107</v>
      </c>
      <c r="AC26" s="281">
        <f t="shared" si="9"/>
        <v>8.2197250881434876</v>
      </c>
      <c r="AD26" s="281">
        <f t="shared" si="10"/>
        <v>8.4649698527481778</v>
      </c>
      <c r="AE26" s="281">
        <f t="shared" si="10"/>
        <v>8.7222892227727939</v>
      </c>
      <c r="AF26" s="281">
        <f t="shared" si="10"/>
        <v>8.9901006259162077</v>
      </c>
      <c r="AG26" s="281">
        <f t="shared" si="10"/>
        <v>9.2680816483311137</v>
      </c>
      <c r="AH26" s="281">
        <f t="shared" si="10"/>
        <v>9.5610179458911873</v>
      </c>
      <c r="AI26" s="281">
        <f t="shared" si="10"/>
        <v>9.8699794285547693</v>
      </c>
      <c r="AJ26" s="281">
        <f t="shared" si="10"/>
        <v>10.194284263911607</v>
      </c>
      <c r="AK26" s="281">
        <f t="shared" si="10"/>
        <v>10.533312888725064</v>
      </c>
      <c r="AL26" s="281">
        <f t="shared" si="10"/>
        <v>10.886621326258677</v>
      </c>
      <c r="AM26" s="281">
        <f t="shared" si="10"/>
        <v>11.254823672905623</v>
      </c>
      <c r="AN26" s="281">
        <f t="shared" si="11"/>
        <v>11.639846437804216</v>
      </c>
      <c r="AO26" s="281">
        <f t="shared" si="11"/>
        <v>12.042611855964511</v>
      </c>
      <c r="AP26" s="281">
        <f t="shared" si="11"/>
        <v>12.463224226356425</v>
      </c>
      <c r="AQ26" s="281">
        <f t="shared" si="11"/>
        <v>12.903535574830338</v>
      </c>
      <c r="AR26" s="281">
        <f t="shared" si="11"/>
        <v>13.364883897323274</v>
      </c>
      <c r="AS26" s="281">
        <f t="shared" si="11"/>
        <v>13.848562131081229</v>
      </c>
      <c r="AT26" s="281">
        <f t="shared" si="11"/>
        <v>14.354609346229504</v>
      </c>
      <c r="AU26" s="281">
        <f t="shared" si="11"/>
        <v>14.883652420380889</v>
      </c>
      <c r="AV26" s="281">
        <f t="shared" si="11"/>
        <v>15.4052804770657</v>
      </c>
      <c r="AW26" s="281">
        <f t="shared" si="11"/>
        <v>15.963172068864035</v>
      </c>
      <c r="AX26" s="281">
        <f t="shared" si="11"/>
        <v>16.539748619513848</v>
      </c>
      <c r="AY26" s="282">
        <f t="shared" si="11"/>
        <v>17.135212128186179</v>
      </c>
    </row>
    <row r="27" spans="1:51">
      <c r="A27" s="26"/>
      <c r="B27" s="94">
        <f t="shared" si="4"/>
        <v>2023</v>
      </c>
      <c r="C27" s="1">
        <f t="shared" si="5"/>
        <v>10</v>
      </c>
      <c r="D27" s="213">
        <v>45200</v>
      </c>
      <c r="E27" s="1" t="str">
        <f t="shared" si="6"/>
        <v>10-2023</v>
      </c>
      <c r="F27" s="268">
        <f>'IEPR Gas Prices Real'!F27*(INDEX('GDP Deflator'!$C$5:$C$89,MATCH('IEPR Gas Prices Nominal'!$B27,'GDP Deflator'!$B$5:$B$89,0))/100)</f>
        <v>5.1265682124509668</v>
      </c>
      <c r="G27" s="269">
        <f>'IEPR Gas Prices Real'!G27*(INDEX('GDP Deflator'!$C$5:$C$89,MATCH('IEPR Gas Prices Nominal'!$B27,'GDP Deflator'!$B$5:$B$89,0))/100)</f>
        <v>0.90873263040044228</v>
      </c>
      <c r="H27" s="270">
        <f>'IEPR Gas Prices Real'!H27*(INDEX('GDP Deflator'!$C$5:$C$89,MATCH('IEPR Gas Prices Nominal'!$B27,'GDP Deflator'!$B$5:$B$89,0))/100)</f>
        <v>6.0353008428514094</v>
      </c>
      <c r="I27" s="269">
        <f>'IEPR Gas Prices Real'!I27*(INDEX('GDP Deflator'!$C$5:$C$89,MATCH('IEPR Gas Prices Nominal'!$B27,'GDP Deflator'!$B$5:$B$89,0))/100)</f>
        <v>5.397797985459845</v>
      </c>
      <c r="J27" s="269">
        <f>'IEPR Gas Prices Real'!J27*(INDEX('GDP Deflator'!$C$5:$C$89,MATCH('IEPR Gas Prices Nominal'!$B27,'GDP Deflator'!$B$5:$B$89,0))/100)</f>
        <v>1.500537337120595</v>
      </c>
      <c r="K27" s="269">
        <f>'IEPR Gas Prices Real'!K27*(INDEX('GDP Deflator'!$C$5:$C$89,MATCH('IEPR Gas Prices Nominal'!$B27,'GDP Deflator'!$B$5:$B$89,0))/100)</f>
        <v>6.89833532258044</v>
      </c>
      <c r="L27" s="268">
        <f>'IEPR Gas Prices Real'!L27*(INDEX('GDP Deflator'!$C$5:$C$89,MATCH('IEPR Gas Prices Nominal'!$B27,'GDP Deflator'!$B$5:$B$89,0))/100)</f>
        <v>5.5871646018811578</v>
      </c>
      <c r="M27" s="269">
        <f>'IEPR Gas Prices Real'!M27*(INDEX('GDP Deflator'!$C$5:$C$89,MATCH('IEPR Gas Prices Nominal'!$B27,'GDP Deflator'!$B$5:$B$89,0))/100)</f>
        <v>0.70863489057899798</v>
      </c>
      <c r="N27" s="270">
        <f>'IEPR Gas Prices Real'!N27*(INDEX('GDP Deflator'!$C$5:$C$89,MATCH('IEPR Gas Prices Nominal'!$B27,'GDP Deflator'!$B$5:$B$89,0))/100)</f>
        <v>6.2957994924601559</v>
      </c>
      <c r="O27" s="1"/>
      <c r="P27" s="274">
        <f t="shared" si="0"/>
        <v>5.3705102665973241</v>
      </c>
      <c r="Q27" s="275">
        <f t="shared" si="7"/>
        <v>6.4098118859640012</v>
      </c>
      <c r="R27" s="171"/>
      <c r="S27" s="284">
        <v>7</v>
      </c>
      <c r="T27" s="281">
        <f t="shared" si="9"/>
        <v>6.4458422559049042</v>
      </c>
      <c r="U27" s="281">
        <f t="shared" si="9"/>
        <v>6.5810613227565469</v>
      </c>
      <c r="V27" s="281">
        <f t="shared" si="9"/>
        <v>6.7863749561487774</v>
      </c>
      <c r="W27" s="281">
        <f t="shared" si="9"/>
        <v>6.9880812136134791</v>
      </c>
      <c r="X27" s="281">
        <f t="shared" si="9"/>
        <v>7.1837317700191035</v>
      </c>
      <c r="Y27" s="281">
        <f t="shared" si="9"/>
        <v>7.3851949765859644</v>
      </c>
      <c r="Z27" s="281">
        <f t="shared" si="9"/>
        <v>7.5941800603162868</v>
      </c>
      <c r="AA27" s="281">
        <f t="shared" si="9"/>
        <v>7.8106093281828803</v>
      </c>
      <c r="AB27" s="281">
        <f t="shared" si="9"/>
        <v>8.0350222078562332</v>
      </c>
      <c r="AC27" s="281">
        <f t="shared" si="9"/>
        <v>8.270653388794349</v>
      </c>
      <c r="AD27" s="281">
        <f t="shared" si="10"/>
        <v>8.5167331766126075</v>
      </c>
      <c r="AE27" s="281">
        <f t="shared" si="10"/>
        <v>8.7754165500699326</v>
      </c>
      <c r="AF27" s="281">
        <f t="shared" si="10"/>
        <v>9.0438630601091603</v>
      </c>
      <c r="AG27" s="281">
        <f t="shared" si="10"/>
        <v>9.3230211678978563</v>
      </c>
      <c r="AH27" s="281">
        <f t="shared" si="10"/>
        <v>9.6173904067744136</v>
      </c>
      <c r="AI27" s="281">
        <f t="shared" si="10"/>
        <v>9.927613998838531</v>
      </c>
      <c r="AJ27" s="281">
        <f t="shared" si="10"/>
        <v>10.253223934975551</v>
      </c>
      <c r="AK27" s="281">
        <f t="shared" si="10"/>
        <v>10.593391753496606</v>
      </c>
      <c r="AL27" s="281">
        <f t="shared" si="10"/>
        <v>10.948063146641081</v>
      </c>
      <c r="AM27" s="281">
        <f t="shared" si="10"/>
        <v>11.317625906240679</v>
      </c>
      <c r="AN27" s="281">
        <f t="shared" si="11"/>
        <v>11.704054733685268</v>
      </c>
      <c r="AO27" s="281">
        <f t="shared" si="11"/>
        <v>12.108240946944576</v>
      </c>
      <c r="AP27" s="281">
        <f t="shared" si="11"/>
        <v>12.530329950973565</v>
      </c>
      <c r="AQ27" s="281">
        <f t="shared" si="11"/>
        <v>12.972125388289777</v>
      </c>
      <c r="AR27" s="281">
        <f t="shared" si="11"/>
        <v>13.435027623688008</v>
      </c>
      <c r="AS27" s="281">
        <f t="shared" si="11"/>
        <v>13.92028023266456</v>
      </c>
      <c r="AT27" s="281">
        <f t="shared" si="11"/>
        <v>14.427946501293393</v>
      </c>
      <c r="AU27" s="281">
        <f t="shared" si="11"/>
        <v>14.95862292386335</v>
      </c>
      <c r="AV27" s="281">
        <f t="shared" si="11"/>
        <v>15.481785394249906</v>
      </c>
      <c r="AW27" s="281">
        <f t="shared" si="11"/>
        <v>16.041258470243001</v>
      </c>
      <c r="AX27" s="281">
        <f t="shared" si="11"/>
        <v>16.619538816644233</v>
      </c>
      <c r="AY27" s="282">
        <f t="shared" si="11"/>
        <v>17.216623232284718</v>
      </c>
    </row>
    <row r="28" spans="1:51">
      <c r="A28" s="26"/>
      <c r="B28" s="94">
        <f t="shared" si="4"/>
        <v>2023</v>
      </c>
      <c r="C28" s="1">
        <f t="shared" si="5"/>
        <v>11</v>
      </c>
      <c r="D28" s="213">
        <v>45231</v>
      </c>
      <c r="E28" s="1" t="str">
        <f t="shared" si="6"/>
        <v>11-2023</v>
      </c>
      <c r="F28" s="268">
        <f>'IEPR Gas Prices Real'!F28*(INDEX('GDP Deflator'!$C$5:$C$89,MATCH('IEPR Gas Prices Nominal'!$B28,'GDP Deflator'!$B$5:$B$89,0))/100)</f>
        <v>5.3668960322795352</v>
      </c>
      <c r="G28" s="269">
        <f>'IEPR Gas Prices Real'!G28*(INDEX('GDP Deflator'!$C$5:$C$89,MATCH('IEPR Gas Prices Nominal'!$B28,'GDP Deflator'!$B$5:$B$89,0))/100)</f>
        <v>0.90873263040044228</v>
      </c>
      <c r="H28" s="270">
        <f>'IEPR Gas Prices Real'!H28*(INDEX('GDP Deflator'!$C$5:$C$89,MATCH('IEPR Gas Prices Nominal'!$B28,'GDP Deflator'!$B$5:$B$89,0))/100)</f>
        <v>6.2756286626799778</v>
      </c>
      <c r="I28" s="269">
        <f>'IEPR Gas Prices Real'!I28*(INDEX('GDP Deflator'!$C$5:$C$89,MATCH('IEPR Gas Prices Nominal'!$B28,'GDP Deflator'!$B$5:$B$89,0))/100)</f>
        <v>5.6509914498845992</v>
      </c>
      <c r="J28" s="269">
        <f>'IEPR Gas Prices Real'!J28*(INDEX('GDP Deflator'!$C$5:$C$89,MATCH('IEPR Gas Prices Nominal'!$B28,'GDP Deflator'!$B$5:$B$89,0))/100)</f>
        <v>1.500537337120595</v>
      </c>
      <c r="K28" s="269">
        <f>'IEPR Gas Prices Real'!K28*(INDEX('GDP Deflator'!$C$5:$C$89,MATCH('IEPR Gas Prices Nominal'!$B28,'GDP Deflator'!$B$5:$B$89,0))/100)</f>
        <v>7.1515287870051933</v>
      </c>
      <c r="L28" s="268">
        <f>'IEPR Gas Prices Real'!L28*(INDEX('GDP Deflator'!$C$5:$C$89,MATCH('IEPR Gas Prices Nominal'!$B28,'GDP Deflator'!$B$5:$B$89,0))/100)</f>
        <v>5.8497010296025218</v>
      </c>
      <c r="M28" s="269">
        <f>'IEPR Gas Prices Real'!M28*(INDEX('GDP Deflator'!$C$5:$C$89,MATCH('IEPR Gas Prices Nominal'!$B28,'GDP Deflator'!$B$5:$B$89,0))/100)</f>
        <v>0.70863489057899798</v>
      </c>
      <c r="N28" s="270">
        <f>'IEPR Gas Prices Real'!N28*(INDEX('GDP Deflator'!$C$5:$C$89,MATCH('IEPR Gas Prices Nominal'!$B28,'GDP Deflator'!$B$5:$B$89,0))/100)</f>
        <v>6.5583359201815199</v>
      </c>
      <c r="O28" s="1"/>
      <c r="P28" s="274">
        <f t="shared" si="0"/>
        <v>5.6225295039222187</v>
      </c>
      <c r="Q28" s="275">
        <f t="shared" si="7"/>
        <v>6.6618311232888976</v>
      </c>
      <c r="R28" s="171"/>
      <c r="S28" s="284">
        <v>8</v>
      </c>
      <c r="T28" s="281">
        <f t="shared" si="9"/>
        <v>6.3913934722930899</v>
      </c>
      <c r="U28" s="281">
        <f t="shared" si="9"/>
        <v>6.5402640524884292</v>
      </c>
      <c r="V28" s="281">
        <f t="shared" si="9"/>
        <v>6.7432259262198704</v>
      </c>
      <c r="W28" s="281">
        <f t="shared" si="9"/>
        <v>6.943587852819312</v>
      </c>
      <c r="X28" s="281">
        <f t="shared" si="9"/>
        <v>7.1382583577360732</v>
      </c>
      <c r="Y28" s="281">
        <f t="shared" si="9"/>
        <v>7.3389336271419836</v>
      </c>
      <c r="Z28" s="281">
        <f t="shared" si="9"/>
        <v>7.5470478567049426</v>
      </c>
      <c r="AA28" s="281">
        <f t="shared" si="9"/>
        <v>7.7624521674525182</v>
      </c>
      <c r="AB28" s="281">
        <f t="shared" si="9"/>
        <v>7.9858783793277217</v>
      </c>
      <c r="AC28" s="281">
        <f t="shared" si="9"/>
        <v>8.2206294062943659</v>
      </c>
      <c r="AD28" s="281">
        <f t="shared" si="10"/>
        <v>8.4654543341347619</v>
      </c>
      <c r="AE28" s="281">
        <f t="shared" si="10"/>
        <v>8.7233317229389122</v>
      </c>
      <c r="AF28" s="281">
        <f t="shared" si="10"/>
        <v>8.9902124499807616</v>
      </c>
      <c r="AG28" s="281">
        <f t="shared" si="10"/>
        <v>9.2683113874426883</v>
      </c>
      <c r="AH28" s="281">
        <f t="shared" si="10"/>
        <v>9.5617794657517141</v>
      </c>
      <c r="AI28" s="281">
        <f t="shared" si="10"/>
        <v>9.8708339851427382</v>
      </c>
      <c r="AJ28" s="281">
        <f t="shared" si="10"/>
        <v>10.195237649229973</v>
      </c>
      <c r="AK28" s="281">
        <f t="shared" si="10"/>
        <v>10.533975540641572</v>
      </c>
      <c r="AL28" s="281">
        <f t="shared" si="10"/>
        <v>10.887389678153497</v>
      </c>
      <c r="AM28" s="281">
        <f t="shared" si="10"/>
        <v>11.255641077487248</v>
      </c>
      <c r="AN28" s="281">
        <f t="shared" si="11"/>
        <v>11.640737389788782</v>
      </c>
      <c r="AO28" s="281">
        <f t="shared" si="11"/>
        <v>12.04353935672564</v>
      </c>
      <c r="AP28" s="281">
        <f t="shared" si="11"/>
        <v>12.464240265786819</v>
      </c>
      <c r="AQ28" s="281">
        <f t="shared" si="11"/>
        <v>12.904585550638066</v>
      </c>
      <c r="AR28" s="281">
        <f t="shared" si="11"/>
        <v>13.366032619781732</v>
      </c>
      <c r="AS28" s="281">
        <f t="shared" si="11"/>
        <v>13.849772960669318</v>
      </c>
      <c r="AT28" s="281">
        <f t="shared" si="11"/>
        <v>14.355904255479468</v>
      </c>
      <c r="AU28" s="281">
        <f t="shared" si="11"/>
        <v>14.884997791173047</v>
      </c>
      <c r="AV28" s="281">
        <f t="shared" si="11"/>
        <v>15.406725531799538</v>
      </c>
      <c r="AW28" s="281">
        <f t="shared" si="11"/>
        <v>15.964633943054269</v>
      </c>
      <c r="AX28" s="281">
        <f t="shared" si="11"/>
        <v>16.541473893931755</v>
      </c>
      <c r="AY28" s="282">
        <f t="shared" si="11"/>
        <v>17.137044968187499</v>
      </c>
    </row>
    <row r="29" spans="1:51">
      <c r="A29" s="26"/>
      <c r="B29" s="94">
        <f t="shared" si="4"/>
        <v>2023</v>
      </c>
      <c r="C29" s="1">
        <f t="shared" si="5"/>
        <v>12</v>
      </c>
      <c r="D29" s="213">
        <v>45261</v>
      </c>
      <c r="E29" s="1" t="str">
        <f t="shared" si="6"/>
        <v>12-2023</v>
      </c>
      <c r="F29" s="268">
        <f>'IEPR Gas Prices Real'!F29*(INDEX('GDP Deflator'!$C$5:$C$89,MATCH('IEPR Gas Prices Nominal'!$B29,'GDP Deflator'!$B$5:$B$89,0))/100)</f>
        <v>5.3968960881902985</v>
      </c>
      <c r="G29" s="269">
        <f>'IEPR Gas Prices Real'!G29*(INDEX('GDP Deflator'!$C$5:$C$89,MATCH('IEPR Gas Prices Nominal'!$B29,'GDP Deflator'!$B$5:$B$89,0))/100)</f>
        <v>0.90873263040044228</v>
      </c>
      <c r="H29" s="270">
        <f>'IEPR Gas Prices Real'!H29*(INDEX('GDP Deflator'!$C$5:$C$89,MATCH('IEPR Gas Prices Nominal'!$B29,'GDP Deflator'!$B$5:$B$89,0))/100)</f>
        <v>6.3056287185907403</v>
      </c>
      <c r="I29" s="269">
        <f>'IEPR Gas Prices Real'!I29*(INDEX('GDP Deflator'!$C$5:$C$89,MATCH('IEPR Gas Prices Nominal'!$B29,'GDP Deflator'!$B$5:$B$89,0))/100)</f>
        <v>5.6827318407707663</v>
      </c>
      <c r="J29" s="269">
        <f>'IEPR Gas Prices Real'!J29*(INDEX('GDP Deflator'!$C$5:$C$89,MATCH('IEPR Gas Prices Nominal'!$B29,'GDP Deflator'!$B$5:$B$89,0))/100)</f>
        <v>1.500537337120595</v>
      </c>
      <c r="K29" s="269">
        <f>'IEPR Gas Prices Real'!K29*(INDEX('GDP Deflator'!$C$5:$C$89,MATCH('IEPR Gas Prices Nominal'!$B29,'GDP Deflator'!$B$5:$B$89,0))/100)</f>
        <v>7.1832691778913604</v>
      </c>
      <c r="L29" s="268">
        <f>'IEPR Gas Prices Real'!L29*(INDEX('GDP Deflator'!$C$5:$C$89,MATCH('IEPR Gas Prices Nominal'!$B29,'GDP Deflator'!$B$5:$B$89,0))/100)</f>
        <v>5.8830227681840128</v>
      </c>
      <c r="M29" s="269">
        <f>'IEPR Gas Prices Real'!M29*(INDEX('GDP Deflator'!$C$5:$C$89,MATCH('IEPR Gas Prices Nominal'!$B29,'GDP Deflator'!$B$5:$B$89,0))/100)</f>
        <v>0.70863489057899798</v>
      </c>
      <c r="N29" s="270">
        <f>'IEPR Gas Prices Real'!N29*(INDEX('GDP Deflator'!$C$5:$C$89,MATCH('IEPR Gas Prices Nominal'!$B29,'GDP Deflator'!$B$5:$B$89,0))/100)</f>
        <v>6.5916576587630109</v>
      </c>
      <c r="O29" s="1"/>
      <c r="P29" s="274">
        <f t="shared" si="0"/>
        <v>5.6542168990483601</v>
      </c>
      <c r="Q29" s="275">
        <f t="shared" si="7"/>
        <v>6.6935185184150372</v>
      </c>
      <c r="R29" s="171"/>
      <c r="S29" s="284">
        <v>9</v>
      </c>
      <c r="T29" s="281">
        <f t="shared" si="9"/>
        <v>6.4538076261573574</v>
      </c>
      <c r="U29" s="281">
        <f t="shared" si="9"/>
        <v>6.6182136636619626</v>
      </c>
      <c r="V29" s="281">
        <f t="shared" si="9"/>
        <v>6.8216956009423688</v>
      </c>
      <c r="W29" s="281">
        <f t="shared" si="9"/>
        <v>7.0234415770874383</v>
      </c>
      <c r="X29" s="281">
        <f t="shared" si="9"/>
        <v>7.2196783010985515</v>
      </c>
      <c r="Y29" s="281">
        <f t="shared" si="9"/>
        <v>7.4221466217172507</v>
      </c>
      <c r="Z29" s="281">
        <f t="shared" si="9"/>
        <v>7.6320263623934261</v>
      </c>
      <c r="AA29" s="281">
        <f t="shared" si="9"/>
        <v>7.8490836090839267</v>
      </c>
      <c r="AB29" s="281">
        <f t="shared" si="9"/>
        <v>8.0742504223495253</v>
      </c>
      <c r="AC29" s="281">
        <f t="shared" si="9"/>
        <v>8.3109555063342864</v>
      </c>
      <c r="AD29" s="281">
        <f t="shared" si="10"/>
        <v>8.5574247999271602</v>
      </c>
      <c r="AE29" s="281">
        <f t="shared" si="10"/>
        <v>8.817520741212368</v>
      </c>
      <c r="AF29" s="281">
        <f t="shared" si="10"/>
        <v>9.0858819350102937</v>
      </c>
      <c r="AG29" s="281">
        <f t="shared" si="10"/>
        <v>9.3660320794486385</v>
      </c>
      <c r="AH29" s="281">
        <f t="shared" si="10"/>
        <v>9.661851300015357</v>
      </c>
      <c r="AI29" s="281">
        <f t="shared" si="10"/>
        <v>9.9731177427324766</v>
      </c>
      <c r="AJ29" s="281">
        <f t="shared" si="10"/>
        <v>10.299807689303982</v>
      </c>
      <c r="AK29" s="281">
        <f t="shared" si="10"/>
        <v>10.640682926161682</v>
      </c>
      <c r="AL29" s="281">
        <f t="shared" si="10"/>
        <v>10.996483760587131</v>
      </c>
      <c r="AM29" s="281">
        <f t="shared" si="10"/>
        <v>11.367138621835243</v>
      </c>
      <c r="AN29" s="281">
        <f t="shared" si="11"/>
        <v>11.754710457885677</v>
      </c>
      <c r="AO29" s="281">
        <f t="shared" si="11"/>
        <v>12.160028082866418</v>
      </c>
      <c r="AP29" s="281">
        <f t="shared" si="11"/>
        <v>12.583324516437839</v>
      </c>
      <c r="AQ29" s="281">
        <f t="shared" si="11"/>
        <v>13.026299121032366</v>
      </c>
      <c r="AR29" s="281">
        <f t="shared" si="11"/>
        <v>13.490475455656629</v>
      </c>
      <c r="AS29" s="281">
        <f t="shared" si="11"/>
        <v>13.976995261851611</v>
      </c>
      <c r="AT29" s="281">
        <f t="shared" si="11"/>
        <v>14.485977302569212</v>
      </c>
      <c r="AU29" s="281">
        <f t="shared" si="11"/>
        <v>15.017959668786547</v>
      </c>
      <c r="AV29" s="281">
        <f t="shared" si="11"/>
        <v>15.542381608801989</v>
      </c>
      <c r="AW29" s="281">
        <f t="shared" si="11"/>
        <v>16.103099163197616</v>
      </c>
      <c r="AX29" s="281">
        <f t="shared" si="11"/>
        <v>16.682873323955487</v>
      </c>
      <c r="AY29" s="282">
        <f t="shared" si="11"/>
        <v>17.281289616336952</v>
      </c>
    </row>
    <row r="30" spans="1:51">
      <c r="A30" s="26"/>
      <c r="B30" s="94">
        <f t="shared" si="4"/>
        <v>2024</v>
      </c>
      <c r="C30" s="1">
        <f t="shared" si="5"/>
        <v>1</v>
      </c>
      <c r="D30" s="213">
        <v>45292</v>
      </c>
      <c r="E30" s="1" t="str">
        <f t="shared" si="6"/>
        <v>1-2024</v>
      </c>
      <c r="F30" s="268">
        <f>'IEPR Gas Prices Real'!F30*(INDEX('GDP Deflator'!$C$5:$C$89,MATCH('IEPR Gas Prices Nominal'!$B30,'GDP Deflator'!$B$5:$B$89,0))/100)</f>
        <v>5.5252827027919365</v>
      </c>
      <c r="G30" s="269">
        <f>'IEPR Gas Prices Real'!G30*(INDEX('GDP Deflator'!$C$5:$C$89,MATCH('IEPR Gas Prices Nominal'!$B30,'GDP Deflator'!$B$5:$B$89,0))/100)</f>
        <v>0.96712376363406272</v>
      </c>
      <c r="H30" s="270">
        <f>'IEPR Gas Prices Real'!H30*(INDEX('GDP Deflator'!$C$5:$C$89,MATCH('IEPR Gas Prices Nominal'!$B30,'GDP Deflator'!$B$5:$B$89,0))/100)</f>
        <v>6.4924064664259982</v>
      </c>
      <c r="I30" s="269">
        <f>'IEPR Gas Prices Real'!I30*(INDEX('GDP Deflator'!$C$5:$C$89,MATCH('IEPR Gas Prices Nominal'!$B30,'GDP Deflator'!$B$5:$B$89,0))/100)</f>
        <v>5.8168268388533138</v>
      </c>
      <c r="J30" s="269">
        <f>'IEPR Gas Prices Real'!J30*(INDEX('GDP Deflator'!$C$5:$C$89,MATCH('IEPR Gas Prices Nominal'!$B30,'GDP Deflator'!$B$5:$B$89,0))/100)</f>
        <v>1.5969552191715795</v>
      </c>
      <c r="K30" s="269">
        <f>'IEPR Gas Prices Real'!K30*(INDEX('GDP Deflator'!$C$5:$C$89,MATCH('IEPR Gas Prices Nominal'!$B30,'GDP Deflator'!$B$5:$B$89,0))/100)</f>
        <v>7.4137820580248928</v>
      </c>
      <c r="L30" s="268">
        <f>'IEPR Gas Prices Real'!L30*(INDEX('GDP Deflator'!$C$5:$C$89,MATCH('IEPR Gas Prices Nominal'!$B30,'GDP Deflator'!$B$5:$B$89,0))/100)</f>
        <v>6.0219407657347555</v>
      </c>
      <c r="M30" s="269">
        <f>'IEPR Gas Prices Real'!M30*(INDEX('GDP Deflator'!$C$5:$C$89,MATCH('IEPR Gas Prices Nominal'!$B30,'GDP Deflator'!$B$5:$B$89,0))/100)</f>
        <v>0.75416862946494156</v>
      </c>
      <c r="N30" s="270">
        <f>'IEPR Gas Prices Real'!N30*(INDEX('GDP Deflator'!$C$5:$C$89,MATCH('IEPR Gas Prices Nominal'!$B30,'GDP Deflator'!$B$5:$B$89,0))/100)</f>
        <v>6.7761093951996969</v>
      </c>
      <c r="O30" s="1"/>
      <c r="P30" s="274">
        <f t="shared" si="0"/>
        <v>5.788016769126668</v>
      </c>
      <c r="Q30" s="275">
        <f t="shared" si="7"/>
        <v>6.8940993065501956</v>
      </c>
      <c r="R30" s="171"/>
      <c r="S30" s="284">
        <v>10</v>
      </c>
      <c r="T30" s="281">
        <f t="shared" si="9"/>
        <v>6.4098118859640012</v>
      </c>
      <c r="U30" s="281">
        <f t="shared" si="9"/>
        <v>6.5879544787228577</v>
      </c>
      <c r="V30" s="281">
        <f t="shared" si="9"/>
        <v>6.7893473562774744</v>
      </c>
      <c r="W30" s="281">
        <f t="shared" si="9"/>
        <v>6.9899934671981185</v>
      </c>
      <c r="X30" s="281">
        <f t="shared" si="9"/>
        <v>7.1854767108360136</v>
      </c>
      <c r="Y30" s="281">
        <f t="shared" si="9"/>
        <v>7.3873855741783174</v>
      </c>
      <c r="Z30" s="281">
        <f t="shared" si="9"/>
        <v>7.5966282220044006</v>
      </c>
      <c r="AA30" s="281">
        <f t="shared" si="9"/>
        <v>7.8128987615990821</v>
      </c>
      <c r="AB30" s="281">
        <f t="shared" si="9"/>
        <v>8.0373212214977379</v>
      </c>
      <c r="AC30" s="281">
        <f t="shared" si="9"/>
        <v>8.2733971333890093</v>
      </c>
      <c r="AD30" s="281">
        <f t="shared" si="10"/>
        <v>8.5188703429319172</v>
      </c>
      <c r="AE30" s="281">
        <f t="shared" si="10"/>
        <v>8.7784273699943096</v>
      </c>
      <c r="AF30" s="281">
        <f t="shared" si="10"/>
        <v>9.0454961003075098</v>
      </c>
      <c r="AG30" s="281">
        <f t="shared" si="10"/>
        <v>9.3248630477890284</v>
      </c>
      <c r="AH30" s="281">
        <f t="shared" si="10"/>
        <v>9.6200684883069716</v>
      </c>
      <c r="AI30" s="281">
        <f t="shared" si="10"/>
        <v>9.9304659447816963</v>
      </c>
      <c r="AJ30" s="281">
        <f t="shared" si="10"/>
        <v>10.256259599414356</v>
      </c>
      <c r="AK30" s="281">
        <f t="shared" si="10"/>
        <v>10.596022657486424</v>
      </c>
      <c r="AL30" s="281">
        <f t="shared" si="10"/>
        <v>10.950889646144988</v>
      </c>
      <c r="AM30" s="281">
        <f t="shared" si="10"/>
        <v>11.320563017206126</v>
      </c>
      <c r="AN30" s="281">
        <f t="shared" si="11"/>
        <v>11.707140418170709</v>
      </c>
      <c r="AO30" s="281">
        <f t="shared" si="11"/>
        <v>12.111420145279318</v>
      </c>
      <c r="AP30" s="281">
        <f t="shared" si="11"/>
        <v>12.533682118429837</v>
      </c>
      <c r="AQ30" s="281">
        <f t="shared" si="11"/>
        <v>12.975568878799947</v>
      </c>
      <c r="AR30" s="281">
        <f t="shared" si="11"/>
        <v>13.438661491585021</v>
      </c>
      <c r="AS30" s="281">
        <f t="shared" si="11"/>
        <v>13.924050112756824</v>
      </c>
      <c r="AT30" s="281">
        <f t="shared" si="11"/>
        <v>14.431886548389565</v>
      </c>
      <c r="AU30" s="281">
        <f t="shared" si="11"/>
        <v>14.962683133771364</v>
      </c>
      <c r="AV30" s="281">
        <f t="shared" si="11"/>
        <v>15.486036855057186</v>
      </c>
      <c r="AW30" s="281">
        <f t="shared" si="11"/>
        <v>16.04557825042917</v>
      </c>
      <c r="AX30" s="281">
        <f t="shared" si="11"/>
        <v>16.624299876647925</v>
      </c>
      <c r="AY30" s="282">
        <f t="shared" si="11"/>
        <v>17.221589715399023</v>
      </c>
    </row>
    <row r="31" spans="1:51">
      <c r="A31" s="26"/>
      <c r="B31" s="94">
        <f t="shared" si="4"/>
        <v>2024</v>
      </c>
      <c r="C31" s="1">
        <f t="shared" si="5"/>
        <v>2</v>
      </c>
      <c r="D31" s="213">
        <v>45323</v>
      </c>
      <c r="E31" s="1" t="str">
        <f t="shared" si="6"/>
        <v>2-2024</v>
      </c>
      <c r="F31" s="268">
        <f>'IEPR Gas Prices Real'!F31*(INDEX('GDP Deflator'!$C$5:$C$89,MATCH('IEPR Gas Prices Nominal'!$B31,'GDP Deflator'!$B$5:$B$89,0))/100)</f>
        <v>5.4062867321569712</v>
      </c>
      <c r="G31" s="269">
        <f>'IEPR Gas Prices Real'!G31*(INDEX('GDP Deflator'!$C$5:$C$89,MATCH('IEPR Gas Prices Nominal'!$B31,'GDP Deflator'!$B$5:$B$89,0))/100)</f>
        <v>0.96712376363406272</v>
      </c>
      <c r="H31" s="270">
        <f>'IEPR Gas Prices Real'!H31*(INDEX('GDP Deflator'!$C$5:$C$89,MATCH('IEPR Gas Prices Nominal'!$B31,'GDP Deflator'!$B$5:$B$89,0))/100)</f>
        <v>6.3734104957910329</v>
      </c>
      <c r="I31" s="269">
        <f>'IEPR Gas Prices Real'!I31*(INDEX('GDP Deflator'!$C$5:$C$89,MATCH('IEPR Gas Prices Nominal'!$B31,'GDP Deflator'!$B$5:$B$89,0))/100)</f>
        <v>5.6904848974480089</v>
      </c>
      <c r="J31" s="269">
        <f>'IEPR Gas Prices Real'!J31*(INDEX('GDP Deflator'!$C$5:$C$89,MATCH('IEPR Gas Prices Nominal'!$B31,'GDP Deflator'!$B$5:$B$89,0))/100)</f>
        <v>1.5969552191715795</v>
      </c>
      <c r="K31" s="269">
        <f>'IEPR Gas Prices Real'!K31*(INDEX('GDP Deflator'!$C$5:$C$89,MATCH('IEPR Gas Prices Nominal'!$B31,'GDP Deflator'!$B$5:$B$89,0))/100)</f>
        <v>7.2874401166195879</v>
      </c>
      <c r="L31" s="268">
        <f>'IEPR Gas Prices Real'!L31*(INDEX('GDP Deflator'!$C$5:$C$89,MATCH('IEPR Gas Prices Nominal'!$B31,'GDP Deflator'!$B$5:$B$89,0))/100)</f>
        <v>5.8912383497880318</v>
      </c>
      <c r="M31" s="269">
        <f>'IEPR Gas Prices Real'!M31*(INDEX('GDP Deflator'!$C$5:$C$89,MATCH('IEPR Gas Prices Nominal'!$B31,'GDP Deflator'!$B$5:$B$89,0))/100)</f>
        <v>0.75416862946494156</v>
      </c>
      <c r="N31" s="270">
        <f>'IEPR Gas Prices Real'!N31*(INDEX('GDP Deflator'!$C$5:$C$89,MATCH('IEPR Gas Prices Nominal'!$B31,'GDP Deflator'!$B$5:$B$89,0))/100)</f>
        <v>6.6454069792529742</v>
      </c>
      <c r="O31" s="1"/>
      <c r="P31" s="274">
        <f t="shared" si="0"/>
        <v>5.6626699931310043</v>
      </c>
      <c r="Q31" s="275">
        <f t="shared" si="7"/>
        <v>6.768752530554532</v>
      </c>
      <c r="R31" s="171"/>
      <c r="S31" s="284">
        <v>11</v>
      </c>
      <c r="T31" s="281">
        <f t="shared" si="9"/>
        <v>6.6618311232888976</v>
      </c>
      <c r="U31" s="281">
        <f t="shared" si="9"/>
        <v>6.8604851080088869</v>
      </c>
      <c r="V31" s="281">
        <f t="shared" si="9"/>
        <v>7.0669235463141336</v>
      </c>
      <c r="W31" s="281">
        <f t="shared" si="9"/>
        <v>7.2733707268574719</v>
      </c>
      <c r="X31" s="281">
        <f t="shared" si="9"/>
        <v>7.4745786570927608</v>
      </c>
      <c r="Y31" s="281">
        <f t="shared" si="9"/>
        <v>7.6825228823673335</v>
      </c>
      <c r="Z31" s="281">
        <f t="shared" si="9"/>
        <v>7.8978556536810061</v>
      </c>
      <c r="AA31" s="281">
        <f t="shared" si="9"/>
        <v>8.1201533175951095</v>
      </c>
      <c r="AB31" s="281">
        <f t="shared" si="9"/>
        <v>8.3507787749173144</v>
      </c>
      <c r="AC31" s="281">
        <f t="shared" si="9"/>
        <v>8.5934653008474253</v>
      </c>
      <c r="AD31" s="281">
        <f t="shared" si="10"/>
        <v>8.845299419676806</v>
      </c>
      <c r="AE31" s="281">
        <f t="shared" si="10"/>
        <v>9.1120618641676625</v>
      </c>
      <c r="AF31" s="281">
        <f t="shared" si="10"/>
        <v>9.3855341210471348</v>
      </c>
      <c r="AG31" s="281">
        <f t="shared" si="10"/>
        <v>9.6720502499148964</v>
      </c>
      <c r="AH31" s="281">
        <f t="shared" si="10"/>
        <v>9.9749646834548269</v>
      </c>
      <c r="AI31" s="281">
        <f t="shared" si="10"/>
        <v>10.293113242793748</v>
      </c>
      <c r="AJ31" s="281">
        <f t="shared" si="10"/>
        <v>10.626915310537258</v>
      </c>
      <c r="AK31" s="281">
        <f t="shared" si="10"/>
        <v>10.974634125384782</v>
      </c>
      <c r="AL31" s="281">
        <f t="shared" si="10"/>
        <v>11.337858161655481</v>
      </c>
      <c r="AM31" s="281">
        <f t="shared" si="10"/>
        <v>11.71601754292562</v>
      </c>
      <c r="AN31" s="281">
        <f t="shared" si="11"/>
        <v>12.11130719877859</v>
      </c>
      <c r="AO31" s="281">
        <f t="shared" si="11"/>
        <v>12.524487183298186</v>
      </c>
      <c r="AP31" s="281">
        <f t="shared" si="11"/>
        <v>12.955869748581321</v>
      </c>
      <c r="AQ31" s="281">
        <f t="shared" si="11"/>
        <v>13.407064114997469</v>
      </c>
      <c r="AR31" s="281">
        <f t="shared" si="11"/>
        <v>13.879740369605663</v>
      </c>
      <c r="AS31" s="281">
        <f t="shared" si="11"/>
        <v>14.374935985806667</v>
      </c>
      <c r="AT31" s="281">
        <f t="shared" si="11"/>
        <v>14.892805971086595</v>
      </c>
      <c r="AU31" s="281">
        <f t="shared" si="11"/>
        <v>15.433812681928266</v>
      </c>
      <c r="AV31" s="281">
        <f t="shared" si="11"/>
        <v>15.966624211975926</v>
      </c>
      <c r="AW31" s="281">
        <f t="shared" si="11"/>
        <v>16.536133572451757</v>
      </c>
      <c r="AX31" s="281">
        <f t="shared" si="11"/>
        <v>17.124965989502083</v>
      </c>
      <c r="AY31" s="282">
        <f t="shared" si="11"/>
        <v>17.73224096982414</v>
      </c>
    </row>
    <row r="32" spans="1:51">
      <c r="A32" s="26"/>
      <c r="B32" s="94">
        <f t="shared" si="4"/>
        <v>2024</v>
      </c>
      <c r="C32" s="1">
        <f t="shared" si="5"/>
        <v>3</v>
      </c>
      <c r="D32" s="213">
        <v>45352</v>
      </c>
      <c r="E32" s="1" t="str">
        <f t="shared" si="6"/>
        <v>3-2024</v>
      </c>
      <c r="F32" s="268">
        <f>'IEPR Gas Prices Real'!F32*(INDEX('GDP Deflator'!$C$5:$C$89,MATCH('IEPR Gas Prices Nominal'!$B32,'GDP Deflator'!$B$5:$B$89,0))/100)</f>
        <v>4.964955584712472</v>
      </c>
      <c r="G32" s="269">
        <f>'IEPR Gas Prices Real'!G32*(INDEX('GDP Deflator'!$C$5:$C$89,MATCH('IEPR Gas Prices Nominal'!$B32,'GDP Deflator'!$B$5:$B$89,0))/100)</f>
        <v>0.96712376363406272</v>
      </c>
      <c r="H32" s="270">
        <f>'IEPR Gas Prices Real'!H32*(INDEX('GDP Deflator'!$C$5:$C$89,MATCH('IEPR Gas Prices Nominal'!$B32,'GDP Deflator'!$B$5:$B$89,0))/100)</f>
        <v>5.9320793483465346</v>
      </c>
      <c r="I32" s="269">
        <f>'IEPR Gas Prices Real'!I32*(INDEX('GDP Deflator'!$C$5:$C$89,MATCH('IEPR Gas Prices Nominal'!$B32,'GDP Deflator'!$B$5:$B$89,0))/100)</f>
        <v>5.224974528272214</v>
      </c>
      <c r="J32" s="269">
        <f>'IEPR Gas Prices Real'!J32*(INDEX('GDP Deflator'!$C$5:$C$89,MATCH('IEPR Gas Prices Nominal'!$B32,'GDP Deflator'!$B$5:$B$89,0))/100)</f>
        <v>1.5969552191715795</v>
      </c>
      <c r="K32" s="269">
        <f>'IEPR Gas Prices Real'!K32*(INDEX('GDP Deflator'!$C$5:$C$89,MATCH('IEPR Gas Prices Nominal'!$B32,'GDP Deflator'!$B$5:$B$89,0))/100)</f>
        <v>6.8219297474437939</v>
      </c>
      <c r="L32" s="268">
        <f>'IEPR Gas Prices Real'!L32*(INDEX('GDP Deflator'!$C$5:$C$89,MATCH('IEPR Gas Prices Nominal'!$B32,'GDP Deflator'!$B$5:$B$89,0))/100)</f>
        <v>5.409392182557597</v>
      </c>
      <c r="M32" s="269">
        <f>'IEPR Gas Prices Real'!M32*(INDEX('GDP Deflator'!$C$5:$C$89,MATCH('IEPR Gas Prices Nominal'!$B32,'GDP Deflator'!$B$5:$B$89,0))/100)</f>
        <v>0.75416862946494156</v>
      </c>
      <c r="N32" s="270">
        <f>'IEPR Gas Prices Real'!N32*(INDEX('GDP Deflator'!$C$5:$C$89,MATCH('IEPR Gas Prices Nominal'!$B32,'GDP Deflator'!$B$5:$B$89,0))/100)</f>
        <v>6.1635608120225385</v>
      </c>
      <c r="O32" s="1"/>
      <c r="P32" s="274">
        <f t="shared" si="0"/>
        <v>5.1997740985140943</v>
      </c>
      <c r="Q32" s="275">
        <f t="shared" si="7"/>
        <v>6.3058566359376229</v>
      </c>
      <c r="R32" s="171"/>
      <c r="S32" s="285">
        <v>12</v>
      </c>
      <c r="T32" s="289">
        <f t="shared" si="9"/>
        <v>6.6935185184150372</v>
      </c>
      <c r="U32" s="289">
        <f t="shared" si="9"/>
        <v>6.9083623311847182</v>
      </c>
      <c r="V32" s="289">
        <f t="shared" si="9"/>
        <v>7.114485528279757</v>
      </c>
      <c r="W32" s="289">
        <f t="shared" si="9"/>
        <v>7.3215935992658876</v>
      </c>
      <c r="X32" s="289">
        <f t="shared" si="9"/>
        <v>7.5237145832328656</v>
      </c>
      <c r="Y32" s="289">
        <f t="shared" si="9"/>
        <v>7.7328060482037388</v>
      </c>
      <c r="Z32" s="289">
        <f t="shared" si="9"/>
        <v>7.9492394392426329</v>
      </c>
      <c r="AA32" s="289">
        <f t="shared" si="9"/>
        <v>8.1725035655777454</v>
      </c>
      <c r="AB32" s="289">
        <f t="shared" si="9"/>
        <v>8.404175018613385</v>
      </c>
      <c r="AC32" s="289">
        <f t="shared" si="9"/>
        <v>8.6481052490355559</v>
      </c>
      <c r="AD32" s="289">
        <f t="shared" si="10"/>
        <v>8.9008290329361817</v>
      </c>
      <c r="AE32" s="289">
        <f t="shared" si="10"/>
        <v>9.1690625211173558</v>
      </c>
      <c r="AF32" s="289">
        <f t="shared" si="10"/>
        <v>9.4432027040097992</v>
      </c>
      <c r="AG32" s="289">
        <f t="shared" si="10"/>
        <v>9.7309830911075768</v>
      </c>
      <c r="AH32" s="289">
        <f t="shared" si="10"/>
        <v>10.035442137770792</v>
      </c>
      <c r="AI32" s="289">
        <f t="shared" si="10"/>
        <v>10.354945798627915</v>
      </c>
      <c r="AJ32" s="289">
        <f t="shared" si="10"/>
        <v>10.69014916437073</v>
      </c>
      <c r="AK32" s="289">
        <f t="shared" si="10"/>
        <v>11.039085751295376</v>
      </c>
      <c r="AL32" s="289">
        <f t="shared" si="10"/>
        <v>11.403773240400648</v>
      </c>
      <c r="AM32" s="289">
        <f t="shared" si="10"/>
        <v>11.783392537281108</v>
      </c>
      <c r="AN32" s="289">
        <f t="shared" si="11"/>
        <v>12.180191423892785</v>
      </c>
      <c r="AO32" s="289">
        <f t="shared" si="11"/>
        <v>12.594895912710124</v>
      </c>
      <c r="AP32" s="289">
        <f t="shared" si="11"/>
        <v>13.027863619472912</v>
      </c>
      <c r="AQ32" s="289">
        <f t="shared" si="11"/>
        <v>13.48065034335059</v>
      </c>
      <c r="AR32" s="289">
        <f t="shared" si="11"/>
        <v>13.9549947771365</v>
      </c>
      <c r="AS32" s="289">
        <f t="shared" si="11"/>
        <v>14.451879997078288</v>
      </c>
      <c r="AT32" s="289">
        <f t="shared" si="11"/>
        <v>14.971487823311689</v>
      </c>
      <c r="AU32" s="289">
        <f t="shared" si="11"/>
        <v>15.514247227580739</v>
      </c>
      <c r="AV32" s="289">
        <f t="shared" si="11"/>
        <v>16.048706034854344</v>
      </c>
      <c r="AW32" s="289">
        <f t="shared" si="11"/>
        <v>16.619911976852368</v>
      </c>
      <c r="AX32" s="289">
        <f t="shared" si="11"/>
        <v>17.210575695417131</v>
      </c>
      <c r="AY32" s="290">
        <f t="shared" si="11"/>
        <v>17.819590840576755</v>
      </c>
    </row>
    <row r="33" spans="1:18">
      <c r="A33" s="26"/>
      <c r="B33" s="94">
        <f t="shared" si="4"/>
        <v>2024</v>
      </c>
      <c r="C33" s="1">
        <f t="shared" si="5"/>
        <v>4</v>
      </c>
      <c r="D33" s="213">
        <v>45383</v>
      </c>
      <c r="E33" s="1" t="str">
        <f t="shared" si="6"/>
        <v>4-2024</v>
      </c>
      <c r="F33" s="268">
        <f>'IEPR Gas Prices Real'!F33*(INDEX('GDP Deflator'!$C$5:$C$89,MATCH('IEPR Gas Prices Nominal'!$B33,'GDP Deflator'!$B$5:$B$89,0))/100)</f>
        <v>4.8824111955281078</v>
      </c>
      <c r="G33" s="269">
        <f>'IEPR Gas Prices Real'!G33*(INDEX('GDP Deflator'!$C$5:$C$89,MATCH('IEPR Gas Prices Nominal'!$B33,'GDP Deflator'!$B$5:$B$89,0))/100)</f>
        <v>0.96712376363406272</v>
      </c>
      <c r="H33" s="270">
        <f>'IEPR Gas Prices Real'!H33*(INDEX('GDP Deflator'!$C$5:$C$89,MATCH('IEPR Gas Prices Nominal'!$B33,'GDP Deflator'!$B$5:$B$89,0))/100)</f>
        <v>5.8495349591621704</v>
      </c>
      <c r="I33" s="269">
        <f>'IEPR Gas Prices Real'!I33*(INDEX('GDP Deflator'!$C$5:$C$89,MATCH('IEPR Gas Prices Nominal'!$B33,'GDP Deflator'!$B$5:$B$89,0))/100)</f>
        <v>5.1371448977328917</v>
      </c>
      <c r="J33" s="269">
        <f>'IEPR Gas Prices Real'!J33*(INDEX('GDP Deflator'!$C$5:$C$89,MATCH('IEPR Gas Prices Nominal'!$B33,'GDP Deflator'!$B$5:$B$89,0))/100)</f>
        <v>1.5969552191715795</v>
      </c>
      <c r="K33" s="269">
        <f>'IEPR Gas Prices Real'!K33*(INDEX('GDP Deflator'!$C$5:$C$89,MATCH('IEPR Gas Prices Nominal'!$B33,'GDP Deflator'!$B$5:$B$89,0))/100)</f>
        <v>6.7341001169044716</v>
      </c>
      <c r="L33" s="268">
        <f>'IEPR Gas Prices Real'!L33*(INDEX('GDP Deflator'!$C$5:$C$89,MATCH('IEPR Gas Prices Nominal'!$B33,'GDP Deflator'!$B$5:$B$89,0))/100)</f>
        <v>5.3185479270823972</v>
      </c>
      <c r="M33" s="269">
        <f>'IEPR Gas Prices Real'!M33*(INDEX('GDP Deflator'!$C$5:$C$89,MATCH('IEPR Gas Prices Nominal'!$B33,'GDP Deflator'!$B$5:$B$89,0))/100)</f>
        <v>0.75416862946494156</v>
      </c>
      <c r="N33" s="270">
        <f>'IEPR Gas Prices Real'!N33*(INDEX('GDP Deflator'!$C$5:$C$89,MATCH('IEPR Gas Prices Nominal'!$B33,'GDP Deflator'!$B$5:$B$89,0))/100)</f>
        <v>6.0727165565473387</v>
      </c>
      <c r="O33" s="1"/>
      <c r="P33" s="274">
        <f t="shared" si="0"/>
        <v>5.112701340114465</v>
      </c>
      <c r="Q33" s="275">
        <f t="shared" si="7"/>
        <v>6.2187838775379936</v>
      </c>
      <c r="R33" s="171"/>
    </row>
    <row r="34" spans="1:18">
      <c r="A34" s="26"/>
      <c r="B34" s="94">
        <f t="shared" si="4"/>
        <v>2024</v>
      </c>
      <c r="C34" s="1">
        <f t="shared" si="5"/>
        <v>5</v>
      </c>
      <c r="D34" s="213">
        <v>45413</v>
      </c>
      <c r="E34" s="1" t="str">
        <f t="shared" si="6"/>
        <v>5-2024</v>
      </c>
      <c r="F34" s="268">
        <f>'IEPR Gas Prices Real'!F34*(INDEX('GDP Deflator'!$C$5:$C$89,MATCH('IEPR Gas Prices Nominal'!$B34,'GDP Deflator'!$B$5:$B$89,0))/100)</f>
        <v>5.0543376468538748</v>
      </c>
      <c r="G34" s="269">
        <f>'IEPR Gas Prices Real'!G34*(INDEX('GDP Deflator'!$C$5:$C$89,MATCH('IEPR Gas Prices Nominal'!$B34,'GDP Deflator'!$B$5:$B$89,0))/100)</f>
        <v>0.96712376363406272</v>
      </c>
      <c r="H34" s="270">
        <f>'IEPR Gas Prices Real'!H34*(INDEX('GDP Deflator'!$C$5:$C$89,MATCH('IEPR Gas Prices Nominal'!$B34,'GDP Deflator'!$B$5:$B$89,0))/100)</f>
        <v>6.0214614104879374</v>
      </c>
      <c r="I34" s="269">
        <f>'IEPR Gas Prices Real'!I34*(INDEX('GDP Deflator'!$C$5:$C$89,MATCH('IEPR Gas Prices Nominal'!$B34,'GDP Deflator'!$B$5:$B$89,0))/100)</f>
        <v>5.3170458957898434</v>
      </c>
      <c r="J34" s="269">
        <f>'IEPR Gas Prices Real'!J34*(INDEX('GDP Deflator'!$C$5:$C$89,MATCH('IEPR Gas Prices Nominal'!$B34,'GDP Deflator'!$B$5:$B$89,0))/100)</f>
        <v>1.5969552191715795</v>
      </c>
      <c r="K34" s="269">
        <f>'IEPR Gas Prices Real'!K34*(INDEX('GDP Deflator'!$C$5:$C$89,MATCH('IEPR Gas Prices Nominal'!$B34,'GDP Deflator'!$B$5:$B$89,0))/100)</f>
        <v>6.9140011149614224</v>
      </c>
      <c r="L34" s="268">
        <f>'IEPR Gas Prices Real'!L34*(INDEX('GDP Deflator'!$C$5:$C$89,MATCH('IEPR Gas Prices Nominal'!$B34,'GDP Deflator'!$B$5:$B$89,0))/100)</f>
        <v>5.5048899131603504</v>
      </c>
      <c r="M34" s="269">
        <f>'IEPR Gas Prices Real'!M34*(INDEX('GDP Deflator'!$C$5:$C$89,MATCH('IEPR Gas Prices Nominal'!$B34,'GDP Deflator'!$B$5:$B$89,0))/100)</f>
        <v>0.75416862946494156</v>
      </c>
      <c r="N34" s="270">
        <f>'IEPR Gas Prices Real'!N34*(INDEX('GDP Deflator'!$C$5:$C$89,MATCH('IEPR Gas Prices Nominal'!$B34,'GDP Deflator'!$B$5:$B$89,0))/100)</f>
        <v>6.2590585426252927</v>
      </c>
      <c r="O34" s="1"/>
      <c r="P34" s="274">
        <f t="shared" si="0"/>
        <v>5.2920911519346889</v>
      </c>
      <c r="Q34" s="275">
        <f t="shared" si="7"/>
        <v>6.3981736893582175</v>
      </c>
      <c r="R34" s="171"/>
    </row>
    <row r="35" spans="1:18">
      <c r="A35" s="26"/>
      <c r="B35" s="94">
        <f t="shared" si="4"/>
        <v>2024</v>
      </c>
      <c r="C35" s="1">
        <f t="shared" si="5"/>
        <v>6</v>
      </c>
      <c r="D35" s="213">
        <v>45444</v>
      </c>
      <c r="E35" s="1" t="str">
        <f t="shared" si="6"/>
        <v>6-2024</v>
      </c>
      <c r="F35" s="268">
        <f>'IEPR Gas Prices Real'!F35*(INDEX('GDP Deflator'!$C$5:$C$89,MATCH('IEPR Gas Prices Nominal'!$B35,'GDP Deflator'!$B$5:$B$89,0))/100)</f>
        <v>5.1870595115342271</v>
      </c>
      <c r="G35" s="269">
        <f>'IEPR Gas Prices Real'!G35*(INDEX('GDP Deflator'!$C$5:$C$89,MATCH('IEPR Gas Prices Nominal'!$B35,'GDP Deflator'!$B$5:$B$89,0))/100)</f>
        <v>0.96712376363406272</v>
      </c>
      <c r="H35" s="270">
        <f>'IEPR Gas Prices Real'!H35*(INDEX('GDP Deflator'!$C$5:$C$89,MATCH('IEPR Gas Prices Nominal'!$B35,'GDP Deflator'!$B$5:$B$89,0))/100)</f>
        <v>6.1541832751682897</v>
      </c>
      <c r="I35" s="269">
        <f>'IEPR Gas Prices Real'!I35*(INDEX('GDP Deflator'!$C$5:$C$89,MATCH('IEPR Gas Prices Nominal'!$B35,'GDP Deflator'!$B$5:$B$89,0))/100)</f>
        <v>5.4556453001487535</v>
      </c>
      <c r="J35" s="269">
        <f>'IEPR Gas Prices Real'!J35*(INDEX('GDP Deflator'!$C$5:$C$89,MATCH('IEPR Gas Prices Nominal'!$B35,'GDP Deflator'!$B$5:$B$89,0))/100)</f>
        <v>1.5969552191715795</v>
      </c>
      <c r="K35" s="269">
        <f>'IEPR Gas Prices Real'!K35*(INDEX('GDP Deflator'!$C$5:$C$89,MATCH('IEPR Gas Prices Nominal'!$B35,'GDP Deflator'!$B$5:$B$89,0))/100)</f>
        <v>7.0526005193203334</v>
      </c>
      <c r="L35" s="268">
        <f>'IEPR Gas Prices Real'!L35*(INDEX('GDP Deflator'!$C$5:$C$89,MATCH('IEPR Gas Prices Nominal'!$B35,'GDP Deflator'!$B$5:$B$89,0))/100)</f>
        <v>5.6484764362772681</v>
      </c>
      <c r="M35" s="269">
        <f>'IEPR Gas Prices Real'!M35*(INDEX('GDP Deflator'!$C$5:$C$89,MATCH('IEPR Gas Prices Nominal'!$B35,'GDP Deflator'!$B$5:$B$89,0))/100)</f>
        <v>0.75416862946494156</v>
      </c>
      <c r="N35" s="270">
        <f>'IEPR Gas Prices Real'!N35*(INDEX('GDP Deflator'!$C$5:$C$89,MATCH('IEPR Gas Prices Nominal'!$B35,'GDP Deflator'!$B$5:$B$89,0))/100)</f>
        <v>6.4026450657422096</v>
      </c>
      <c r="O35" s="1"/>
      <c r="P35" s="274">
        <f t="shared" si="0"/>
        <v>5.4303937493200829</v>
      </c>
      <c r="Q35" s="275">
        <f t="shared" si="7"/>
        <v>6.5364762867436106</v>
      </c>
      <c r="R35" s="171"/>
    </row>
    <row r="36" spans="1:18">
      <c r="A36" s="26"/>
      <c r="B36" s="94">
        <f t="shared" si="4"/>
        <v>2024</v>
      </c>
      <c r="C36" s="1">
        <f t="shared" si="5"/>
        <v>7</v>
      </c>
      <c r="D36" s="213">
        <v>45474</v>
      </c>
      <c r="E36" s="1" t="str">
        <f t="shared" si="6"/>
        <v>7-2024</v>
      </c>
      <c r="F36" s="268">
        <f>'IEPR Gas Prices Real'!F36*(INDEX('GDP Deflator'!$C$5:$C$89,MATCH('IEPR Gas Prices Nominal'!$B36,'GDP Deflator'!$B$5:$B$89,0))/100)</f>
        <v>5.2302842799157592</v>
      </c>
      <c r="G36" s="269">
        <f>'IEPR Gas Prices Real'!G36*(INDEX('GDP Deflator'!$C$5:$C$89,MATCH('IEPR Gas Prices Nominal'!$B36,'GDP Deflator'!$B$5:$B$89,0))/100)</f>
        <v>0.96712376363406272</v>
      </c>
      <c r="H36" s="270">
        <f>'IEPR Gas Prices Real'!H36*(INDEX('GDP Deflator'!$C$5:$C$89,MATCH('IEPR Gas Prices Nominal'!$B36,'GDP Deflator'!$B$5:$B$89,0))/100)</f>
        <v>6.1974080435498218</v>
      </c>
      <c r="I36" s="269">
        <f>'IEPR Gas Prices Real'!I36*(INDEX('GDP Deflator'!$C$5:$C$89,MATCH('IEPR Gas Prices Nominal'!$B36,'GDP Deflator'!$B$5:$B$89,0))/100)</f>
        <v>5.5000795516386685</v>
      </c>
      <c r="J36" s="269">
        <f>'IEPR Gas Prices Real'!J36*(INDEX('GDP Deflator'!$C$5:$C$89,MATCH('IEPR Gas Prices Nominal'!$B36,'GDP Deflator'!$B$5:$B$89,0))/100)</f>
        <v>1.5969552191715795</v>
      </c>
      <c r="K36" s="269">
        <f>'IEPR Gas Prices Real'!K36*(INDEX('GDP Deflator'!$C$5:$C$89,MATCH('IEPR Gas Prices Nominal'!$B36,'GDP Deflator'!$B$5:$B$89,0))/100)</f>
        <v>7.0970347708102484</v>
      </c>
      <c r="L36" s="268">
        <f>'IEPR Gas Prices Real'!L36*(INDEX('GDP Deflator'!$C$5:$C$89,MATCH('IEPR Gas Prices Nominal'!$B36,'GDP Deflator'!$B$5:$B$89,0))/100)</f>
        <v>5.6945725244446264</v>
      </c>
      <c r="M36" s="269">
        <f>'IEPR Gas Prices Real'!M36*(INDEX('GDP Deflator'!$C$5:$C$89,MATCH('IEPR Gas Prices Nominal'!$B36,'GDP Deflator'!$B$5:$B$89,0))/100)</f>
        <v>0.75416862946494156</v>
      </c>
      <c r="N36" s="270">
        <f>'IEPR Gas Prices Real'!N36*(INDEX('GDP Deflator'!$C$5:$C$89,MATCH('IEPR Gas Prices Nominal'!$B36,'GDP Deflator'!$B$5:$B$89,0))/100)</f>
        <v>6.4487411539095687</v>
      </c>
      <c r="O36" s="1"/>
      <c r="P36" s="274">
        <f t="shared" si="0"/>
        <v>5.4749787853330183</v>
      </c>
      <c r="Q36" s="275">
        <f t="shared" si="7"/>
        <v>6.5810613227565469</v>
      </c>
      <c r="R36" s="171"/>
    </row>
    <row r="37" spans="1:18">
      <c r="A37" s="26"/>
      <c r="B37" s="94">
        <f t="shared" si="4"/>
        <v>2024</v>
      </c>
      <c r="C37" s="1">
        <f t="shared" si="5"/>
        <v>8</v>
      </c>
      <c r="D37" s="213">
        <v>45505</v>
      </c>
      <c r="E37" s="1" t="str">
        <f t="shared" si="6"/>
        <v>8-2024</v>
      </c>
      <c r="F37" s="268">
        <f>'IEPR Gas Prices Real'!F37*(INDEX('GDP Deflator'!$C$5:$C$89,MATCH('IEPR Gas Prices Nominal'!$B37,'GDP Deflator'!$B$5:$B$89,0))/100)</f>
        <v>5.1919428998704067</v>
      </c>
      <c r="G37" s="269">
        <f>'IEPR Gas Prices Real'!G37*(INDEX('GDP Deflator'!$C$5:$C$89,MATCH('IEPR Gas Prices Nominal'!$B37,'GDP Deflator'!$B$5:$B$89,0))/100)</f>
        <v>0.96712376363406272</v>
      </c>
      <c r="H37" s="270">
        <f>'IEPR Gas Prices Real'!H37*(INDEX('GDP Deflator'!$C$5:$C$89,MATCH('IEPR Gas Prices Nominal'!$B37,'GDP Deflator'!$B$5:$B$89,0))/100)</f>
        <v>6.1590666635044693</v>
      </c>
      <c r="I37" s="269">
        <f>'IEPR Gas Prices Real'!I37*(INDEX('GDP Deflator'!$C$5:$C$89,MATCH('IEPR Gas Prices Nominal'!$B37,'GDP Deflator'!$B$5:$B$89,0))/100)</f>
        <v>5.4587399680564204</v>
      </c>
      <c r="J37" s="269">
        <f>'IEPR Gas Prices Real'!J37*(INDEX('GDP Deflator'!$C$5:$C$89,MATCH('IEPR Gas Prices Nominal'!$B37,'GDP Deflator'!$B$5:$B$89,0))/100)</f>
        <v>1.5969552191715795</v>
      </c>
      <c r="K37" s="269">
        <f>'IEPR Gas Prices Real'!K37*(INDEX('GDP Deflator'!$C$5:$C$89,MATCH('IEPR Gas Prices Nominal'!$B37,'GDP Deflator'!$B$5:$B$89,0))/100)</f>
        <v>7.0556951872279994</v>
      </c>
      <c r="L37" s="268">
        <f>'IEPR Gas Prices Real'!L37*(INDEX('GDP Deflator'!$C$5:$C$89,MATCH('IEPR Gas Prices Nominal'!$B37,'GDP Deflator'!$B$5:$B$89,0))/100)</f>
        <v>5.6518616772678802</v>
      </c>
      <c r="M37" s="269">
        <f>'IEPR Gas Prices Real'!M37*(INDEX('GDP Deflator'!$C$5:$C$89,MATCH('IEPR Gas Prices Nominal'!$B37,'GDP Deflator'!$B$5:$B$89,0))/100)</f>
        <v>0.75416862946494156</v>
      </c>
      <c r="N37" s="270">
        <f>'IEPR Gas Prices Real'!N37*(INDEX('GDP Deflator'!$C$5:$C$89,MATCH('IEPR Gas Prices Nominal'!$B37,'GDP Deflator'!$B$5:$B$89,0))/100)</f>
        <v>6.4060303067328217</v>
      </c>
      <c r="O37" s="1"/>
      <c r="P37" s="274">
        <f t="shared" si="0"/>
        <v>5.4341815150649024</v>
      </c>
      <c r="Q37" s="275">
        <f t="shared" si="7"/>
        <v>6.5402640524884292</v>
      </c>
      <c r="R37" s="171"/>
    </row>
    <row r="38" spans="1:18">
      <c r="A38" s="26"/>
      <c r="B38" s="94">
        <f t="shared" si="4"/>
        <v>2024</v>
      </c>
      <c r="C38" s="1">
        <f t="shared" si="5"/>
        <v>9</v>
      </c>
      <c r="D38" s="213">
        <v>45536</v>
      </c>
      <c r="E38" s="1" t="str">
        <f t="shared" si="6"/>
        <v>9-2024</v>
      </c>
      <c r="F38" s="268">
        <f>'IEPR Gas Prices Real'!F38*(INDEX('GDP Deflator'!$C$5:$C$89,MATCH('IEPR Gas Prices Nominal'!$B38,'GDP Deflator'!$B$5:$B$89,0))/100)</f>
        <v>5.2670590669230055</v>
      </c>
      <c r="G38" s="269">
        <f>'IEPR Gas Prices Real'!G38*(INDEX('GDP Deflator'!$C$5:$C$89,MATCH('IEPR Gas Prices Nominal'!$B38,'GDP Deflator'!$B$5:$B$89,0))/100)</f>
        <v>0.96712376363406272</v>
      </c>
      <c r="H38" s="270">
        <f>'IEPR Gas Prices Real'!H38*(INDEX('GDP Deflator'!$C$5:$C$89,MATCH('IEPR Gas Prices Nominal'!$B38,'GDP Deflator'!$B$5:$B$89,0))/100)</f>
        <v>6.2341828305570681</v>
      </c>
      <c r="I38" s="269">
        <f>'IEPR Gas Prices Real'!I38*(INDEX('GDP Deflator'!$C$5:$C$89,MATCH('IEPR Gas Prices Nominal'!$B38,'GDP Deflator'!$B$5:$B$89,0))/100)</f>
        <v>5.5366816521720423</v>
      </c>
      <c r="J38" s="269">
        <f>'IEPR Gas Prices Real'!J38*(INDEX('GDP Deflator'!$C$5:$C$89,MATCH('IEPR Gas Prices Nominal'!$B38,'GDP Deflator'!$B$5:$B$89,0))/100)</f>
        <v>1.5969552191715795</v>
      </c>
      <c r="K38" s="269">
        <f>'IEPR Gas Prices Real'!K38*(INDEX('GDP Deflator'!$C$5:$C$89,MATCH('IEPR Gas Prices Nominal'!$B38,'GDP Deflator'!$B$5:$B$89,0))/100)</f>
        <v>7.1336368713436213</v>
      </c>
      <c r="L38" s="268">
        <f>'IEPR Gas Prices Real'!L38*(INDEX('GDP Deflator'!$C$5:$C$89,MATCH('IEPR Gas Prices Nominal'!$B38,'GDP Deflator'!$B$5:$B$89,0))/100)</f>
        <v>5.7326526596202578</v>
      </c>
      <c r="M38" s="269">
        <f>'IEPR Gas Prices Real'!M38*(INDEX('GDP Deflator'!$C$5:$C$89,MATCH('IEPR Gas Prices Nominal'!$B38,'GDP Deflator'!$B$5:$B$89,0))/100)</f>
        <v>0.75416862946494156</v>
      </c>
      <c r="N38" s="270">
        <f>'IEPR Gas Prices Real'!N38*(INDEX('GDP Deflator'!$C$5:$C$89,MATCH('IEPR Gas Prices Nominal'!$B38,'GDP Deflator'!$B$5:$B$89,0))/100)</f>
        <v>6.4868212890852002</v>
      </c>
      <c r="O38" s="1"/>
      <c r="P38" s="274">
        <f t="shared" si="0"/>
        <v>5.5121311262384358</v>
      </c>
      <c r="Q38" s="275">
        <f t="shared" si="7"/>
        <v>6.6182136636619626</v>
      </c>
      <c r="R38" s="171"/>
    </row>
    <row r="39" spans="1:18">
      <c r="A39" s="26"/>
      <c r="B39" s="94">
        <f t="shared" si="4"/>
        <v>2024</v>
      </c>
      <c r="C39" s="1">
        <f t="shared" si="5"/>
        <v>10</v>
      </c>
      <c r="D39" s="213">
        <v>45566</v>
      </c>
      <c r="E39" s="1" t="str">
        <f t="shared" si="6"/>
        <v>10-2024</v>
      </c>
      <c r="F39" s="268">
        <f>'IEPR Gas Prices Real'!F39*(INDEX('GDP Deflator'!$C$5:$C$89,MATCH('IEPR Gas Prices Nominal'!$B39,'GDP Deflator'!$B$5:$B$89,0))/100)</f>
        <v>5.2387827058535006</v>
      </c>
      <c r="G39" s="269">
        <f>'IEPR Gas Prices Real'!G39*(INDEX('GDP Deflator'!$C$5:$C$89,MATCH('IEPR Gas Prices Nominal'!$B39,'GDP Deflator'!$B$5:$B$89,0))/100)</f>
        <v>0.96712376363406272</v>
      </c>
      <c r="H39" s="270">
        <f>'IEPR Gas Prices Real'!H39*(INDEX('GDP Deflator'!$C$5:$C$89,MATCH('IEPR Gas Prices Nominal'!$B39,'GDP Deflator'!$B$5:$B$89,0))/100)</f>
        <v>6.2059064694875632</v>
      </c>
      <c r="I39" s="269">
        <f>'IEPR Gas Prices Real'!I39*(INDEX('GDP Deflator'!$C$5:$C$89,MATCH('IEPR Gas Prices Nominal'!$B39,'GDP Deflator'!$B$5:$B$89,0))/100)</f>
        <v>5.5059296383899872</v>
      </c>
      <c r="J39" s="269">
        <f>'IEPR Gas Prices Real'!J39*(INDEX('GDP Deflator'!$C$5:$C$89,MATCH('IEPR Gas Prices Nominal'!$B39,'GDP Deflator'!$B$5:$B$89,0))/100)</f>
        <v>1.5969552191715795</v>
      </c>
      <c r="K39" s="269">
        <f>'IEPR Gas Prices Real'!K39*(INDEX('GDP Deflator'!$C$5:$C$89,MATCH('IEPR Gas Prices Nominal'!$B39,'GDP Deflator'!$B$5:$B$89,0))/100)</f>
        <v>7.1028848575615671</v>
      </c>
      <c r="L39" s="268">
        <f>'IEPR Gas Prices Real'!L39*(INDEX('GDP Deflator'!$C$5:$C$89,MATCH('IEPR Gas Prices Nominal'!$B39,'GDP Deflator'!$B$5:$B$89,0))/100)</f>
        <v>5.7009034796545022</v>
      </c>
      <c r="M39" s="269">
        <f>'IEPR Gas Prices Real'!M39*(INDEX('GDP Deflator'!$C$5:$C$89,MATCH('IEPR Gas Prices Nominal'!$B39,'GDP Deflator'!$B$5:$B$89,0))/100)</f>
        <v>0.75416862946494156</v>
      </c>
      <c r="N39" s="270">
        <f>'IEPR Gas Prices Real'!N39*(INDEX('GDP Deflator'!$C$5:$C$89,MATCH('IEPR Gas Prices Nominal'!$B39,'GDP Deflator'!$B$5:$B$89,0))/100)</f>
        <v>6.4550721091194445</v>
      </c>
      <c r="O39" s="1"/>
      <c r="P39" s="274">
        <f t="shared" si="0"/>
        <v>5.4818719412993309</v>
      </c>
      <c r="Q39" s="275">
        <f t="shared" si="7"/>
        <v>6.5879544787228577</v>
      </c>
      <c r="R39" s="171"/>
    </row>
    <row r="40" spans="1:18">
      <c r="A40" s="26"/>
      <c r="B40" s="94">
        <f t="shared" si="4"/>
        <v>2024</v>
      </c>
      <c r="C40" s="1">
        <f t="shared" si="5"/>
        <v>11</v>
      </c>
      <c r="D40" s="213">
        <v>45597</v>
      </c>
      <c r="E40" s="1" t="str">
        <f t="shared" si="6"/>
        <v>11-2024</v>
      </c>
      <c r="F40" s="268">
        <f>'IEPR Gas Prices Real'!F40*(INDEX('GDP Deflator'!$C$5:$C$89,MATCH('IEPR Gas Prices Nominal'!$B40,'GDP Deflator'!$B$5:$B$89,0))/100)</f>
        <v>5.4998970487833452</v>
      </c>
      <c r="G40" s="269">
        <f>'IEPR Gas Prices Real'!G40*(INDEX('GDP Deflator'!$C$5:$C$89,MATCH('IEPR Gas Prices Nominal'!$B40,'GDP Deflator'!$B$5:$B$89,0))/100)</f>
        <v>0.96712376363406272</v>
      </c>
      <c r="H40" s="270">
        <f>'IEPR Gas Prices Real'!H40*(INDEX('GDP Deflator'!$C$5:$C$89,MATCH('IEPR Gas Prices Nominal'!$B40,'GDP Deflator'!$B$5:$B$89,0))/100)</f>
        <v>6.4670208124174078</v>
      </c>
      <c r="I40" s="269">
        <f>'IEPR Gas Prices Real'!I40*(INDEX('GDP Deflator'!$C$5:$C$89,MATCH('IEPR Gas Prices Nominal'!$B40,'GDP Deflator'!$B$5:$B$89,0))/100)</f>
        <v>5.7792806101674241</v>
      </c>
      <c r="J40" s="269">
        <f>'IEPR Gas Prices Real'!J40*(INDEX('GDP Deflator'!$C$5:$C$89,MATCH('IEPR Gas Prices Nominal'!$B40,'GDP Deflator'!$B$5:$B$89,0))/100)</f>
        <v>1.5969552191715795</v>
      </c>
      <c r="K40" s="269">
        <f>'IEPR Gas Prices Real'!K40*(INDEX('GDP Deflator'!$C$5:$C$89,MATCH('IEPR Gas Prices Nominal'!$B40,'GDP Deflator'!$B$5:$B$89,0))/100)</f>
        <v>7.3762358293390031</v>
      </c>
      <c r="L40" s="268">
        <f>'IEPR Gas Prices Real'!L40*(INDEX('GDP Deflator'!$C$5:$C$89,MATCH('IEPR Gas Prices Nominal'!$B40,'GDP Deflator'!$B$5:$B$89,0))/100)</f>
        <v>5.9840300528053065</v>
      </c>
      <c r="M40" s="269">
        <f>'IEPR Gas Prices Real'!M40*(INDEX('GDP Deflator'!$C$5:$C$89,MATCH('IEPR Gas Prices Nominal'!$B40,'GDP Deflator'!$B$5:$B$89,0))/100)</f>
        <v>0.75416862946494156</v>
      </c>
      <c r="N40" s="270">
        <f>'IEPR Gas Prices Real'!N40*(INDEX('GDP Deflator'!$C$5:$C$89,MATCH('IEPR Gas Prices Nominal'!$B40,'GDP Deflator'!$B$5:$B$89,0))/100)</f>
        <v>6.738198682270248</v>
      </c>
      <c r="O40" s="1"/>
      <c r="P40" s="274">
        <f t="shared" si="0"/>
        <v>5.7544025705853583</v>
      </c>
      <c r="Q40" s="275">
        <f t="shared" si="7"/>
        <v>6.8604851080088869</v>
      </c>
      <c r="R40" s="171"/>
    </row>
    <row r="41" spans="1:18">
      <c r="A41" s="26"/>
      <c r="B41" s="94">
        <f t="shared" si="4"/>
        <v>2024</v>
      </c>
      <c r="C41" s="1">
        <f t="shared" si="5"/>
        <v>12</v>
      </c>
      <c r="D41" s="213">
        <v>45627</v>
      </c>
      <c r="E41" s="1" t="str">
        <f t="shared" si="6"/>
        <v>12-2024</v>
      </c>
      <c r="F41" s="268">
        <f>'IEPR Gas Prices Real'!F41*(INDEX('GDP Deflator'!$C$5:$C$89,MATCH('IEPR Gas Prices Nominal'!$B41,'GDP Deflator'!$B$5:$B$89,0))/100)</f>
        <v>5.5463308779829754</v>
      </c>
      <c r="G41" s="269">
        <f>'IEPR Gas Prices Real'!G41*(INDEX('GDP Deflator'!$C$5:$C$89,MATCH('IEPR Gas Prices Nominal'!$B41,'GDP Deflator'!$B$5:$B$89,0))/100)</f>
        <v>0.96712376363406272</v>
      </c>
      <c r="H41" s="270">
        <f>'IEPR Gas Prices Real'!H41*(INDEX('GDP Deflator'!$C$5:$C$89,MATCH('IEPR Gas Prices Nominal'!$B41,'GDP Deflator'!$B$5:$B$89,0))/100)</f>
        <v>6.513454641617038</v>
      </c>
      <c r="I41" s="269">
        <f>'IEPR Gas Prices Real'!I41*(INDEX('GDP Deflator'!$C$5:$C$89,MATCH('IEPR Gas Prices Nominal'!$B41,'GDP Deflator'!$B$5:$B$89,0))/100)</f>
        <v>5.8269861885216114</v>
      </c>
      <c r="J41" s="269">
        <f>'IEPR Gas Prices Real'!J41*(INDEX('GDP Deflator'!$C$5:$C$89,MATCH('IEPR Gas Prices Nominal'!$B41,'GDP Deflator'!$B$5:$B$89,0))/100)</f>
        <v>1.5969552191715795</v>
      </c>
      <c r="K41" s="269">
        <f>'IEPR Gas Prices Real'!K41*(INDEX('GDP Deflator'!$C$5:$C$89,MATCH('IEPR Gas Prices Nominal'!$B41,'GDP Deflator'!$B$5:$B$89,0))/100)</f>
        <v>7.4239414076931904</v>
      </c>
      <c r="L41" s="268">
        <f>'IEPR Gas Prices Real'!L41*(INDEX('GDP Deflator'!$C$5:$C$89,MATCH('IEPR Gas Prices Nominal'!$B41,'GDP Deflator'!$B$5:$B$89,0))/100)</f>
        <v>6.033522314778982</v>
      </c>
      <c r="M41" s="269">
        <f>'IEPR Gas Prices Real'!M41*(INDEX('GDP Deflator'!$C$5:$C$89,MATCH('IEPR Gas Prices Nominal'!$B41,'GDP Deflator'!$B$5:$B$89,0))/100)</f>
        <v>0.75416862946494156</v>
      </c>
      <c r="N41" s="270">
        <f>'IEPR Gas Prices Real'!N41*(INDEX('GDP Deflator'!$C$5:$C$89,MATCH('IEPR Gas Prices Nominal'!$B41,'GDP Deflator'!$B$5:$B$89,0))/100)</f>
        <v>6.7876909442439244</v>
      </c>
      <c r="O41" s="1"/>
      <c r="P41" s="274">
        <f t="shared" si="0"/>
        <v>5.8022797937611896</v>
      </c>
      <c r="Q41" s="275">
        <f t="shared" si="7"/>
        <v>6.9083623311847182</v>
      </c>
      <c r="R41" s="171"/>
    </row>
    <row r="42" spans="1:18">
      <c r="A42" s="26"/>
      <c r="B42" s="94">
        <f t="shared" si="4"/>
        <v>2025</v>
      </c>
      <c r="C42" s="1">
        <f t="shared" si="5"/>
        <v>1</v>
      </c>
      <c r="D42" s="213">
        <v>45658</v>
      </c>
      <c r="E42" s="1" t="str">
        <f t="shared" si="6"/>
        <v>1-2025</v>
      </c>
      <c r="F42" s="268">
        <f>'IEPR Gas Prices Real'!F42*(INDEX('GDP Deflator'!$C$5:$C$89,MATCH('IEPR Gas Prices Nominal'!$B42,'GDP Deflator'!$B$5:$B$89,0))/100)</f>
        <v>5.6765433125840072</v>
      </c>
      <c r="G42" s="269">
        <f>'IEPR Gas Prices Real'!G42*(INDEX('GDP Deflator'!$C$5:$C$89,MATCH('IEPR Gas Prices Nominal'!$B42,'GDP Deflator'!$B$5:$B$89,0))/100)</f>
        <v>1.0293312483438501</v>
      </c>
      <c r="H42" s="270">
        <f>'IEPR Gas Prices Real'!H42*(INDEX('GDP Deflator'!$C$5:$C$89,MATCH('IEPR Gas Prices Nominal'!$B42,'GDP Deflator'!$B$5:$B$89,0))/100)</f>
        <v>6.7058745609278576</v>
      </c>
      <c r="I42" s="269">
        <f>'IEPR Gas Prices Real'!I42*(INDEX('GDP Deflator'!$C$5:$C$89,MATCH('IEPR Gas Prices Nominal'!$B42,'GDP Deflator'!$B$5:$B$89,0))/100)</f>
        <v>5.9637724918680739</v>
      </c>
      <c r="J42" s="269">
        <f>'IEPR Gas Prices Real'!J42*(INDEX('GDP Deflator'!$C$5:$C$89,MATCH('IEPR Gas Prices Nominal'!$B42,'GDP Deflator'!$B$5:$B$89,0))/100)</f>
        <v>1.6996748204411647</v>
      </c>
      <c r="K42" s="269">
        <f>'IEPR Gas Prices Real'!K42*(INDEX('GDP Deflator'!$C$5:$C$89,MATCH('IEPR Gas Prices Nominal'!$B42,'GDP Deflator'!$B$5:$B$89,0))/100)</f>
        <v>7.6634473123092386</v>
      </c>
      <c r="L42" s="268">
        <f>'IEPR Gas Prices Real'!L42*(INDEX('GDP Deflator'!$C$5:$C$89,MATCH('IEPR Gas Prices Nominal'!$B42,'GDP Deflator'!$B$5:$B$89,0))/100)</f>
        <v>6.1752149796645801</v>
      </c>
      <c r="M42" s="269">
        <f>'IEPR Gas Prices Real'!M42*(INDEX('GDP Deflator'!$C$5:$C$89,MATCH('IEPR Gas Prices Nominal'!$B42,'GDP Deflator'!$B$5:$B$89,0))/100)</f>
        <v>0.80267838100879185</v>
      </c>
      <c r="N42" s="270">
        <f>'IEPR Gas Prices Real'!N42*(INDEX('GDP Deflator'!$C$5:$C$89,MATCH('IEPR Gas Prices Nominal'!$B42,'GDP Deflator'!$B$5:$B$89,0))/100)</f>
        <v>6.9778933606733711</v>
      </c>
      <c r="O42" s="1"/>
      <c r="P42" s="274">
        <f t="shared" si="0"/>
        <v>5.9385102613722198</v>
      </c>
      <c r="Q42" s="275">
        <f t="shared" si="7"/>
        <v>7.1157384113034894</v>
      </c>
      <c r="R42" s="171"/>
    </row>
    <row r="43" spans="1:18">
      <c r="A43" s="26"/>
      <c r="B43" s="94">
        <f t="shared" si="4"/>
        <v>2025</v>
      </c>
      <c r="C43" s="1">
        <f t="shared" si="5"/>
        <v>2</v>
      </c>
      <c r="D43" s="213">
        <v>45689</v>
      </c>
      <c r="E43" s="1" t="str">
        <f t="shared" si="6"/>
        <v>2-2025</v>
      </c>
      <c r="F43" s="268">
        <f>'IEPR Gas Prices Real'!F43*(INDEX('GDP Deflator'!$C$5:$C$89,MATCH('IEPR Gas Prices Nominal'!$B43,'GDP Deflator'!$B$5:$B$89,0))/100)</f>
        <v>5.5522516967038511</v>
      </c>
      <c r="G43" s="269">
        <f>'IEPR Gas Prices Real'!G43*(INDEX('GDP Deflator'!$C$5:$C$89,MATCH('IEPR Gas Prices Nominal'!$B43,'GDP Deflator'!$B$5:$B$89,0))/100)</f>
        <v>1.0293312483438501</v>
      </c>
      <c r="H43" s="270">
        <f>'IEPR Gas Prices Real'!H43*(INDEX('GDP Deflator'!$C$5:$C$89,MATCH('IEPR Gas Prices Nominal'!$B43,'GDP Deflator'!$B$5:$B$89,0))/100)</f>
        <v>6.5815829450477006</v>
      </c>
      <c r="I43" s="269">
        <f>'IEPR Gas Prices Real'!I43*(INDEX('GDP Deflator'!$C$5:$C$89,MATCH('IEPR Gas Prices Nominal'!$B43,'GDP Deflator'!$B$5:$B$89,0))/100)</f>
        <v>5.8331769990526565</v>
      </c>
      <c r="J43" s="269">
        <f>'IEPR Gas Prices Real'!J43*(INDEX('GDP Deflator'!$C$5:$C$89,MATCH('IEPR Gas Prices Nominal'!$B43,'GDP Deflator'!$B$5:$B$89,0))/100)</f>
        <v>1.6996748204411647</v>
      </c>
      <c r="K43" s="269">
        <f>'IEPR Gas Prices Real'!K43*(INDEX('GDP Deflator'!$C$5:$C$89,MATCH('IEPR Gas Prices Nominal'!$B43,'GDP Deflator'!$B$5:$B$89,0))/100)</f>
        <v>7.5328518194938212</v>
      </c>
      <c r="L43" s="268">
        <f>'IEPR Gas Prices Real'!L43*(INDEX('GDP Deflator'!$C$5:$C$89,MATCH('IEPR Gas Prices Nominal'!$B43,'GDP Deflator'!$B$5:$B$89,0))/100)</f>
        <v>6.0400460260805477</v>
      </c>
      <c r="M43" s="269">
        <f>'IEPR Gas Prices Real'!M43*(INDEX('GDP Deflator'!$C$5:$C$89,MATCH('IEPR Gas Prices Nominal'!$B43,'GDP Deflator'!$B$5:$B$89,0))/100)</f>
        <v>0.80267838100879185</v>
      </c>
      <c r="N43" s="270">
        <f>'IEPR Gas Prices Real'!N43*(INDEX('GDP Deflator'!$C$5:$C$89,MATCH('IEPR Gas Prices Nominal'!$B43,'GDP Deflator'!$B$5:$B$89,0))/100)</f>
        <v>6.8427244070893396</v>
      </c>
      <c r="O43" s="1"/>
      <c r="P43" s="274">
        <f t="shared" si="0"/>
        <v>5.8084915739456848</v>
      </c>
      <c r="Q43" s="275">
        <f t="shared" si="7"/>
        <v>6.9857197238769535</v>
      </c>
      <c r="R43" s="171"/>
    </row>
    <row r="44" spans="1:18">
      <c r="A44" s="26"/>
      <c r="B44" s="94">
        <f t="shared" si="4"/>
        <v>2025</v>
      </c>
      <c r="C44" s="1">
        <f t="shared" si="5"/>
        <v>3</v>
      </c>
      <c r="D44" s="213">
        <v>45717</v>
      </c>
      <c r="E44" s="1" t="str">
        <f t="shared" si="6"/>
        <v>3-2025</v>
      </c>
      <c r="F44" s="268">
        <f>'IEPR Gas Prices Real'!F44*(INDEX('GDP Deflator'!$C$5:$C$89,MATCH('IEPR Gas Prices Nominal'!$B44,'GDP Deflator'!$B$5:$B$89,0))/100)</f>
        <v>5.0971346944875027</v>
      </c>
      <c r="G44" s="269">
        <f>'IEPR Gas Prices Real'!G44*(INDEX('GDP Deflator'!$C$5:$C$89,MATCH('IEPR Gas Prices Nominal'!$B44,'GDP Deflator'!$B$5:$B$89,0))/100)</f>
        <v>1.0293312483438501</v>
      </c>
      <c r="H44" s="270">
        <f>'IEPR Gas Prices Real'!H44*(INDEX('GDP Deflator'!$C$5:$C$89,MATCH('IEPR Gas Prices Nominal'!$B44,'GDP Deflator'!$B$5:$B$89,0))/100)</f>
        <v>6.126465942831353</v>
      </c>
      <c r="I44" s="269">
        <f>'IEPR Gas Prices Real'!I44*(INDEX('GDP Deflator'!$C$5:$C$89,MATCH('IEPR Gas Prices Nominal'!$B44,'GDP Deflator'!$B$5:$B$89,0))/100)</f>
        <v>5.3550190104718851</v>
      </c>
      <c r="J44" s="269">
        <f>'IEPR Gas Prices Real'!J44*(INDEX('GDP Deflator'!$C$5:$C$89,MATCH('IEPR Gas Prices Nominal'!$B44,'GDP Deflator'!$B$5:$B$89,0))/100)</f>
        <v>1.6996748204411647</v>
      </c>
      <c r="K44" s="269">
        <f>'IEPR Gas Prices Real'!K44*(INDEX('GDP Deflator'!$C$5:$C$89,MATCH('IEPR Gas Prices Nominal'!$B44,'GDP Deflator'!$B$5:$B$89,0))/100)</f>
        <v>7.0546938309130498</v>
      </c>
      <c r="L44" s="268">
        <f>'IEPR Gas Prices Real'!L44*(INDEX('GDP Deflator'!$C$5:$C$89,MATCH('IEPR Gas Prices Nominal'!$B44,'GDP Deflator'!$B$5:$B$89,0))/100)</f>
        <v>5.5449826271690323</v>
      </c>
      <c r="M44" s="269">
        <f>'IEPR Gas Prices Real'!M44*(INDEX('GDP Deflator'!$C$5:$C$89,MATCH('IEPR Gas Prices Nominal'!$B44,'GDP Deflator'!$B$5:$B$89,0))/100)</f>
        <v>0.80267838100879185</v>
      </c>
      <c r="N44" s="270">
        <f>'IEPR Gas Prices Real'!N44*(INDEX('GDP Deflator'!$C$5:$C$89,MATCH('IEPR Gas Prices Nominal'!$B44,'GDP Deflator'!$B$5:$B$89,0))/100)</f>
        <v>6.3476610081778242</v>
      </c>
      <c r="O44" s="1"/>
      <c r="P44" s="274">
        <f t="shared" si="0"/>
        <v>5.3323787773761397</v>
      </c>
      <c r="Q44" s="275">
        <f t="shared" si="7"/>
        <v>6.5096069273074093</v>
      </c>
      <c r="R44" s="171"/>
    </row>
    <row r="45" spans="1:18">
      <c r="A45" s="26"/>
      <c r="B45" s="94">
        <f t="shared" si="4"/>
        <v>2025</v>
      </c>
      <c r="C45" s="1">
        <f t="shared" si="5"/>
        <v>4</v>
      </c>
      <c r="D45" s="213">
        <v>45748</v>
      </c>
      <c r="E45" s="1" t="str">
        <f t="shared" si="6"/>
        <v>4-2025</v>
      </c>
      <c r="F45" s="268">
        <f>'IEPR Gas Prices Real'!F45*(INDEX('GDP Deflator'!$C$5:$C$89,MATCH('IEPR Gas Prices Nominal'!$B45,'GDP Deflator'!$B$5:$B$89,0))/100)</f>
        <v>5.0105548711541843</v>
      </c>
      <c r="G45" s="269">
        <f>'IEPR Gas Prices Real'!G45*(INDEX('GDP Deflator'!$C$5:$C$89,MATCH('IEPR Gas Prices Nominal'!$B45,'GDP Deflator'!$B$5:$B$89,0))/100)</f>
        <v>1.0293312483438501</v>
      </c>
      <c r="H45" s="270">
        <f>'IEPR Gas Prices Real'!H45*(INDEX('GDP Deflator'!$C$5:$C$89,MATCH('IEPR Gas Prices Nominal'!$B45,'GDP Deflator'!$B$5:$B$89,0))/100)</f>
        <v>6.0398861194980338</v>
      </c>
      <c r="I45" s="269">
        <f>'IEPR Gas Prices Real'!I45*(INDEX('GDP Deflator'!$C$5:$C$89,MATCH('IEPR Gas Prices Nominal'!$B45,'GDP Deflator'!$B$5:$B$89,0))/100)</f>
        <v>5.264045406690431</v>
      </c>
      <c r="J45" s="269">
        <f>'IEPR Gas Prices Real'!J45*(INDEX('GDP Deflator'!$C$5:$C$89,MATCH('IEPR Gas Prices Nominal'!$B45,'GDP Deflator'!$B$5:$B$89,0))/100)</f>
        <v>1.6996748204411647</v>
      </c>
      <c r="K45" s="269">
        <f>'IEPR Gas Prices Real'!K45*(INDEX('GDP Deflator'!$C$5:$C$89,MATCH('IEPR Gas Prices Nominal'!$B45,'GDP Deflator'!$B$5:$B$89,0))/100)</f>
        <v>6.9637202271315957</v>
      </c>
      <c r="L45" s="268">
        <f>'IEPR Gas Prices Real'!L45*(INDEX('GDP Deflator'!$C$5:$C$89,MATCH('IEPR Gas Prices Nominal'!$B45,'GDP Deflator'!$B$5:$B$89,0))/100)</f>
        <v>5.4508330339724846</v>
      </c>
      <c r="M45" s="269">
        <f>'IEPR Gas Prices Real'!M45*(INDEX('GDP Deflator'!$C$5:$C$89,MATCH('IEPR Gas Prices Nominal'!$B45,'GDP Deflator'!$B$5:$B$89,0))/100)</f>
        <v>0.80267838100879185</v>
      </c>
      <c r="N45" s="270">
        <f>'IEPR Gas Prices Real'!N45*(INDEX('GDP Deflator'!$C$5:$C$89,MATCH('IEPR Gas Prices Nominal'!$B45,'GDP Deflator'!$B$5:$B$89,0))/100)</f>
        <v>6.2535114149812756</v>
      </c>
      <c r="O45" s="1"/>
      <c r="P45" s="274">
        <f t="shared" si="0"/>
        <v>5.2418111039390336</v>
      </c>
      <c r="Q45" s="275">
        <f t="shared" si="7"/>
        <v>6.4190392538703023</v>
      </c>
      <c r="R45" s="171"/>
    </row>
    <row r="46" spans="1:18">
      <c r="A46" s="26"/>
      <c r="B46" s="94">
        <f t="shared" si="4"/>
        <v>2025</v>
      </c>
      <c r="C46" s="1">
        <f t="shared" si="5"/>
        <v>5</v>
      </c>
      <c r="D46" s="213">
        <v>45778</v>
      </c>
      <c r="E46" s="1" t="str">
        <f t="shared" si="6"/>
        <v>5-2025</v>
      </c>
      <c r="F46" s="268">
        <f>'IEPR Gas Prices Real'!F46*(INDEX('GDP Deflator'!$C$5:$C$89,MATCH('IEPR Gas Prices Nominal'!$B46,'GDP Deflator'!$B$5:$B$89,0))/100)</f>
        <v>5.1850924296217142</v>
      </c>
      <c r="G46" s="269">
        <f>'IEPR Gas Prices Real'!G46*(INDEX('GDP Deflator'!$C$5:$C$89,MATCH('IEPR Gas Prices Nominal'!$B46,'GDP Deflator'!$B$5:$B$89,0))/100)</f>
        <v>1.0293312483438501</v>
      </c>
      <c r="H46" s="270">
        <f>'IEPR Gas Prices Real'!H46*(INDEX('GDP Deflator'!$C$5:$C$89,MATCH('IEPR Gas Prices Nominal'!$B46,'GDP Deflator'!$B$5:$B$89,0))/100)</f>
        <v>6.2144236779655655</v>
      </c>
      <c r="I46" s="269">
        <f>'IEPR Gas Prices Real'!I46*(INDEX('GDP Deflator'!$C$5:$C$89,MATCH('IEPR Gas Prices Nominal'!$B46,'GDP Deflator'!$B$5:$B$89,0))/100)</f>
        <v>5.4473992202603085</v>
      </c>
      <c r="J46" s="269">
        <f>'IEPR Gas Prices Real'!J46*(INDEX('GDP Deflator'!$C$5:$C$89,MATCH('IEPR Gas Prices Nominal'!$B46,'GDP Deflator'!$B$5:$B$89,0))/100)</f>
        <v>1.6996748204411647</v>
      </c>
      <c r="K46" s="269">
        <f>'IEPR Gas Prices Real'!K46*(INDEX('GDP Deflator'!$C$5:$C$89,MATCH('IEPR Gas Prices Nominal'!$B46,'GDP Deflator'!$B$5:$B$89,0))/100)</f>
        <v>7.1470740407014732</v>
      </c>
      <c r="L46" s="268">
        <f>'IEPR Gas Prices Real'!L46*(INDEX('GDP Deflator'!$C$5:$C$89,MATCH('IEPR Gas Prices Nominal'!$B46,'GDP Deflator'!$B$5:$B$89,0))/100)</f>
        <v>5.6407459005575422</v>
      </c>
      <c r="M46" s="269">
        <f>'IEPR Gas Prices Real'!M46*(INDEX('GDP Deflator'!$C$5:$C$89,MATCH('IEPR Gas Prices Nominal'!$B46,'GDP Deflator'!$B$5:$B$89,0))/100)</f>
        <v>0.80267838100879185</v>
      </c>
      <c r="N46" s="270">
        <f>'IEPR Gas Prices Real'!N46*(INDEX('GDP Deflator'!$C$5:$C$89,MATCH('IEPR Gas Prices Nominal'!$B46,'GDP Deflator'!$B$5:$B$89,0))/100)</f>
        <v>6.4434242815663341</v>
      </c>
      <c r="O46" s="1"/>
      <c r="P46" s="274">
        <f t="shared" si="0"/>
        <v>5.4244125168131889</v>
      </c>
      <c r="Q46" s="275">
        <f t="shared" si="7"/>
        <v>6.6016406667444576</v>
      </c>
      <c r="R46" s="171"/>
    </row>
    <row r="47" spans="1:18">
      <c r="A47" s="26"/>
      <c r="B47" s="94">
        <f t="shared" si="4"/>
        <v>2025</v>
      </c>
      <c r="C47" s="1">
        <f t="shared" si="5"/>
        <v>6</v>
      </c>
      <c r="D47" s="213">
        <v>45809</v>
      </c>
      <c r="E47" s="1" t="str">
        <f t="shared" si="6"/>
        <v>6-2025</v>
      </c>
      <c r="F47" s="268">
        <f>'IEPR Gas Prices Real'!F47*(INDEX('GDP Deflator'!$C$5:$C$89,MATCH('IEPR Gas Prices Nominal'!$B47,'GDP Deflator'!$B$5:$B$89,0))/100)</f>
        <v>5.3192979722170675</v>
      </c>
      <c r="G47" s="269">
        <f>'IEPR Gas Prices Real'!G47*(INDEX('GDP Deflator'!$C$5:$C$89,MATCH('IEPR Gas Prices Nominal'!$B47,'GDP Deflator'!$B$5:$B$89,0))/100)</f>
        <v>1.0293312483438501</v>
      </c>
      <c r="H47" s="270">
        <f>'IEPR Gas Prices Real'!H47*(INDEX('GDP Deflator'!$C$5:$C$89,MATCH('IEPR Gas Prices Nominal'!$B47,'GDP Deflator'!$B$5:$B$89,0))/100)</f>
        <v>6.3486292205609169</v>
      </c>
      <c r="I47" s="269">
        <f>'IEPR Gas Prices Real'!I47*(INDEX('GDP Deflator'!$C$5:$C$89,MATCH('IEPR Gas Prices Nominal'!$B47,'GDP Deflator'!$B$5:$B$89,0))/100)</f>
        <v>5.5883798522515038</v>
      </c>
      <c r="J47" s="269">
        <f>'IEPR Gas Prices Real'!J47*(INDEX('GDP Deflator'!$C$5:$C$89,MATCH('IEPR Gas Prices Nominal'!$B47,'GDP Deflator'!$B$5:$B$89,0))/100)</f>
        <v>1.6996748204411647</v>
      </c>
      <c r="K47" s="269">
        <f>'IEPR Gas Prices Real'!K47*(INDEX('GDP Deflator'!$C$5:$C$89,MATCH('IEPR Gas Prices Nominal'!$B47,'GDP Deflator'!$B$5:$B$89,0))/100)</f>
        <v>7.2880546726926685</v>
      </c>
      <c r="L47" s="268">
        <f>'IEPR Gas Prices Real'!L47*(INDEX('GDP Deflator'!$C$5:$C$89,MATCH('IEPR Gas Prices Nominal'!$B47,'GDP Deflator'!$B$5:$B$89,0))/100)</f>
        <v>5.7867847739693765</v>
      </c>
      <c r="M47" s="269">
        <f>'IEPR Gas Prices Real'!M47*(INDEX('GDP Deflator'!$C$5:$C$89,MATCH('IEPR Gas Prices Nominal'!$B47,'GDP Deflator'!$B$5:$B$89,0))/100)</f>
        <v>0.80267838100879185</v>
      </c>
      <c r="N47" s="270">
        <f>'IEPR Gas Prices Real'!N47*(INDEX('GDP Deflator'!$C$5:$C$89,MATCH('IEPR Gas Prices Nominal'!$B47,'GDP Deflator'!$B$5:$B$89,0))/100)</f>
        <v>6.5894631549781684</v>
      </c>
      <c r="O47" s="1"/>
      <c r="P47" s="274">
        <f t="shared" si="0"/>
        <v>5.5648208661459826</v>
      </c>
      <c r="Q47" s="275">
        <f t="shared" si="7"/>
        <v>6.7420490160772522</v>
      </c>
      <c r="R47" s="171"/>
    </row>
    <row r="48" spans="1:18">
      <c r="A48" s="26"/>
      <c r="B48" s="94">
        <f t="shared" si="4"/>
        <v>2025</v>
      </c>
      <c r="C48" s="1">
        <f t="shared" si="5"/>
        <v>7</v>
      </c>
      <c r="D48" s="213">
        <v>45839</v>
      </c>
      <c r="E48" s="1" t="str">
        <f t="shared" si="6"/>
        <v>7-2025</v>
      </c>
      <c r="F48" s="268">
        <f>'IEPR Gas Prices Real'!F48*(INDEX('GDP Deflator'!$C$5:$C$89,MATCH('IEPR Gas Prices Nominal'!$B48,'GDP Deflator'!$B$5:$B$89,0))/100)</f>
        <v>5.361660043489386</v>
      </c>
      <c r="G48" s="269">
        <f>'IEPR Gas Prices Real'!G48*(INDEX('GDP Deflator'!$C$5:$C$89,MATCH('IEPR Gas Prices Nominal'!$B48,'GDP Deflator'!$B$5:$B$89,0))/100)</f>
        <v>1.0293312483438501</v>
      </c>
      <c r="H48" s="270">
        <f>'IEPR Gas Prices Real'!H48*(INDEX('GDP Deflator'!$C$5:$C$89,MATCH('IEPR Gas Prices Nominal'!$B48,'GDP Deflator'!$B$5:$B$89,0))/100)</f>
        <v>6.3909912918332354</v>
      </c>
      <c r="I48" s="269">
        <f>'IEPR Gas Prices Real'!I48*(INDEX('GDP Deflator'!$C$5:$C$89,MATCH('IEPR Gas Prices Nominal'!$B48,'GDP Deflator'!$B$5:$B$89,0))/100)</f>
        <v>5.632870550026178</v>
      </c>
      <c r="J48" s="269">
        <f>'IEPR Gas Prices Real'!J48*(INDEX('GDP Deflator'!$C$5:$C$89,MATCH('IEPR Gas Prices Nominal'!$B48,'GDP Deflator'!$B$5:$B$89,0))/100)</f>
        <v>1.6996748204411647</v>
      </c>
      <c r="K48" s="269">
        <f>'IEPR Gas Prices Real'!K48*(INDEX('GDP Deflator'!$C$5:$C$89,MATCH('IEPR Gas Prices Nominal'!$B48,'GDP Deflator'!$B$5:$B$89,0))/100)</f>
        <v>7.3325453704673436</v>
      </c>
      <c r="L48" s="268">
        <f>'IEPR Gas Prices Real'!L48*(INDEX('GDP Deflator'!$C$5:$C$89,MATCH('IEPR Gas Prices Nominal'!$B48,'GDP Deflator'!$B$5:$B$89,0))/100)</f>
        <v>5.832909825136964</v>
      </c>
      <c r="M48" s="269">
        <f>'IEPR Gas Prices Real'!M48*(INDEX('GDP Deflator'!$C$5:$C$89,MATCH('IEPR Gas Prices Nominal'!$B48,'GDP Deflator'!$B$5:$B$89,0))/100)</f>
        <v>0.80267838100879185</v>
      </c>
      <c r="N48" s="270">
        <f>'IEPR Gas Prices Real'!N48*(INDEX('GDP Deflator'!$C$5:$C$89,MATCH('IEPR Gas Prices Nominal'!$B48,'GDP Deflator'!$B$5:$B$89,0))/100)</f>
        <v>6.6355882061457558</v>
      </c>
      <c r="O48" s="1"/>
      <c r="P48" s="274">
        <f t="shared" si="0"/>
        <v>5.6091468062175096</v>
      </c>
      <c r="Q48" s="275">
        <f t="shared" si="7"/>
        <v>6.7863749561487774</v>
      </c>
      <c r="R48" s="171"/>
    </row>
    <row r="49" spans="1:18">
      <c r="A49" s="26"/>
      <c r="B49" s="94">
        <f t="shared" si="4"/>
        <v>2025</v>
      </c>
      <c r="C49" s="1">
        <f t="shared" si="5"/>
        <v>8</v>
      </c>
      <c r="D49" s="213">
        <v>45870</v>
      </c>
      <c r="E49" s="1" t="str">
        <f t="shared" si="6"/>
        <v>8-2025</v>
      </c>
      <c r="F49" s="268">
        <f>'IEPR Gas Prices Real'!F49*(INDEX('GDP Deflator'!$C$5:$C$89,MATCH('IEPR Gas Prices Nominal'!$B49,'GDP Deflator'!$B$5:$B$89,0))/100)</f>
        <v>5.3204067133091986</v>
      </c>
      <c r="G49" s="269">
        <f>'IEPR Gas Prices Real'!G49*(INDEX('GDP Deflator'!$C$5:$C$89,MATCH('IEPR Gas Prices Nominal'!$B49,'GDP Deflator'!$B$5:$B$89,0))/100)</f>
        <v>1.0293312483438501</v>
      </c>
      <c r="H49" s="270">
        <f>'IEPR Gas Prices Real'!H49*(INDEX('GDP Deflator'!$C$5:$C$89,MATCH('IEPR Gas Prices Nominal'!$B49,'GDP Deflator'!$B$5:$B$89,0))/100)</f>
        <v>6.349737961653048</v>
      </c>
      <c r="I49" s="269">
        <f>'IEPR Gas Prices Real'!I49*(INDEX('GDP Deflator'!$C$5:$C$89,MATCH('IEPR Gas Prices Nominal'!$B49,'GDP Deflator'!$B$5:$B$89,0))/100)</f>
        <v>5.5895162993758953</v>
      </c>
      <c r="J49" s="269">
        <f>'IEPR Gas Prices Real'!J49*(INDEX('GDP Deflator'!$C$5:$C$89,MATCH('IEPR Gas Prices Nominal'!$B49,'GDP Deflator'!$B$5:$B$89,0))/100)</f>
        <v>1.6996748204411647</v>
      </c>
      <c r="K49" s="269">
        <f>'IEPR Gas Prices Real'!K49*(INDEX('GDP Deflator'!$C$5:$C$89,MATCH('IEPR Gas Prices Nominal'!$B49,'GDP Deflator'!$B$5:$B$89,0))/100)</f>
        <v>7.28919111981706</v>
      </c>
      <c r="L49" s="268">
        <f>'IEPR Gas Prices Real'!L49*(INDEX('GDP Deflator'!$C$5:$C$89,MATCH('IEPR Gas Prices Nominal'!$B49,'GDP Deflator'!$B$5:$B$89,0))/100)</f>
        <v>5.7880703161807121</v>
      </c>
      <c r="M49" s="269">
        <f>'IEPR Gas Prices Real'!M49*(INDEX('GDP Deflator'!$C$5:$C$89,MATCH('IEPR Gas Prices Nominal'!$B49,'GDP Deflator'!$B$5:$B$89,0))/100)</f>
        <v>0.80267838100879185</v>
      </c>
      <c r="N49" s="270">
        <f>'IEPR Gas Prices Real'!N49*(INDEX('GDP Deflator'!$C$5:$C$89,MATCH('IEPR Gas Prices Nominal'!$B49,'GDP Deflator'!$B$5:$B$89,0))/100)</f>
        <v>6.5907486971895031</v>
      </c>
      <c r="O49" s="1"/>
      <c r="P49" s="274">
        <f t="shared" si="0"/>
        <v>5.5659977762886017</v>
      </c>
      <c r="Q49" s="275">
        <f t="shared" si="7"/>
        <v>6.7432259262198704</v>
      </c>
      <c r="R49" s="171"/>
    </row>
    <row r="50" spans="1:18">
      <c r="A50" s="26"/>
      <c r="B50" s="94">
        <f t="shared" si="4"/>
        <v>2025</v>
      </c>
      <c r="C50" s="1">
        <f t="shared" si="5"/>
        <v>9</v>
      </c>
      <c r="D50" s="213">
        <v>45901</v>
      </c>
      <c r="E50" s="1" t="str">
        <f t="shared" si="6"/>
        <v>9-2025</v>
      </c>
      <c r="F50" s="268">
        <f>'IEPR Gas Prices Real'!F50*(INDEX('GDP Deflator'!$C$5:$C$89,MATCH('IEPR Gas Prices Nominal'!$B50,'GDP Deflator'!$B$5:$B$89,0))/100)</f>
        <v>5.3954057984032699</v>
      </c>
      <c r="G50" s="269">
        <f>'IEPR Gas Prices Real'!G50*(INDEX('GDP Deflator'!$C$5:$C$89,MATCH('IEPR Gas Prices Nominal'!$B50,'GDP Deflator'!$B$5:$B$89,0))/100)</f>
        <v>1.0293312483438501</v>
      </c>
      <c r="H50" s="270">
        <f>'IEPR Gas Prices Real'!H50*(INDEX('GDP Deflator'!$C$5:$C$89,MATCH('IEPR Gas Prices Nominal'!$B50,'GDP Deflator'!$B$5:$B$89,0))/100)</f>
        <v>6.4247370467471203</v>
      </c>
      <c r="I50" s="269">
        <f>'IEPR Gas Prices Real'!I50*(INDEX('GDP Deflator'!$C$5:$C$89,MATCH('IEPR Gas Prices Nominal'!$B50,'GDP Deflator'!$B$5:$B$89,0))/100)</f>
        <v>5.6682944954319661</v>
      </c>
      <c r="J50" s="269">
        <f>'IEPR Gas Prices Real'!J50*(INDEX('GDP Deflator'!$C$5:$C$89,MATCH('IEPR Gas Prices Nominal'!$B50,'GDP Deflator'!$B$5:$B$89,0))/100)</f>
        <v>1.6996748204411647</v>
      </c>
      <c r="K50" s="269">
        <f>'IEPR Gas Prices Real'!K50*(INDEX('GDP Deflator'!$C$5:$C$89,MATCH('IEPR Gas Prices Nominal'!$B50,'GDP Deflator'!$B$5:$B$89,0))/100)</f>
        <v>7.3679693158731308</v>
      </c>
      <c r="L50" s="268">
        <f>'IEPR Gas Prices Real'!L50*(INDEX('GDP Deflator'!$C$5:$C$89,MATCH('IEPR Gas Prices Nominal'!$B50,'GDP Deflator'!$B$5:$B$89,0))/100)</f>
        <v>5.8697020591980644</v>
      </c>
      <c r="M50" s="269">
        <f>'IEPR Gas Prices Real'!M50*(INDEX('GDP Deflator'!$C$5:$C$89,MATCH('IEPR Gas Prices Nominal'!$B50,'GDP Deflator'!$B$5:$B$89,0))/100)</f>
        <v>0.80267838100879185</v>
      </c>
      <c r="N50" s="270">
        <f>'IEPR Gas Prices Real'!N50*(INDEX('GDP Deflator'!$C$5:$C$89,MATCH('IEPR Gas Prices Nominal'!$B50,'GDP Deflator'!$B$5:$B$89,0))/100)</f>
        <v>6.6723804402068554</v>
      </c>
      <c r="O50" s="1"/>
      <c r="P50" s="274">
        <f t="shared" si="0"/>
        <v>5.6444674510111001</v>
      </c>
      <c r="Q50" s="275">
        <f t="shared" si="7"/>
        <v>6.8216956009423688</v>
      </c>
      <c r="R50" s="171"/>
    </row>
    <row r="51" spans="1:18">
      <c r="A51" s="26"/>
      <c r="B51" s="94">
        <f t="shared" si="4"/>
        <v>2025</v>
      </c>
      <c r="C51" s="1">
        <f t="shared" si="5"/>
        <v>10</v>
      </c>
      <c r="D51" s="213">
        <v>45931</v>
      </c>
      <c r="E51" s="1" t="str">
        <f t="shared" si="6"/>
        <v>10-2025</v>
      </c>
      <c r="F51" s="268">
        <f>'IEPR Gas Prices Real'!F51*(INDEX('GDP Deflator'!$C$5:$C$89,MATCH('IEPR Gas Prices Nominal'!$B51,'GDP Deflator'!$B$5:$B$89,0))/100)</f>
        <v>5.3644767280385519</v>
      </c>
      <c r="G51" s="269">
        <f>'IEPR Gas Prices Real'!G51*(INDEX('GDP Deflator'!$C$5:$C$89,MATCH('IEPR Gas Prices Nominal'!$B51,'GDP Deflator'!$B$5:$B$89,0))/100)</f>
        <v>1.0293312483438501</v>
      </c>
      <c r="H51" s="270">
        <f>'IEPR Gas Prices Real'!H51*(INDEX('GDP Deflator'!$C$5:$C$89,MATCH('IEPR Gas Prices Nominal'!$B51,'GDP Deflator'!$B$5:$B$89,0))/100)</f>
        <v>6.3938079763824014</v>
      </c>
      <c r="I51" s="269">
        <f>'IEPR Gas Prices Real'!I51*(INDEX('GDP Deflator'!$C$5:$C$89,MATCH('IEPR Gas Prices Nominal'!$B51,'GDP Deflator'!$B$5:$B$89,0))/100)</f>
        <v>5.6357867866028597</v>
      </c>
      <c r="J51" s="269">
        <f>'IEPR Gas Prices Real'!J51*(INDEX('GDP Deflator'!$C$5:$C$89,MATCH('IEPR Gas Prices Nominal'!$B51,'GDP Deflator'!$B$5:$B$89,0))/100)</f>
        <v>1.6996748204411647</v>
      </c>
      <c r="K51" s="269">
        <f>'IEPR Gas Prices Real'!K51*(INDEX('GDP Deflator'!$C$5:$C$89,MATCH('IEPR Gas Prices Nominal'!$B51,'GDP Deflator'!$B$5:$B$89,0))/100)</f>
        <v>7.3354616070440253</v>
      </c>
      <c r="L51" s="268">
        <f>'IEPR Gas Prices Real'!L51*(INDEX('GDP Deflator'!$C$5:$C$89,MATCH('IEPR Gas Prices Nominal'!$B51,'GDP Deflator'!$B$5:$B$89,0))/100)</f>
        <v>5.8360941043972039</v>
      </c>
      <c r="M51" s="269">
        <f>'IEPR Gas Prices Real'!M51*(INDEX('GDP Deflator'!$C$5:$C$89,MATCH('IEPR Gas Prices Nominal'!$B51,'GDP Deflator'!$B$5:$B$89,0))/100)</f>
        <v>0.80267838100879185</v>
      </c>
      <c r="N51" s="270">
        <f>'IEPR Gas Prices Real'!N51*(INDEX('GDP Deflator'!$C$5:$C$89,MATCH('IEPR Gas Prices Nominal'!$B51,'GDP Deflator'!$B$5:$B$89,0))/100)</f>
        <v>6.6387724854059957</v>
      </c>
      <c r="O51" s="1"/>
      <c r="P51" s="274">
        <f t="shared" si="0"/>
        <v>5.6121192063462049</v>
      </c>
      <c r="Q51" s="275">
        <f t="shared" si="7"/>
        <v>6.7893473562774744</v>
      </c>
      <c r="R51" s="171"/>
    </row>
    <row r="52" spans="1:18">
      <c r="A52" s="26"/>
      <c r="B52" s="94">
        <f t="shared" si="4"/>
        <v>2025</v>
      </c>
      <c r="C52" s="1">
        <f t="shared" si="5"/>
        <v>11</v>
      </c>
      <c r="D52" s="213">
        <v>45962</v>
      </c>
      <c r="E52" s="1" t="str">
        <f t="shared" si="6"/>
        <v>11-2025</v>
      </c>
      <c r="F52" s="268">
        <f>'IEPR Gas Prices Real'!F52*(INDEX('GDP Deflator'!$C$5:$C$89,MATCH('IEPR Gas Prices Nominal'!$B52,'GDP Deflator'!$B$5:$B$89,0))/100)</f>
        <v>5.6297958924428908</v>
      </c>
      <c r="G52" s="269">
        <f>'IEPR Gas Prices Real'!G52*(INDEX('GDP Deflator'!$C$5:$C$89,MATCH('IEPR Gas Prices Nominal'!$B52,'GDP Deflator'!$B$5:$B$89,0))/100)</f>
        <v>1.0293312483438501</v>
      </c>
      <c r="H52" s="270">
        <f>'IEPR Gas Prices Real'!H52*(INDEX('GDP Deflator'!$C$5:$C$89,MATCH('IEPR Gas Prices Nominal'!$B52,'GDP Deflator'!$B$5:$B$89,0))/100)</f>
        <v>6.6591271407867412</v>
      </c>
      <c r="I52" s="269">
        <f>'IEPR Gas Prices Real'!I52*(INDEX('GDP Deflator'!$C$5:$C$89,MATCH('IEPR Gas Prices Nominal'!$B52,'GDP Deflator'!$B$5:$B$89,0))/100)</f>
        <v>5.9145095324877817</v>
      </c>
      <c r="J52" s="269">
        <f>'IEPR Gas Prices Real'!J52*(INDEX('GDP Deflator'!$C$5:$C$89,MATCH('IEPR Gas Prices Nominal'!$B52,'GDP Deflator'!$B$5:$B$89,0))/100)</f>
        <v>1.6996748204411647</v>
      </c>
      <c r="K52" s="269">
        <f>'IEPR Gas Prices Real'!K52*(INDEX('GDP Deflator'!$C$5:$C$89,MATCH('IEPR Gas Prices Nominal'!$B52,'GDP Deflator'!$B$5:$B$89,0))/100)</f>
        <v>7.6141843529289472</v>
      </c>
      <c r="L52" s="268">
        <f>'IEPR Gas Prices Real'!L52*(INDEX('GDP Deflator'!$C$5:$C$89,MATCH('IEPR Gas Prices Nominal'!$B52,'GDP Deflator'!$B$5:$B$89,0))/100)</f>
        <v>6.1247807642179195</v>
      </c>
      <c r="M52" s="269">
        <f>'IEPR Gas Prices Real'!M52*(INDEX('GDP Deflator'!$C$5:$C$89,MATCH('IEPR Gas Prices Nominal'!$B52,'GDP Deflator'!$B$5:$B$89,0))/100)</f>
        <v>0.80267838100879185</v>
      </c>
      <c r="N52" s="270">
        <f>'IEPR Gas Prices Real'!N52*(INDEX('GDP Deflator'!$C$5:$C$89,MATCH('IEPR Gas Prices Nominal'!$B52,'GDP Deflator'!$B$5:$B$89,0))/100)</f>
        <v>6.9274591452267114</v>
      </c>
      <c r="O52" s="1"/>
      <c r="P52" s="274">
        <f t="shared" si="0"/>
        <v>5.8896953963828649</v>
      </c>
      <c r="Q52" s="275">
        <f t="shared" si="7"/>
        <v>7.0669235463141336</v>
      </c>
      <c r="R52" s="171"/>
    </row>
    <row r="53" spans="1:18">
      <c r="A53" s="26"/>
      <c r="B53" s="94">
        <f t="shared" si="4"/>
        <v>2025</v>
      </c>
      <c r="C53" s="1">
        <f t="shared" si="5"/>
        <v>12</v>
      </c>
      <c r="D53" s="213">
        <v>45992</v>
      </c>
      <c r="E53" s="1" t="str">
        <f t="shared" si="6"/>
        <v>12-2025</v>
      </c>
      <c r="F53" s="268">
        <f>'IEPR Gas Prices Real'!F53*(INDEX('GDP Deflator'!$C$5:$C$89,MATCH('IEPR Gas Prices Nominal'!$B53,'GDP Deflator'!$B$5:$B$89,0))/100)</f>
        <v>5.6752504030613151</v>
      </c>
      <c r="G53" s="269">
        <f>'IEPR Gas Prices Real'!G53*(INDEX('GDP Deflator'!$C$5:$C$89,MATCH('IEPR Gas Prices Nominal'!$B53,'GDP Deflator'!$B$5:$B$89,0))/100)</f>
        <v>1.0293312483438501</v>
      </c>
      <c r="H53" s="270">
        <f>'IEPR Gas Prices Real'!H53*(INDEX('GDP Deflator'!$C$5:$C$89,MATCH('IEPR Gas Prices Nominal'!$B53,'GDP Deflator'!$B$5:$B$89,0))/100)</f>
        <v>6.7045816514051646</v>
      </c>
      <c r="I53" s="269">
        <f>'IEPR Gas Prices Real'!I53*(INDEX('GDP Deflator'!$C$5:$C$89,MATCH('IEPR Gas Prices Nominal'!$B53,'GDP Deflator'!$B$5:$B$89,0))/100)</f>
        <v>5.9622476593361329</v>
      </c>
      <c r="J53" s="269">
        <f>'IEPR Gas Prices Real'!J53*(INDEX('GDP Deflator'!$C$5:$C$89,MATCH('IEPR Gas Prices Nominal'!$B53,'GDP Deflator'!$B$5:$B$89,0))/100)</f>
        <v>1.6996748204411647</v>
      </c>
      <c r="K53" s="269">
        <f>'IEPR Gas Prices Real'!K53*(INDEX('GDP Deflator'!$C$5:$C$89,MATCH('IEPR Gas Prices Nominal'!$B53,'GDP Deflator'!$B$5:$B$89,0))/100)</f>
        <v>7.6619224797772985</v>
      </c>
      <c r="L53" s="268">
        <f>'IEPR Gas Prices Real'!L53*(INDEX('GDP Deflator'!$C$5:$C$89,MATCH('IEPR Gas Prices Nominal'!$B53,'GDP Deflator'!$B$5:$B$89,0))/100)</f>
        <v>6.1742740726480143</v>
      </c>
      <c r="M53" s="269">
        <f>'IEPR Gas Prices Real'!M53*(INDEX('GDP Deflator'!$C$5:$C$89,MATCH('IEPR Gas Prices Nominal'!$B53,'GDP Deflator'!$B$5:$B$89,0))/100)</f>
        <v>0.80267838100879185</v>
      </c>
      <c r="N53" s="270">
        <f>'IEPR Gas Prices Real'!N53*(INDEX('GDP Deflator'!$C$5:$C$89,MATCH('IEPR Gas Prices Nominal'!$B53,'GDP Deflator'!$B$5:$B$89,0))/100)</f>
        <v>6.9769524536568062</v>
      </c>
      <c r="O53" s="1"/>
      <c r="P53" s="274">
        <f t="shared" si="0"/>
        <v>5.9372573783484874</v>
      </c>
      <c r="Q53" s="275">
        <f t="shared" si="7"/>
        <v>7.114485528279757</v>
      </c>
      <c r="R53" s="171"/>
    </row>
    <row r="54" spans="1:18">
      <c r="A54" s="26"/>
      <c r="B54" s="94">
        <f t="shared" si="4"/>
        <v>2026</v>
      </c>
      <c r="C54" s="1">
        <f t="shared" si="5"/>
        <v>1</v>
      </c>
      <c r="D54" s="213">
        <v>46023</v>
      </c>
      <c r="E54" s="1" t="str">
        <f t="shared" si="6"/>
        <v>1-2026</v>
      </c>
      <c r="F54" s="268">
        <f>'IEPR Gas Prices Real'!F54*(INDEX('GDP Deflator'!$C$5:$C$89,MATCH('IEPR Gas Prices Nominal'!$B54,'GDP Deflator'!$B$5:$B$89,0))/100)</f>
        <v>5.8065769743799933</v>
      </c>
      <c r="G54" s="269">
        <f>'IEPR Gas Prices Real'!G54*(INDEX('GDP Deflator'!$C$5:$C$89,MATCH('IEPR Gas Prices Nominal'!$B54,'GDP Deflator'!$B$5:$B$89,0))/100)</f>
        <v>1.0952467402850963</v>
      </c>
      <c r="H54" s="270">
        <f>'IEPR Gas Prices Real'!H54*(INDEX('GDP Deflator'!$C$5:$C$89,MATCH('IEPR Gas Prices Nominal'!$B54,'GDP Deflator'!$B$5:$B$89,0))/100)</f>
        <v>6.90182371466509</v>
      </c>
      <c r="I54" s="269">
        <f>'IEPR Gas Prices Real'!I54*(INDEX('GDP Deflator'!$C$5:$C$89,MATCH('IEPR Gas Prices Nominal'!$B54,'GDP Deflator'!$B$5:$B$89,0))/100)</f>
        <v>6.100167211929965</v>
      </c>
      <c r="J54" s="269">
        <f>'IEPR Gas Prices Real'!J54*(INDEX('GDP Deflator'!$C$5:$C$89,MATCH('IEPR Gas Prices Nominal'!$B54,'GDP Deflator'!$B$5:$B$89,0))/100)</f>
        <v>1.8085172383797896</v>
      </c>
      <c r="K54" s="269">
        <f>'IEPR Gas Prices Real'!K54*(INDEX('GDP Deflator'!$C$5:$C$89,MATCH('IEPR Gas Prices Nominal'!$B54,'GDP Deflator'!$B$5:$B$89,0))/100)</f>
        <v>7.9086844503097549</v>
      </c>
      <c r="L54" s="268">
        <f>'IEPR Gas Prices Real'!L54*(INDEX('GDP Deflator'!$C$5:$C$89,MATCH('IEPR Gas Prices Nominal'!$B54,'GDP Deflator'!$B$5:$B$89,0))/100)</f>
        <v>6.3171534716885418</v>
      </c>
      <c r="M54" s="269">
        <f>'IEPR Gas Prices Real'!M54*(INDEX('GDP Deflator'!$C$5:$C$89,MATCH('IEPR Gas Prices Nominal'!$B54,'GDP Deflator'!$B$5:$B$89,0))/100)</f>
        <v>0.85407965775029315</v>
      </c>
      <c r="N54" s="270">
        <f>'IEPR Gas Prices Real'!N54*(INDEX('GDP Deflator'!$C$5:$C$89,MATCH('IEPR Gas Prices Nominal'!$B54,'GDP Deflator'!$B$5:$B$89,0))/100)</f>
        <v>7.1712331294388347</v>
      </c>
      <c r="O54" s="1"/>
      <c r="P54" s="274">
        <f t="shared" si="0"/>
        <v>6.0746325526661664</v>
      </c>
      <c r="Q54" s="275">
        <f t="shared" si="7"/>
        <v>7.3272470981378932</v>
      </c>
      <c r="R54" s="171"/>
    </row>
    <row r="55" spans="1:18">
      <c r="A55" s="26"/>
      <c r="B55" s="94">
        <f t="shared" si="4"/>
        <v>2026</v>
      </c>
      <c r="C55" s="1">
        <f t="shared" si="5"/>
        <v>2</v>
      </c>
      <c r="D55" s="213">
        <v>46054</v>
      </c>
      <c r="E55" s="1" t="str">
        <f t="shared" si="6"/>
        <v>2-2026</v>
      </c>
      <c r="F55" s="268">
        <f>'IEPR Gas Prices Real'!F55*(INDEX('GDP Deflator'!$C$5:$C$89,MATCH('IEPR Gas Prices Nominal'!$B55,'GDP Deflator'!$B$5:$B$89,0))/100)</f>
        <v>5.6790885933507971</v>
      </c>
      <c r="G55" s="269">
        <f>'IEPR Gas Prices Real'!G55*(INDEX('GDP Deflator'!$C$5:$C$89,MATCH('IEPR Gas Prices Nominal'!$B55,'GDP Deflator'!$B$5:$B$89,0))/100)</f>
        <v>1.0952467402850963</v>
      </c>
      <c r="H55" s="270">
        <f>'IEPR Gas Prices Real'!H55*(INDEX('GDP Deflator'!$C$5:$C$89,MATCH('IEPR Gas Prices Nominal'!$B55,'GDP Deflator'!$B$5:$B$89,0))/100)</f>
        <v>6.7743353336358938</v>
      </c>
      <c r="I55" s="269">
        <f>'IEPR Gas Prices Real'!I55*(INDEX('GDP Deflator'!$C$5:$C$89,MATCH('IEPR Gas Prices Nominal'!$B55,'GDP Deflator'!$B$5:$B$89,0))/100)</f>
        <v>5.9661856568155738</v>
      </c>
      <c r="J55" s="269">
        <f>'IEPR Gas Prices Real'!J55*(INDEX('GDP Deflator'!$C$5:$C$89,MATCH('IEPR Gas Prices Nominal'!$B55,'GDP Deflator'!$B$5:$B$89,0))/100)</f>
        <v>1.8085172383797896</v>
      </c>
      <c r="K55" s="269">
        <f>'IEPR Gas Prices Real'!K55*(INDEX('GDP Deflator'!$C$5:$C$89,MATCH('IEPR Gas Prices Nominal'!$B55,'GDP Deflator'!$B$5:$B$89,0))/100)</f>
        <v>7.7747028951953636</v>
      </c>
      <c r="L55" s="268">
        <f>'IEPR Gas Prices Real'!L55*(INDEX('GDP Deflator'!$C$5:$C$89,MATCH('IEPR Gas Prices Nominal'!$B55,'GDP Deflator'!$B$5:$B$89,0))/100)</f>
        <v>6.1784601373992514</v>
      </c>
      <c r="M55" s="269">
        <f>'IEPR Gas Prices Real'!M55*(INDEX('GDP Deflator'!$C$5:$C$89,MATCH('IEPR Gas Prices Nominal'!$B55,'GDP Deflator'!$B$5:$B$89,0))/100)</f>
        <v>0.85407965775029315</v>
      </c>
      <c r="N55" s="270">
        <f>'IEPR Gas Prices Real'!N55*(INDEX('GDP Deflator'!$C$5:$C$89,MATCH('IEPR Gas Prices Nominal'!$B55,'GDP Deflator'!$B$5:$B$89,0))/100)</f>
        <v>7.0325397951495443</v>
      </c>
      <c r="O55" s="1"/>
      <c r="P55" s="274">
        <f t="shared" si="0"/>
        <v>5.9412447958552077</v>
      </c>
      <c r="Q55" s="275">
        <f t="shared" si="7"/>
        <v>7.1938593413269345</v>
      </c>
      <c r="R55" s="171"/>
    </row>
    <row r="56" spans="1:18">
      <c r="A56" s="26"/>
      <c r="B56" s="94">
        <f t="shared" si="4"/>
        <v>2026</v>
      </c>
      <c r="C56" s="1">
        <f t="shared" si="5"/>
        <v>3</v>
      </c>
      <c r="D56" s="213">
        <v>46082</v>
      </c>
      <c r="E56" s="1" t="str">
        <f t="shared" si="6"/>
        <v>3-2026</v>
      </c>
      <c r="F56" s="268">
        <f>'IEPR Gas Prices Real'!F56*(INDEX('GDP Deflator'!$C$5:$C$89,MATCH('IEPR Gas Prices Nominal'!$B56,'GDP Deflator'!$B$5:$B$89,0))/100)</f>
        <v>5.2132538504273311</v>
      </c>
      <c r="G56" s="269">
        <f>'IEPR Gas Prices Real'!G56*(INDEX('GDP Deflator'!$C$5:$C$89,MATCH('IEPR Gas Prices Nominal'!$B56,'GDP Deflator'!$B$5:$B$89,0))/100)</f>
        <v>1.0952467402850963</v>
      </c>
      <c r="H56" s="270">
        <f>'IEPR Gas Prices Real'!H56*(INDEX('GDP Deflator'!$C$5:$C$89,MATCH('IEPR Gas Prices Nominal'!$B56,'GDP Deflator'!$B$5:$B$89,0))/100)</f>
        <v>6.3085005907124279</v>
      </c>
      <c r="I56" s="269">
        <f>'IEPR Gas Prices Real'!I56*(INDEX('GDP Deflator'!$C$5:$C$89,MATCH('IEPR Gas Prices Nominal'!$B56,'GDP Deflator'!$B$5:$B$89,0))/100)</f>
        <v>5.476758110694214</v>
      </c>
      <c r="J56" s="269">
        <f>'IEPR Gas Prices Real'!J56*(INDEX('GDP Deflator'!$C$5:$C$89,MATCH('IEPR Gas Prices Nominal'!$B56,'GDP Deflator'!$B$5:$B$89,0))/100)</f>
        <v>1.8085172383797896</v>
      </c>
      <c r="K56" s="269">
        <f>'IEPR Gas Prices Real'!K56*(INDEX('GDP Deflator'!$C$5:$C$89,MATCH('IEPR Gas Prices Nominal'!$B56,'GDP Deflator'!$B$5:$B$89,0))/100)</f>
        <v>7.2852753490740039</v>
      </c>
      <c r="L56" s="268">
        <f>'IEPR Gas Prices Real'!L56*(INDEX('GDP Deflator'!$C$5:$C$89,MATCH('IEPR Gas Prices Nominal'!$B56,'GDP Deflator'!$B$5:$B$89,0))/100)</f>
        <v>5.6716685507626003</v>
      </c>
      <c r="M56" s="269">
        <f>'IEPR Gas Prices Real'!M56*(INDEX('GDP Deflator'!$C$5:$C$89,MATCH('IEPR Gas Prices Nominal'!$B56,'GDP Deflator'!$B$5:$B$89,0))/100)</f>
        <v>0.85407965775029315</v>
      </c>
      <c r="N56" s="270">
        <f>'IEPR Gas Prices Real'!N56*(INDEX('GDP Deflator'!$C$5:$C$89,MATCH('IEPR Gas Prices Nominal'!$B56,'GDP Deflator'!$B$5:$B$89,0))/100)</f>
        <v>6.5257482085128933</v>
      </c>
      <c r="O56" s="1"/>
      <c r="P56" s="274">
        <f t="shared" si="0"/>
        <v>5.4538935039613818</v>
      </c>
      <c r="Q56" s="275">
        <f t="shared" si="7"/>
        <v>6.7065080494331086</v>
      </c>
      <c r="R56" s="171"/>
    </row>
    <row r="57" spans="1:18">
      <c r="A57" s="26"/>
      <c r="B57" s="94">
        <f t="shared" si="4"/>
        <v>2026</v>
      </c>
      <c r="C57" s="1">
        <f t="shared" si="5"/>
        <v>4</v>
      </c>
      <c r="D57" s="213">
        <v>46113</v>
      </c>
      <c r="E57" s="1" t="str">
        <f t="shared" si="6"/>
        <v>4-2026</v>
      </c>
      <c r="F57" s="268">
        <f>'IEPR Gas Prices Real'!F57*(INDEX('GDP Deflator'!$C$5:$C$89,MATCH('IEPR Gas Prices Nominal'!$B57,'GDP Deflator'!$B$5:$B$89,0))/100)</f>
        <v>5.1243861290558899</v>
      </c>
      <c r="G57" s="269">
        <f>'IEPR Gas Prices Real'!G57*(INDEX('GDP Deflator'!$C$5:$C$89,MATCH('IEPR Gas Prices Nominal'!$B57,'GDP Deflator'!$B$5:$B$89,0))/100)</f>
        <v>1.0952467402850963</v>
      </c>
      <c r="H57" s="270">
        <f>'IEPR Gas Prices Real'!H57*(INDEX('GDP Deflator'!$C$5:$C$89,MATCH('IEPR Gas Prices Nominal'!$B57,'GDP Deflator'!$B$5:$B$89,0))/100)</f>
        <v>6.2196328693409857</v>
      </c>
      <c r="I57" s="269">
        <f>'IEPR Gas Prices Real'!I57*(INDEX('GDP Deflator'!$C$5:$C$89,MATCH('IEPR Gas Prices Nominal'!$B57,'GDP Deflator'!$B$5:$B$89,0))/100)</f>
        <v>5.383356008782088</v>
      </c>
      <c r="J57" s="269">
        <f>'IEPR Gas Prices Real'!J57*(INDEX('GDP Deflator'!$C$5:$C$89,MATCH('IEPR Gas Prices Nominal'!$B57,'GDP Deflator'!$B$5:$B$89,0))/100)</f>
        <v>1.8085172383797896</v>
      </c>
      <c r="K57" s="269">
        <f>'IEPR Gas Prices Real'!K57*(INDEX('GDP Deflator'!$C$5:$C$89,MATCH('IEPR Gas Prices Nominal'!$B57,'GDP Deflator'!$B$5:$B$89,0))/100)</f>
        <v>7.1918732471618778</v>
      </c>
      <c r="L57" s="268">
        <f>'IEPR Gas Prices Real'!L57*(INDEX('GDP Deflator'!$C$5:$C$89,MATCH('IEPR Gas Prices Nominal'!$B57,'GDP Deflator'!$B$5:$B$89,0))/100)</f>
        <v>5.5749911503118996</v>
      </c>
      <c r="M57" s="269">
        <f>'IEPR Gas Prices Real'!M57*(INDEX('GDP Deflator'!$C$5:$C$89,MATCH('IEPR Gas Prices Nominal'!$B57,'GDP Deflator'!$B$5:$B$89,0))/100)</f>
        <v>0.85407965775029315</v>
      </c>
      <c r="N57" s="270">
        <f>'IEPR Gas Prices Real'!N57*(INDEX('GDP Deflator'!$C$5:$C$89,MATCH('IEPR Gas Prices Nominal'!$B57,'GDP Deflator'!$B$5:$B$89,0))/100)</f>
        <v>6.4290708080621926</v>
      </c>
      <c r="O57" s="1"/>
      <c r="P57" s="274">
        <f t="shared" si="0"/>
        <v>5.3609110960499597</v>
      </c>
      <c r="Q57" s="275">
        <f t="shared" si="7"/>
        <v>6.6135256415216856</v>
      </c>
      <c r="R57" s="171"/>
    </row>
    <row r="58" spans="1:18">
      <c r="A58" s="26"/>
      <c r="B58" s="94">
        <f t="shared" si="4"/>
        <v>2026</v>
      </c>
      <c r="C58" s="1">
        <f t="shared" si="5"/>
        <v>5</v>
      </c>
      <c r="D58" s="213">
        <v>46143</v>
      </c>
      <c r="E58" s="1" t="str">
        <f t="shared" si="6"/>
        <v>5-2026</v>
      </c>
      <c r="F58" s="268">
        <f>'IEPR Gas Prices Real'!F58*(INDEX('GDP Deflator'!$C$5:$C$89,MATCH('IEPR Gas Prices Nominal'!$B58,'GDP Deflator'!$B$5:$B$89,0))/100)</f>
        <v>5.3025623848621439</v>
      </c>
      <c r="G58" s="269">
        <f>'IEPR Gas Prices Real'!G58*(INDEX('GDP Deflator'!$C$5:$C$89,MATCH('IEPR Gas Prices Nominal'!$B58,'GDP Deflator'!$B$5:$B$89,0))/100)</f>
        <v>1.0952467402850963</v>
      </c>
      <c r="H58" s="270">
        <f>'IEPR Gas Prices Real'!H58*(INDEX('GDP Deflator'!$C$5:$C$89,MATCH('IEPR Gas Prices Nominal'!$B58,'GDP Deflator'!$B$5:$B$89,0))/100)</f>
        <v>6.3978091251472398</v>
      </c>
      <c r="I58" s="269">
        <f>'IEPR Gas Prices Real'!I58*(INDEX('GDP Deflator'!$C$5:$C$89,MATCH('IEPR Gas Prices Nominal'!$B58,'GDP Deflator'!$B$5:$B$89,0))/100)</f>
        <v>5.5704926737247309</v>
      </c>
      <c r="J58" s="269">
        <f>'IEPR Gas Prices Real'!J58*(INDEX('GDP Deflator'!$C$5:$C$89,MATCH('IEPR Gas Prices Nominal'!$B58,'GDP Deflator'!$B$5:$B$89,0))/100)</f>
        <v>1.8085172383797896</v>
      </c>
      <c r="K58" s="269">
        <f>'IEPR Gas Prices Real'!K58*(INDEX('GDP Deflator'!$C$5:$C$89,MATCH('IEPR Gas Prices Nominal'!$B58,'GDP Deflator'!$B$5:$B$89,0))/100)</f>
        <v>7.3790099121045207</v>
      </c>
      <c r="L58" s="268">
        <f>'IEPR Gas Prices Real'!L58*(INDEX('GDP Deflator'!$C$5:$C$89,MATCH('IEPR Gas Prices Nominal'!$B58,'GDP Deflator'!$B$5:$B$89,0))/100)</f>
        <v>5.7688399112725541</v>
      </c>
      <c r="M58" s="269">
        <f>'IEPR Gas Prices Real'!M58*(INDEX('GDP Deflator'!$C$5:$C$89,MATCH('IEPR Gas Prices Nominal'!$B58,'GDP Deflator'!$B$5:$B$89,0))/100)</f>
        <v>0.85407965775029315</v>
      </c>
      <c r="N58" s="270">
        <f>'IEPR Gas Prices Real'!N58*(INDEX('GDP Deflator'!$C$5:$C$89,MATCH('IEPR Gas Prices Nominal'!$B58,'GDP Deflator'!$B$5:$B$89,0))/100)</f>
        <v>6.6229195690228471</v>
      </c>
      <c r="O58" s="1"/>
      <c r="P58" s="274">
        <f t="shared" si="0"/>
        <v>5.5472983232864763</v>
      </c>
      <c r="Q58" s="275">
        <f t="shared" si="7"/>
        <v>6.7999128687582022</v>
      </c>
      <c r="R58" s="171"/>
    </row>
    <row r="59" spans="1:18">
      <c r="A59" s="26"/>
      <c r="B59" s="94">
        <f t="shared" si="4"/>
        <v>2026</v>
      </c>
      <c r="C59" s="1">
        <f t="shared" si="5"/>
        <v>6</v>
      </c>
      <c r="D59" s="213">
        <v>46174</v>
      </c>
      <c r="E59" s="1" t="str">
        <f t="shared" si="6"/>
        <v>6-2026</v>
      </c>
      <c r="F59" s="268">
        <f>'IEPR Gas Prices Real'!F59*(INDEX('GDP Deflator'!$C$5:$C$89,MATCH('IEPR Gas Prices Nominal'!$B59,'GDP Deflator'!$B$5:$B$89,0))/100)</f>
        <v>5.4394734409500192</v>
      </c>
      <c r="G59" s="269">
        <f>'IEPR Gas Prices Real'!G59*(INDEX('GDP Deflator'!$C$5:$C$89,MATCH('IEPR Gas Prices Nominal'!$B59,'GDP Deflator'!$B$5:$B$89,0))/100)</f>
        <v>1.0952467402850963</v>
      </c>
      <c r="H59" s="270">
        <f>'IEPR Gas Prices Real'!H59*(INDEX('GDP Deflator'!$C$5:$C$89,MATCH('IEPR Gas Prices Nominal'!$B59,'GDP Deflator'!$B$5:$B$89,0))/100)</f>
        <v>6.5347201812351159</v>
      </c>
      <c r="I59" s="269">
        <f>'IEPR Gas Prices Real'!I59*(INDEX('GDP Deflator'!$C$5:$C$89,MATCH('IEPR Gas Prices Nominal'!$B59,'GDP Deflator'!$B$5:$B$89,0))/100)</f>
        <v>5.7142764484777535</v>
      </c>
      <c r="J59" s="269">
        <f>'IEPR Gas Prices Real'!J59*(INDEX('GDP Deflator'!$C$5:$C$89,MATCH('IEPR Gas Prices Nominal'!$B59,'GDP Deflator'!$B$5:$B$89,0))/100)</f>
        <v>1.8085172383797896</v>
      </c>
      <c r="K59" s="269">
        <f>'IEPR Gas Prices Real'!K59*(INDEX('GDP Deflator'!$C$5:$C$89,MATCH('IEPR Gas Prices Nominal'!$B59,'GDP Deflator'!$B$5:$B$89,0))/100)</f>
        <v>7.5227936868575442</v>
      </c>
      <c r="L59" s="268">
        <f>'IEPR Gas Prices Real'!L59*(INDEX('GDP Deflator'!$C$5:$C$89,MATCH('IEPR Gas Prices Nominal'!$B59,'GDP Deflator'!$B$5:$B$89,0))/100)</f>
        <v>5.9177951317489113</v>
      </c>
      <c r="M59" s="269">
        <f>'IEPR Gas Prices Real'!M59*(INDEX('GDP Deflator'!$C$5:$C$89,MATCH('IEPR Gas Prices Nominal'!$B59,'GDP Deflator'!$B$5:$B$89,0))/100)</f>
        <v>0.85407965775029315</v>
      </c>
      <c r="N59" s="270">
        <f>'IEPR Gas Prices Real'!N59*(INDEX('GDP Deflator'!$C$5:$C$89,MATCH('IEPR Gas Prices Nominal'!$B59,'GDP Deflator'!$B$5:$B$89,0))/100)</f>
        <v>6.7718747894992042</v>
      </c>
      <c r="O59" s="1"/>
      <c r="P59" s="274">
        <f t="shared" si="0"/>
        <v>5.6905150070588943</v>
      </c>
      <c r="Q59" s="275">
        <f t="shared" si="7"/>
        <v>6.9431295525306211</v>
      </c>
      <c r="R59" s="171"/>
    </row>
    <row r="60" spans="1:18">
      <c r="A60" s="26"/>
      <c r="B60" s="94">
        <f t="shared" si="4"/>
        <v>2026</v>
      </c>
      <c r="C60" s="1">
        <f t="shared" si="5"/>
        <v>7</v>
      </c>
      <c r="D60" s="213">
        <v>46204</v>
      </c>
      <c r="E60" s="1" t="str">
        <f t="shared" si="6"/>
        <v>7-2026</v>
      </c>
      <c r="F60" s="268">
        <f>'IEPR Gas Prices Real'!F60*(INDEX('GDP Deflator'!$C$5:$C$89,MATCH('IEPR Gas Prices Nominal'!$B60,'GDP Deflator'!$B$5:$B$89,0))/100)</f>
        <v>5.4824549390756809</v>
      </c>
      <c r="G60" s="269">
        <f>'IEPR Gas Prices Real'!G60*(INDEX('GDP Deflator'!$C$5:$C$89,MATCH('IEPR Gas Prices Nominal'!$B60,'GDP Deflator'!$B$5:$B$89,0))/100)</f>
        <v>1.0952467402850963</v>
      </c>
      <c r="H60" s="270">
        <f>'IEPR Gas Prices Real'!H60*(INDEX('GDP Deflator'!$C$5:$C$89,MATCH('IEPR Gas Prices Nominal'!$B60,'GDP Deflator'!$B$5:$B$89,0))/100)</f>
        <v>6.5777016793607768</v>
      </c>
      <c r="I60" s="269">
        <f>'IEPR Gas Prices Real'!I60*(INDEX('GDP Deflator'!$C$5:$C$89,MATCH('IEPR Gas Prices Nominal'!$B60,'GDP Deflator'!$B$5:$B$89,0))/100)</f>
        <v>5.7593838289951931</v>
      </c>
      <c r="J60" s="269">
        <f>'IEPR Gas Prices Real'!J60*(INDEX('GDP Deflator'!$C$5:$C$89,MATCH('IEPR Gas Prices Nominal'!$B60,'GDP Deflator'!$B$5:$B$89,0))/100)</f>
        <v>1.8085172383797896</v>
      </c>
      <c r="K60" s="269">
        <f>'IEPR Gas Prices Real'!K60*(INDEX('GDP Deflator'!$C$5:$C$89,MATCH('IEPR Gas Prices Nominal'!$B60,'GDP Deflator'!$B$5:$B$89,0))/100)</f>
        <v>7.5679010673749829</v>
      </c>
      <c r="L60" s="268">
        <f>'IEPR Gas Prices Real'!L60*(INDEX('GDP Deflator'!$C$5:$C$89,MATCH('IEPR Gas Prices Nominal'!$B60,'GDP Deflator'!$B$5:$B$89,0))/100)</f>
        <v>5.9645612363543838</v>
      </c>
      <c r="M60" s="269">
        <f>'IEPR Gas Prices Real'!M60*(INDEX('GDP Deflator'!$C$5:$C$89,MATCH('IEPR Gas Prices Nominal'!$B60,'GDP Deflator'!$B$5:$B$89,0))/100)</f>
        <v>0.85407965775029315</v>
      </c>
      <c r="N60" s="270">
        <f>'IEPR Gas Prices Real'!N60*(INDEX('GDP Deflator'!$C$5:$C$89,MATCH('IEPR Gas Prices Nominal'!$B60,'GDP Deflator'!$B$5:$B$89,0))/100)</f>
        <v>6.8186408941046768</v>
      </c>
      <c r="O60" s="1"/>
      <c r="P60" s="274">
        <f t="shared" si="0"/>
        <v>5.7354666681417532</v>
      </c>
      <c r="Q60" s="275">
        <f t="shared" si="7"/>
        <v>6.9880812136134791</v>
      </c>
      <c r="R60" s="171"/>
    </row>
    <row r="61" spans="1:18">
      <c r="A61" s="26"/>
      <c r="B61" s="94">
        <f t="shared" si="4"/>
        <v>2026</v>
      </c>
      <c r="C61" s="1">
        <f t="shared" si="5"/>
        <v>8</v>
      </c>
      <c r="D61" s="213">
        <v>46235</v>
      </c>
      <c r="E61" s="1" t="str">
        <f t="shared" si="6"/>
        <v>8-2026</v>
      </c>
      <c r="F61" s="268">
        <f>'IEPR Gas Prices Real'!F61*(INDEX('GDP Deflator'!$C$5:$C$89,MATCH('IEPR Gas Prices Nominal'!$B61,'GDP Deflator'!$B$5:$B$89,0))/100)</f>
        <v>5.4399371546994555</v>
      </c>
      <c r="G61" s="269">
        <f>'IEPR Gas Prices Real'!G61*(INDEX('GDP Deflator'!$C$5:$C$89,MATCH('IEPR Gas Prices Nominal'!$B61,'GDP Deflator'!$B$5:$B$89,0))/100)</f>
        <v>1.0952467402850963</v>
      </c>
      <c r="H61" s="270">
        <f>'IEPR Gas Prices Real'!H61*(INDEX('GDP Deflator'!$C$5:$C$89,MATCH('IEPR Gas Prices Nominal'!$B61,'GDP Deflator'!$B$5:$B$89,0))/100)</f>
        <v>6.5351838949845522</v>
      </c>
      <c r="I61" s="269">
        <f>'IEPR Gas Prices Real'!I61*(INDEX('GDP Deflator'!$C$5:$C$89,MATCH('IEPR Gas Prices Nominal'!$B61,'GDP Deflator'!$B$5:$B$89,0))/100)</f>
        <v>5.7146731904131105</v>
      </c>
      <c r="J61" s="269">
        <f>'IEPR Gas Prices Real'!J61*(INDEX('GDP Deflator'!$C$5:$C$89,MATCH('IEPR Gas Prices Nominal'!$B61,'GDP Deflator'!$B$5:$B$89,0))/100)</f>
        <v>1.8085172383797896</v>
      </c>
      <c r="K61" s="269">
        <f>'IEPR Gas Prices Real'!K61*(INDEX('GDP Deflator'!$C$5:$C$89,MATCH('IEPR Gas Prices Nominal'!$B61,'GDP Deflator'!$B$5:$B$89,0))/100)</f>
        <v>7.5231904287929003</v>
      </c>
      <c r="L61" s="268">
        <f>'IEPR Gas Prices Real'!L61*(INDEX('GDP Deflator'!$C$5:$C$89,MATCH('IEPR Gas Prices Nominal'!$B61,'GDP Deflator'!$B$5:$B$89,0))/100)</f>
        <v>5.9183095769301879</v>
      </c>
      <c r="M61" s="269">
        <f>'IEPR Gas Prices Real'!M61*(INDEX('GDP Deflator'!$C$5:$C$89,MATCH('IEPR Gas Prices Nominal'!$B61,'GDP Deflator'!$B$5:$B$89,0))/100)</f>
        <v>0.85407965775029315</v>
      </c>
      <c r="N61" s="270">
        <f>'IEPR Gas Prices Real'!N61*(INDEX('GDP Deflator'!$C$5:$C$89,MATCH('IEPR Gas Prices Nominal'!$B61,'GDP Deflator'!$B$5:$B$89,0))/100)</f>
        <v>6.7723892346804808</v>
      </c>
      <c r="O61" s="1"/>
      <c r="P61" s="274">
        <f t="shared" si="0"/>
        <v>5.6909733073475843</v>
      </c>
      <c r="Q61" s="275">
        <f t="shared" si="7"/>
        <v>6.943587852819312</v>
      </c>
      <c r="R61" s="171"/>
    </row>
    <row r="62" spans="1:18">
      <c r="A62" s="26"/>
      <c r="B62" s="94">
        <f t="shared" si="4"/>
        <v>2026</v>
      </c>
      <c r="C62" s="1">
        <f t="shared" si="5"/>
        <v>9</v>
      </c>
      <c r="D62" s="213">
        <v>46266</v>
      </c>
      <c r="E62" s="1" t="str">
        <f t="shared" si="6"/>
        <v>9-2026</v>
      </c>
      <c r="F62" s="268">
        <f>'IEPR Gas Prices Real'!F62*(INDEX('GDP Deflator'!$C$5:$C$89,MATCH('IEPR Gas Prices Nominal'!$B62,'GDP Deflator'!$B$5:$B$89,0))/100)</f>
        <v>5.5162814271214087</v>
      </c>
      <c r="G62" s="269">
        <f>'IEPR Gas Prices Real'!G62*(INDEX('GDP Deflator'!$C$5:$C$89,MATCH('IEPR Gas Prices Nominal'!$B62,'GDP Deflator'!$B$5:$B$89,0))/100)</f>
        <v>1.0952467402850963</v>
      </c>
      <c r="H62" s="270">
        <f>'IEPR Gas Prices Real'!H62*(INDEX('GDP Deflator'!$C$5:$C$89,MATCH('IEPR Gas Prices Nominal'!$B62,'GDP Deflator'!$B$5:$B$89,0))/100)</f>
        <v>6.6115281674065054</v>
      </c>
      <c r="I62" s="269">
        <f>'IEPR Gas Prices Real'!I62*(INDEX('GDP Deflator'!$C$5:$C$89,MATCH('IEPR Gas Prices Nominal'!$B62,'GDP Deflator'!$B$5:$B$89,0))/100)</f>
        <v>5.7948272744316851</v>
      </c>
      <c r="J62" s="269">
        <f>'IEPR Gas Prices Real'!J62*(INDEX('GDP Deflator'!$C$5:$C$89,MATCH('IEPR Gas Prices Nominal'!$B62,'GDP Deflator'!$B$5:$B$89,0))/100)</f>
        <v>1.8085172383797896</v>
      </c>
      <c r="K62" s="269">
        <f>'IEPR Gas Prices Real'!K62*(INDEX('GDP Deflator'!$C$5:$C$89,MATCH('IEPR Gas Prices Nominal'!$B62,'GDP Deflator'!$B$5:$B$89,0))/100)</f>
        <v>7.6033445128114749</v>
      </c>
      <c r="L62" s="268">
        <f>'IEPR Gas Prices Real'!L62*(INDEX('GDP Deflator'!$C$5:$C$89,MATCH('IEPR Gas Prices Nominal'!$B62,'GDP Deflator'!$B$5:$B$89,0))/100)</f>
        <v>6.0013723932940417</v>
      </c>
      <c r="M62" s="269">
        <f>'IEPR Gas Prices Real'!M62*(INDEX('GDP Deflator'!$C$5:$C$89,MATCH('IEPR Gas Prices Nominal'!$B62,'GDP Deflator'!$B$5:$B$89,0))/100)</f>
        <v>0.85407965775029315</v>
      </c>
      <c r="N62" s="270">
        <f>'IEPR Gas Prices Real'!N62*(INDEX('GDP Deflator'!$C$5:$C$89,MATCH('IEPR Gas Prices Nominal'!$B62,'GDP Deflator'!$B$5:$B$89,0))/100)</f>
        <v>6.8554520510443346</v>
      </c>
      <c r="O62" s="1"/>
      <c r="P62" s="274">
        <f t="shared" si="0"/>
        <v>5.7708270316157124</v>
      </c>
      <c r="Q62" s="275">
        <f t="shared" si="7"/>
        <v>7.0234415770874383</v>
      </c>
      <c r="R62" s="171"/>
    </row>
    <row r="63" spans="1:18">
      <c r="A63" s="26"/>
      <c r="B63" s="94">
        <f t="shared" si="4"/>
        <v>2026</v>
      </c>
      <c r="C63" s="1">
        <f t="shared" si="5"/>
        <v>10</v>
      </c>
      <c r="D63" s="213">
        <v>46296</v>
      </c>
      <c r="E63" s="1" t="str">
        <f t="shared" si="6"/>
        <v>10-2026</v>
      </c>
      <c r="F63" s="268">
        <f>'IEPR Gas Prices Real'!F63*(INDEX('GDP Deflator'!$C$5:$C$89,MATCH('IEPR Gas Prices Nominal'!$B63,'GDP Deflator'!$B$5:$B$89,0))/100)</f>
        <v>5.4843216062971427</v>
      </c>
      <c r="G63" s="269">
        <f>'IEPR Gas Prices Real'!G63*(INDEX('GDP Deflator'!$C$5:$C$89,MATCH('IEPR Gas Prices Nominal'!$B63,'GDP Deflator'!$B$5:$B$89,0))/100)</f>
        <v>1.0952467402850963</v>
      </c>
      <c r="H63" s="270">
        <f>'IEPR Gas Prices Real'!H63*(INDEX('GDP Deflator'!$C$5:$C$89,MATCH('IEPR Gas Prices Nominal'!$B63,'GDP Deflator'!$B$5:$B$89,0))/100)</f>
        <v>6.5795683465822385</v>
      </c>
      <c r="I63" s="269">
        <f>'IEPR Gas Prices Real'!I63*(INDEX('GDP Deflator'!$C$5:$C$89,MATCH('IEPR Gas Prices Nominal'!$B63,'GDP Deflator'!$B$5:$B$89,0))/100)</f>
        <v>5.7612080505922334</v>
      </c>
      <c r="J63" s="269">
        <f>'IEPR Gas Prices Real'!J63*(INDEX('GDP Deflator'!$C$5:$C$89,MATCH('IEPR Gas Prices Nominal'!$B63,'GDP Deflator'!$B$5:$B$89,0))/100)</f>
        <v>1.8085172383797896</v>
      </c>
      <c r="K63" s="269">
        <f>'IEPR Gas Prices Real'!K63*(INDEX('GDP Deflator'!$C$5:$C$89,MATCH('IEPR Gas Prices Nominal'!$B63,'GDP Deflator'!$B$5:$B$89,0))/100)</f>
        <v>7.5697252889720232</v>
      </c>
      <c r="L63" s="268">
        <f>'IEPR Gas Prices Real'!L63*(INDEX('GDP Deflator'!$C$5:$C$89,MATCH('IEPR Gas Prices Nominal'!$B63,'GDP Deflator'!$B$5:$B$89,0))/100)</f>
        <v>5.9666071082898</v>
      </c>
      <c r="M63" s="269">
        <f>'IEPR Gas Prices Real'!M63*(INDEX('GDP Deflator'!$C$5:$C$89,MATCH('IEPR Gas Prices Nominal'!$B63,'GDP Deflator'!$B$5:$B$89,0))/100)</f>
        <v>0.85407965775029315</v>
      </c>
      <c r="N63" s="270">
        <f>'IEPR Gas Prices Real'!N63*(INDEX('GDP Deflator'!$C$5:$C$89,MATCH('IEPR Gas Prices Nominal'!$B63,'GDP Deflator'!$B$5:$B$89,0))/100)</f>
        <v>6.8206867660400921</v>
      </c>
      <c r="O63" s="1"/>
      <c r="P63" s="274">
        <f t="shared" si="0"/>
        <v>5.7373789217263917</v>
      </c>
      <c r="Q63" s="275">
        <f t="shared" si="7"/>
        <v>6.9899934671981185</v>
      </c>
      <c r="R63" s="171"/>
    </row>
    <row r="64" spans="1:18">
      <c r="A64" s="26"/>
      <c r="B64" s="94">
        <f t="shared" si="4"/>
        <v>2026</v>
      </c>
      <c r="C64" s="1">
        <f t="shared" si="5"/>
        <v>11</v>
      </c>
      <c r="D64" s="213">
        <v>46327</v>
      </c>
      <c r="E64" s="1" t="str">
        <f t="shared" si="6"/>
        <v>11-2026</v>
      </c>
      <c r="F64" s="268">
        <f>'IEPR Gas Prices Real'!F64*(INDEX('GDP Deflator'!$C$5:$C$89,MATCH('IEPR Gas Prices Nominal'!$B64,'GDP Deflator'!$B$5:$B$89,0))/100)</f>
        <v>5.7552135729362428</v>
      </c>
      <c r="G64" s="269">
        <f>'IEPR Gas Prices Real'!G64*(INDEX('GDP Deflator'!$C$5:$C$89,MATCH('IEPR Gas Prices Nominal'!$B64,'GDP Deflator'!$B$5:$B$89,0))/100)</f>
        <v>1.0952467402850963</v>
      </c>
      <c r="H64" s="270">
        <f>'IEPR Gas Prices Real'!H64*(INDEX('GDP Deflator'!$C$5:$C$89,MATCH('IEPR Gas Prices Nominal'!$B64,'GDP Deflator'!$B$5:$B$89,0))/100)</f>
        <v>6.8504603132213395</v>
      </c>
      <c r="I64" s="269">
        <f>'IEPR Gas Prices Real'!I64*(INDEX('GDP Deflator'!$C$5:$C$89,MATCH('IEPR Gas Prices Nominal'!$B64,'GDP Deflator'!$B$5:$B$89,0))/100)</f>
        <v>6.0457286717925705</v>
      </c>
      <c r="J64" s="269">
        <f>'IEPR Gas Prices Real'!J64*(INDEX('GDP Deflator'!$C$5:$C$89,MATCH('IEPR Gas Prices Nominal'!$B64,'GDP Deflator'!$B$5:$B$89,0))/100)</f>
        <v>1.8085172383797896</v>
      </c>
      <c r="K64" s="269">
        <f>'IEPR Gas Prices Real'!K64*(INDEX('GDP Deflator'!$C$5:$C$89,MATCH('IEPR Gas Prices Nominal'!$B64,'GDP Deflator'!$B$5:$B$89,0))/100)</f>
        <v>7.8542459101723603</v>
      </c>
      <c r="L64" s="268">
        <f>'IEPR Gas Prices Real'!L64*(INDEX('GDP Deflator'!$C$5:$C$89,MATCH('IEPR Gas Prices Nominal'!$B64,'GDP Deflator'!$B$5:$B$89,0))/100)</f>
        <v>6.2613262994284238</v>
      </c>
      <c r="M64" s="269">
        <f>'IEPR Gas Prices Real'!M64*(INDEX('GDP Deflator'!$C$5:$C$89,MATCH('IEPR Gas Prices Nominal'!$B64,'GDP Deflator'!$B$5:$B$89,0))/100)</f>
        <v>0.85407965775029315</v>
      </c>
      <c r="N64" s="270">
        <f>'IEPR Gas Prices Real'!N64*(INDEX('GDP Deflator'!$C$5:$C$89,MATCH('IEPR Gas Prices Nominal'!$B64,'GDP Deflator'!$B$5:$B$89,0))/100)</f>
        <v>7.1154059571787167</v>
      </c>
      <c r="O64" s="1"/>
      <c r="P64" s="274">
        <f t="shared" si="0"/>
        <v>6.0207561813857451</v>
      </c>
      <c r="Q64" s="275">
        <f t="shared" si="7"/>
        <v>7.2733707268574719</v>
      </c>
      <c r="R64" s="171"/>
    </row>
    <row r="65" spans="1:18">
      <c r="A65" s="26"/>
      <c r="B65" s="94">
        <f t="shared" si="4"/>
        <v>2026</v>
      </c>
      <c r="C65" s="1">
        <f t="shared" si="5"/>
        <v>12</v>
      </c>
      <c r="D65" s="213">
        <v>46357</v>
      </c>
      <c r="E65" s="1" t="str">
        <f t="shared" si="6"/>
        <v>12-2026</v>
      </c>
      <c r="F65" s="268">
        <f>'IEPR Gas Prices Real'!F65*(INDEX('GDP Deflator'!$C$5:$C$89,MATCH('IEPR Gas Prices Nominal'!$B65,'GDP Deflator'!$B$5:$B$89,0))/100)</f>
        <v>5.8013232747507999</v>
      </c>
      <c r="G65" s="269">
        <f>'IEPR Gas Prices Real'!G65*(INDEX('GDP Deflator'!$C$5:$C$89,MATCH('IEPR Gas Prices Nominal'!$B65,'GDP Deflator'!$B$5:$B$89,0))/100)</f>
        <v>1.0952467402850963</v>
      </c>
      <c r="H65" s="270">
        <f>'IEPR Gas Prices Real'!H65*(INDEX('GDP Deflator'!$C$5:$C$89,MATCH('IEPR Gas Prices Nominal'!$B65,'GDP Deflator'!$B$5:$B$89,0))/100)</f>
        <v>6.8965700150358966</v>
      </c>
      <c r="I65" s="269">
        <f>'IEPR Gas Prices Real'!I65*(INDEX('GDP Deflator'!$C$5:$C$89,MATCH('IEPR Gas Prices Nominal'!$B65,'GDP Deflator'!$B$5:$B$89,0))/100)</f>
        <v>6.0941176927957468</v>
      </c>
      <c r="J65" s="269">
        <f>'IEPR Gas Prices Real'!J65*(INDEX('GDP Deflator'!$C$5:$C$89,MATCH('IEPR Gas Prices Nominal'!$B65,'GDP Deflator'!$B$5:$B$89,0))/100)</f>
        <v>1.8085172383797896</v>
      </c>
      <c r="K65" s="269">
        <f>'IEPR Gas Prices Real'!K65*(INDEX('GDP Deflator'!$C$5:$C$89,MATCH('IEPR Gas Prices Nominal'!$B65,'GDP Deflator'!$B$5:$B$89,0))/100)</f>
        <v>7.9026349311755366</v>
      </c>
      <c r="L65" s="268">
        <f>'IEPR Gas Prices Real'!L65*(INDEX('GDP Deflator'!$C$5:$C$89,MATCH('IEPR Gas Prices Nominal'!$B65,'GDP Deflator'!$B$5:$B$89,0))/100)</f>
        <v>6.3114961938359375</v>
      </c>
      <c r="M65" s="269">
        <f>'IEPR Gas Prices Real'!M65*(INDEX('GDP Deflator'!$C$5:$C$89,MATCH('IEPR Gas Prices Nominal'!$B65,'GDP Deflator'!$B$5:$B$89,0))/100)</f>
        <v>0.85407965775029315</v>
      </c>
      <c r="N65" s="270">
        <f>'IEPR Gas Prices Real'!N65*(INDEX('GDP Deflator'!$C$5:$C$89,MATCH('IEPR Gas Prices Nominal'!$B65,'GDP Deflator'!$B$5:$B$89,0))/100)</f>
        <v>7.1655758515862304</v>
      </c>
      <c r="O65" s="1"/>
      <c r="P65" s="274">
        <f t="shared" si="0"/>
        <v>6.0689790537941617</v>
      </c>
      <c r="Q65" s="275">
        <f t="shared" si="7"/>
        <v>7.3215935992658876</v>
      </c>
      <c r="R65" s="171"/>
    </row>
    <row r="66" spans="1:18">
      <c r="A66" s="26"/>
      <c r="B66" s="94">
        <f t="shared" si="4"/>
        <v>2027</v>
      </c>
      <c r="C66" s="1">
        <f t="shared" si="5"/>
        <v>1</v>
      </c>
      <c r="D66" s="213">
        <v>46388</v>
      </c>
      <c r="E66" s="1" t="str">
        <f t="shared" si="6"/>
        <v>1-2027</v>
      </c>
      <c r="F66" s="268">
        <f>'IEPR Gas Prices Real'!F66*(INDEX('GDP Deflator'!$C$5:$C$89,MATCH('IEPR Gas Prices Nominal'!$B66,'GDP Deflator'!$B$5:$B$89,0))/100)</f>
        <v>5.9261756985113037</v>
      </c>
      <c r="G66" s="269">
        <f>'IEPR Gas Prices Real'!G66*(INDEX('GDP Deflator'!$C$5:$C$89,MATCH('IEPR Gas Prices Nominal'!$B66,'GDP Deflator'!$B$5:$B$89,0))/100)</f>
        <v>1.1635487828050251</v>
      </c>
      <c r="H66" s="270">
        <f>'IEPR Gas Prices Real'!H66*(INDEX('GDP Deflator'!$C$5:$C$89,MATCH('IEPR Gas Prices Nominal'!$B66,'GDP Deflator'!$B$5:$B$89,0))/100)</f>
        <v>7.0897244813163285</v>
      </c>
      <c r="I66" s="269">
        <f>'IEPR Gas Prices Real'!I66*(INDEX('GDP Deflator'!$C$5:$C$89,MATCH('IEPR Gas Prices Nominal'!$B66,'GDP Deflator'!$B$5:$B$89,0))/100)</f>
        <v>6.2251896510358087</v>
      </c>
      <c r="J66" s="269">
        <f>'IEPR Gas Prices Real'!J66*(INDEX('GDP Deflator'!$C$5:$C$89,MATCH('IEPR Gas Prices Nominal'!$B66,'GDP Deflator'!$B$5:$B$89,0))/100)</f>
        <v>1.9213004284778368</v>
      </c>
      <c r="K66" s="269">
        <f>'IEPR Gas Prices Real'!K66*(INDEX('GDP Deflator'!$C$5:$C$89,MATCH('IEPR Gas Prices Nominal'!$B66,'GDP Deflator'!$B$5:$B$89,0))/100)</f>
        <v>8.1464900795136455</v>
      </c>
      <c r="L66" s="268">
        <f>'IEPR Gas Prices Real'!L66*(INDEX('GDP Deflator'!$C$5:$C$89,MATCH('IEPR Gas Prices Nominal'!$B66,'GDP Deflator'!$B$5:$B$89,0))/100)</f>
        <v>6.4472985473305258</v>
      </c>
      <c r="M66" s="269">
        <f>'IEPR Gas Prices Real'!M66*(INDEX('GDP Deflator'!$C$5:$C$89,MATCH('IEPR Gas Prices Nominal'!$B66,'GDP Deflator'!$B$5:$B$89,0))/100)</f>
        <v>0.90734198025114077</v>
      </c>
      <c r="N66" s="270">
        <f>'IEPR Gas Prices Real'!N66*(INDEX('GDP Deflator'!$C$5:$C$89,MATCH('IEPR Gas Prices Nominal'!$B66,'GDP Deflator'!$B$5:$B$89,0))/100)</f>
        <v>7.3546405275816671</v>
      </c>
      <c r="O66" s="1"/>
      <c r="P66" s="274">
        <f t="shared" si="0"/>
        <v>6.1995546322925463</v>
      </c>
      <c r="Q66" s="275">
        <f t="shared" si="7"/>
        <v>7.5302850294705479</v>
      </c>
      <c r="R66" s="171"/>
    </row>
    <row r="67" spans="1:18">
      <c r="A67" s="26"/>
      <c r="B67" s="94">
        <f t="shared" si="4"/>
        <v>2027</v>
      </c>
      <c r="C67" s="1">
        <f t="shared" si="5"/>
        <v>2</v>
      </c>
      <c r="D67" s="213">
        <v>46419</v>
      </c>
      <c r="E67" s="1" t="str">
        <f t="shared" si="6"/>
        <v>2-2027</v>
      </c>
      <c r="F67" s="268">
        <f>'IEPR Gas Prices Real'!F67*(INDEX('GDP Deflator'!$C$5:$C$89,MATCH('IEPR Gas Prices Nominal'!$B67,'GDP Deflator'!$B$5:$B$89,0))/100)</f>
        <v>5.7960144680233041</v>
      </c>
      <c r="G67" s="269">
        <f>'IEPR Gas Prices Real'!G67*(INDEX('GDP Deflator'!$C$5:$C$89,MATCH('IEPR Gas Prices Nominal'!$B67,'GDP Deflator'!$B$5:$B$89,0))/100)</f>
        <v>1.1635487828050251</v>
      </c>
      <c r="H67" s="270">
        <f>'IEPR Gas Prices Real'!H67*(INDEX('GDP Deflator'!$C$5:$C$89,MATCH('IEPR Gas Prices Nominal'!$B67,'GDP Deflator'!$B$5:$B$89,0))/100)</f>
        <v>6.9595632508283298</v>
      </c>
      <c r="I67" s="269">
        <f>'IEPR Gas Prices Real'!I67*(INDEX('GDP Deflator'!$C$5:$C$89,MATCH('IEPR Gas Prices Nominal'!$B67,'GDP Deflator'!$B$5:$B$89,0))/100)</f>
        <v>6.0883809245213314</v>
      </c>
      <c r="J67" s="269">
        <f>'IEPR Gas Prices Real'!J67*(INDEX('GDP Deflator'!$C$5:$C$89,MATCH('IEPR Gas Prices Nominal'!$B67,'GDP Deflator'!$B$5:$B$89,0))/100)</f>
        <v>1.9213004284778368</v>
      </c>
      <c r="K67" s="269">
        <f>'IEPR Gas Prices Real'!K67*(INDEX('GDP Deflator'!$C$5:$C$89,MATCH('IEPR Gas Prices Nominal'!$B67,'GDP Deflator'!$B$5:$B$89,0))/100)</f>
        <v>8.0096813529991682</v>
      </c>
      <c r="L67" s="268">
        <f>'IEPR Gas Prices Real'!L67*(INDEX('GDP Deflator'!$C$5:$C$89,MATCH('IEPR Gas Prices Nominal'!$B67,'GDP Deflator'!$B$5:$B$89,0))/100)</f>
        <v>6.3056624453048462</v>
      </c>
      <c r="M67" s="269">
        <f>'IEPR Gas Prices Real'!M67*(INDEX('GDP Deflator'!$C$5:$C$89,MATCH('IEPR Gas Prices Nominal'!$B67,'GDP Deflator'!$B$5:$B$89,0))/100)</f>
        <v>0.90734198025114077</v>
      </c>
      <c r="N67" s="270">
        <f>'IEPR Gas Prices Real'!N67*(INDEX('GDP Deflator'!$C$5:$C$89,MATCH('IEPR Gas Prices Nominal'!$B67,'GDP Deflator'!$B$5:$B$89,0))/100)</f>
        <v>7.2130044255559875</v>
      </c>
      <c r="O67" s="1"/>
      <c r="P67" s="274">
        <f t="shared" si="0"/>
        <v>6.0633526126164945</v>
      </c>
      <c r="Q67" s="275">
        <f t="shared" si="7"/>
        <v>7.3940830097944952</v>
      </c>
      <c r="R67" s="171"/>
    </row>
    <row r="68" spans="1:18">
      <c r="A68" s="26"/>
      <c r="B68" s="94">
        <f t="shared" si="4"/>
        <v>2027</v>
      </c>
      <c r="C68" s="1">
        <f t="shared" si="5"/>
        <v>3</v>
      </c>
      <c r="D68" s="213">
        <v>46447</v>
      </c>
      <c r="E68" s="1" t="str">
        <f t="shared" si="6"/>
        <v>3-2027</v>
      </c>
      <c r="F68" s="268">
        <f>'IEPR Gas Prices Real'!F68*(INDEX('GDP Deflator'!$C$5:$C$89,MATCH('IEPR Gas Prices Nominal'!$B68,'GDP Deflator'!$B$5:$B$89,0))/100)</f>
        <v>5.3205456143552761</v>
      </c>
      <c r="G68" s="269">
        <f>'IEPR Gas Prices Real'!G68*(INDEX('GDP Deflator'!$C$5:$C$89,MATCH('IEPR Gas Prices Nominal'!$B68,'GDP Deflator'!$B$5:$B$89,0))/100)</f>
        <v>1.1635487828050251</v>
      </c>
      <c r="H68" s="270">
        <f>'IEPR Gas Prices Real'!H68*(INDEX('GDP Deflator'!$C$5:$C$89,MATCH('IEPR Gas Prices Nominal'!$B68,'GDP Deflator'!$B$5:$B$89,0))/100)</f>
        <v>6.4840943971603009</v>
      </c>
      <c r="I68" s="269">
        <f>'IEPR Gas Prices Real'!I68*(INDEX('GDP Deflator'!$C$5:$C$89,MATCH('IEPR Gas Prices Nominal'!$B68,'GDP Deflator'!$B$5:$B$89,0))/100)</f>
        <v>5.5888546849503511</v>
      </c>
      <c r="J68" s="269">
        <f>'IEPR Gas Prices Real'!J68*(INDEX('GDP Deflator'!$C$5:$C$89,MATCH('IEPR Gas Prices Nominal'!$B68,'GDP Deflator'!$B$5:$B$89,0))/100)</f>
        <v>1.9213004284778368</v>
      </c>
      <c r="K68" s="269">
        <f>'IEPR Gas Prices Real'!K68*(INDEX('GDP Deflator'!$C$5:$C$89,MATCH('IEPR Gas Prices Nominal'!$B68,'GDP Deflator'!$B$5:$B$89,0))/100)</f>
        <v>7.5101551134281888</v>
      </c>
      <c r="L68" s="268">
        <f>'IEPR Gas Prices Real'!L68*(INDEX('GDP Deflator'!$C$5:$C$89,MATCH('IEPR Gas Prices Nominal'!$B68,'GDP Deflator'!$B$5:$B$89,0))/100)</f>
        <v>5.7883585875459556</v>
      </c>
      <c r="M68" s="269">
        <f>'IEPR Gas Prices Real'!M68*(INDEX('GDP Deflator'!$C$5:$C$89,MATCH('IEPR Gas Prices Nominal'!$B68,'GDP Deflator'!$B$5:$B$89,0))/100)</f>
        <v>0.90734198025114077</v>
      </c>
      <c r="N68" s="270">
        <f>'IEPR Gas Prices Real'!N68*(INDEX('GDP Deflator'!$C$5:$C$89,MATCH('IEPR Gas Prices Nominal'!$B68,'GDP Deflator'!$B$5:$B$89,0))/100)</f>
        <v>6.6957005677970969</v>
      </c>
      <c r="O68" s="1"/>
      <c r="P68" s="274">
        <f t="shared" si="0"/>
        <v>5.5659196289505273</v>
      </c>
      <c r="Q68" s="275">
        <f t="shared" si="7"/>
        <v>6.8966500261285288</v>
      </c>
      <c r="R68" s="171"/>
    </row>
    <row r="69" spans="1:18">
      <c r="A69" s="26"/>
      <c r="B69" s="94">
        <f t="shared" si="4"/>
        <v>2027</v>
      </c>
      <c r="C69" s="1">
        <f t="shared" si="5"/>
        <v>4</v>
      </c>
      <c r="D69" s="213">
        <v>46478</v>
      </c>
      <c r="E69" s="1" t="str">
        <f t="shared" si="6"/>
        <v>4-2027</v>
      </c>
      <c r="F69" s="268">
        <f>'IEPR Gas Prices Real'!F69*(INDEX('GDP Deflator'!$C$5:$C$89,MATCH('IEPR Gas Prices Nominal'!$B69,'GDP Deflator'!$B$5:$B$89,0))/100)</f>
        <v>5.2298065614041667</v>
      </c>
      <c r="G69" s="269">
        <f>'IEPR Gas Prices Real'!G69*(INDEX('GDP Deflator'!$C$5:$C$89,MATCH('IEPR Gas Prices Nominal'!$B69,'GDP Deflator'!$B$5:$B$89,0))/100)</f>
        <v>1.1635487828050251</v>
      </c>
      <c r="H69" s="270">
        <f>'IEPR Gas Prices Real'!H69*(INDEX('GDP Deflator'!$C$5:$C$89,MATCH('IEPR Gas Prices Nominal'!$B69,'GDP Deflator'!$B$5:$B$89,0))/100)</f>
        <v>6.3933553442091915</v>
      </c>
      <c r="I69" s="269">
        <f>'IEPR Gas Prices Real'!I69*(INDEX('GDP Deflator'!$C$5:$C$89,MATCH('IEPR Gas Prices Nominal'!$B69,'GDP Deflator'!$B$5:$B$89,0))/100)</f>
        <v>5.4934675393514096</v>
      </c>
      <c r="J69" s="269">
        <f>'IEPR Gas Prices Real'!J69*(INDEX('GDP Deflator'!$C$5:$C$89,MATCH('IEPR Gas Prices Nominal'!$B69,'GDP Deflator'!$B$5:$B$89,0))/100)</f>
        <v>1.9213004284778368</v>
      </c>
      <c r="K69" s="269">
        <f>'IEPR Gas Prices Real'!K69*(INDEX('GDP Deflator'!$C$5:$C$89,MATCH('IEPR Gas Prices Nominal'!$B69,'GDP Deflator'!$B$5:$B$89,0))/100)</f>
        <v>7.4147679678292455</v>
      </c>
      <c r="L69" s="268">
        <f>'IEPR Gas Prices Real'!L69*(INDEX('GDP Deflator'!$C$5:$C$89,MATCH('IEPR Gas Prices Nominal'!$B69,'GDP Deflator'!$B$5:$B$89,0))/100)</f>
        <v>5.6896150208584624</v>
      </c>
      <c r="M69" s="269">
        <f>'IEPR Gas Prices Real'!M69*(INDEX('GDP Deflator'!$C$5:$C$89,MATCH('IEPR Gas Prices Nominal'!$B69,'GDP Deflator'!$B$5:$B$89,0))/100)</f>
        <v>0.90734198025114077</v>
      </c>
      <c r="N69" s="270">
        <f>'IEPR Gas Prices Real'!N69*(INDEX('GDP Deflator'!$C$5:$C$89,MATCH('IEPR Gas Prices Nominal'!$B69,'GDP Deflator'!$B$5:$B$89,0))/100)</f>
        <v>6.5969570011096037</v>
      </c>
      <c r="O69" s="1"/>
      <c r="P69" s="274">
        <f t="shared" si="0"/>
        <v>5.4709630405380132</v>
      </c>
      <c r="Q69" s="275">
        <f t="shared" si="7"/>
        <v>6.8016934377160139</v>
      </c>
      <c r="R69" s="171"/>
    </row>
    <row r="70" spans="1:18">
      <c r="A70" s="26"/>
      <c r="B70" s="94">
        <f t="shared" si="4"/>
        <v>2027</v>
      </c>
      <c r="C70" s="1">
        <f t="shared" si="5"/>
        <v>5</v>
      </c>
      <c r="D70" s="213">
        <v>46508</v>
      </c>
      <c r="E70" s="1" t="str">
        <f t="shared" si="6"/>
        <v>5-2027</v>
      </c>
      <c r="F70" s="268">
        <f>'IEPR Gas Prices Real'!F70*(INDEX('GDP Deflator'!$C$5:$C$89,MATCH('IEPR Gas Prices Nominal'!$B70,'GDP Deflator'!$B$5:$B$89,0))/100)</f>
        <v>5.4116044505998335</v>
      </c>
      <c r="G70" s="269">
        <f>'IEPR Gas Prices Real'!G70*(INDEX('GDP Deflator'!$C$5:$C$89,MATCH('IEPR Gas Prices Nominal'!$B70,'GDP Deflator'!$B$5:$B$89,0))/100)</f>
        <v>1.1635487828050251</v>
      </c>
      <c r="H70" s="270">
        <f>'IEPR Gas Prices Real'!H70*(INDEX('GDP Deflator'!$C$5:$C$89,MATCH('IEPR Gas Prices Nominal'!$B70,'GDP Deflator'!$B$5:$B$89,0))/100)</f>
        <v>6.5751532334048592</v>
      </c>
      <c r="I70" s="269">
        <f>'IEPR Gas Prices Real'!I70*(INDEX('GDP Deflator'!$C$5:$C$89,MATCH('IEPR Gas Prices Nominal'!$B70,'GDP Deflator'!$B$5:$B$89,0))/100)</f>
        <v>5.6843560307347296</v>
      </c>
      <c r="J70" s="269">
        <f>'IEPR Gas Prices Real'!J70*(INDEX('GDP Deflator'!$C$5:$C$89,MATCH('IEPR Gas Prices Nominal'!$B70,'GDP Deflator'!$B$5:$B$89,0))/100)</f>
        <v>1.9213004284778368</v>
      </c>
      <c r="K70" s="269">
        <f>'IEPR Gas Prices Real'!K70*(INDEX('GDP Deflator'!$C$5:$C$89,MATCH('IEPR Gas Prices Nominal'!$B70,'GDP Deflator'!$B$5:$B$89,0))/100)</f>
        <v>7.6056564592125673</v>
      </c>
      <c r="L70" s="268">
        <f>'IEPR Gas Prices Real'!L70*(INDEX('GDP Deflator'!$C$5:$C$89,MATCH('IEPR Gas Prices Nominal'!$B70,'GDP Deflator'!$B$5:$B$89,0))/100)</f>
        <v>5.8873695849267342</v>
      </c>
      <c r="M70" s="269">
        <f>'IEPR Gas Prices Real'!M70*(INDEX('GDP Deflator'!$C$5:$C$89,MATCH('IEPR Gas Prices Nominal'!$B70,'GDP Deflator'!$B$5:$B$89,0))/100)</f>
        <v>0.90734198025114077</v>
      </c>
      <c r="N70" s="270">
        <f>'IEPR Gas Prices Real'!N70*(INDEX('GDP Deflator'!$C$5:$C$89,MATCH('IEPR Gas Prices Nominal'!$B70,'GDP Deflator'!$B$5:$B$89,0))/100)</f>
        <v>6.7947115651778756</v>
      </c>
      <c r="O70" s="1"/>
      <c r="P70" s="274">
        <f t="shared" ref="P70:P133" si="12">AVERAGE(F70,I70,L70)</f>
        <v>5.6611100220870982</v>
      </c>
      <c r="Q70" s="275">
        <f t="shared" si="7"/>
        <v>6.9918404192650998</v>
      </c>
      <c r="R70" s="171"/>
    </row>
    <row r="71" spans="1:18">
      <c r="A71" s="26"/>
      <c r="B71" s="94">
        <f t="shared" ref="B71:B134" si="13">YEAR(D71)</f>
        <v>2027</v>
      </c>
      <c r="C71" s="1">
        <f t="shared" ref="C71:C134" si="14">MONTH(D71)</f>
        <v>6</v>
      </c>
      <c r="D71" s="213">
        <v>46539</v>
      </c>
      <c r="E71" s="1" t="str">
        <f t="shared" ref="E71:E134" si="15">C71&amp;"-"&amp;B71</f>
        <v>6-2027</v>
      </c>
      <c r="F71" s="268">
        <f>'IEPR Gas Prices Real'!F71*(INDEX('GDP Deflator'!$C$5:$C$89,MATCH('IEPR Gas Prices Nominal'!$B71,'GDP Deflator'!$B$5:$B$89,0))/100)</f>
        <v>5.5512859481749333</v>
      </c>
      <c r="G71" s="269">
        <f>'IEPR Gas Prices Real'!G71*(INDEX('GDP Deflator'!$C$5:$C$89,MATCH('IEPR Gas Prices Nominal'!$B71,'GDP Deflator'!$B$5:$B$89,0))/100)</f>
        <v>1.1635487828050251</v>
      </c>
      <c r="H71" s="270">
        <f>'IEPR Gas Prices Real'!H71*(INDEX('GDP Deflator'!$C$5:$C$89,MATCH('IEPR Gas Prices Nominal'!$B71,'GDP Deflator'!$B$5:$B$89,0))/100)</f>
        <v>6.714834730979959</v>
      </c>
      <c r="I71" s="269">
        <f>'IEPR Gas Prices Real'!I71*(INDEX('GDP Deflator'!$C$5:$C$89,MATCH('IEPR Gas Prices Nominal'!$B71,'GDP Deflator'!$B$5:$B$89,0))/100)</f>
        <v>5.8310009591710763</v>
      </c>
      <c r="J71" s="269">
        <f>'IEPR Gas Prices Real'!J71*(INDEX('GDP Deflator'!$C$5:$C$89,MATCH('IEPR Gas Prices Nominal'!$B71,'GDP Deflator'!$B$5:$B$89,0))/100)</f>
        <v>1.9213004284778368</v>
      </c>
      <c r="K71" s="269">
        <f>'IEPR Gas Prices Real'!K71*(INDEX('GDP Deflator'!$C$5:$C$89,MATCH('IEPR Gas Prices Nominal'!$B71,'GDP Deflator'!$B$5:$B$89,0))/100)</f>
        <v>7.752301387648914</v>
      </c>
      <c r="L71" s="268">
        <f>'IEPR Gas Prices Real'!L71*(INDEX('GDP Deflator'!$C$5:$C$89,MATCH('IEPR Gas Prices Nominal'!$B71,'GDP Deflator'!$B$5:$B$89,0))/100)</f>
        <v>6.0393034480316574</v>
      </c>
      <c r="M71" s="269">
        <f>'IEPR Gas Prices Real'!M71*(INDEX('GDP Deflator'!$C$5:$C$89,MATCH('IEPR Gas Prices Nominal'!$B71,'GDP Deflator'!$B$5:$B$89,0))/100)</f>
        <v>0.90734198025114077</v>
      </c>
      <c r="N71" s="270">
        <f>'IEPR Gas Prices Real'!N71*(INDEX('GDP Deflator'!$C$5:$C$89,MATCH('IEPR Gas Prices Nominal'!$B71,'GDP Deflator'!$B$5:$B$89,0))/100)</f>
        <v>6.9466454282827987</v>
      </c>
      <c r="O71" s="1"/>
      <c r="P71" s="274">
        <f t="shared" si="12"/>
        <v>5.807196785125889</v>
      </c>
      <c r="Q71" s="275">
        <f t="shared" ref="Q71:Q134" si="16">AVERAGE(H71,K71,N71)</f>
        <v>7.1379271823038906</v>
      </c>
      <c r="R71" s="171"/>
    </row>
    <row r="72" spans="1:18">
      <c r="A72" s="26"/>
      <c r="B72" s="94">
        <f t="shared" si="13"/>
        <v>2027</v>
      </c>
      <c r="C72" s="1">
        <f t="shared" si="14"/>
        <v>7</v>
      </c>
      <c r="D72" s="213">
        <v>46569</v>
      </c>
      <c r="E72" s="1" t="str">
        <f t="shared" si="15"/>
        <v>7-2027</v>
      </c>
      <c r="F72" s="268">
        <f>'IEPR Gas Prices Real'!F72*(INDEX('GDP Deflator'!$C$5:$C$89,MATCH('IEPR Gas Prices Nominal'!$B72,'GDP Deflator'!$B$5:$B$89,0))/100)</f>
        <v>5.5951055994656178</v>
      </c>
      <c r="G72" s="269">
        <f>'IEPR Gas Prices Real'!G72*(INDEX('GDP Deflator'!$C$5:$C$89,MATCH('IEPR Gas Prices Nominal'!$B72,'GDP Deflator'!$B$5:$B$89,0))/100)</f>
        <v>1.1635487828050251</v>
      </c>
      <c r="H72" s="270">
        <f>'IEPR Gas Prices Real'!H72*(INDEX('GDP Deflator'!$C$5:$C$89,MATCH('IEPR Gas Prices Nominal'!$B72,'GDP Deflator'!$B$5:$B$89,0))/100)</f>
        <v>6.7586543822706435</v>
      </c>
      <c r="I72" s="269">
        <f>'IEPR Gas Prices Real'!I72*(INDEX('GDP Deflator'!$C$5:$C$89,MATCH('IEPR Gas Prices Nominal'!$B72,'GDP Deflator'!$B$5:$B$89,0))/100)</f>
        <v>5.8769512620161137</v>
      </c>
      <c r="J72" s="269">
        <f>'IEPR Gas Prices Real'!J72*(INDEX('GDP Deflator'!$C$5:$C$89,MATCH('IEPR Gas Prices Nominal'!$B72,'GDP Deflator'!$B$5:$B$89,0))/100)</f>
        <v>1.9213004284778368</v>
      </c>
      <c r="K72" s="269">
        <f>'IEPR Gas Prices Real'!K72*(INDEX('GDP Deflator'!$C$5:$C$89,MATCH('IEPR Gas Prices Nominal'!$B72,'GDP Deflator'!$B$5:$B$89,0))/100)</f>
        <v>7.7982516904939496</v>
      </c>
      <c r="L72" s="268">
        <f>'IEPR Gas Prices Real'!L72*(INDEX('GDP Deflator'!$C$5:$C$89,MATCH('IEPR Gas Prices Nominal'!$B72,'GDP Deflator'!$B$5:$B$89,0))/100)</f>
        <v>6.086947257041575</v>
      </c>
      <c r="M72" s="269">
        <f>'IEPR Gas Prices Real'!M72*(INDEX('GDP Deflator'!$C$5:$C$89,MATCH('IEPR Gas Prices Nominal'!$B72,'GDP Deflator'!$B$5:$B$89,0))/100)</f>
        <v>0.90734198025114077</v>
      </c>
      <c r="N72" s="270">
        <f>'IEPR Gas Prices Real'!N72*(INDEX('GDP Deflator'!$C$5:$C$89,MATCH('IEPR Gas Prices Nominal'!$B72,'GDP Deflator'!$B$5:$B$89,0))/100)</f>
        <v>6.9942892372927163</v>
      </c>
      <c r="O72" s="1"/>
      <c r="P72" s="274">
        <f t="shared" si="12"/>
        <v>5.8530013728411028</v>
      </c>
      <c r="Q72" s="275">
        <f t="shared" si="16"/>
        <v>7.1837317700191035</v>
      </c>
      <c r="R72" s="171"/>
    </row>
    <row r="73" spans="1:18">
      <c r="A73" s="26"/>
      <c r="B73" s="94">
        <f t="shared" si="13"/>
        <v>2027</v>
      </c>
      <c r="C73" s="1">
        <f t="shared" si="14"/>
        <v>8</v>
      </c>
      <c r="D73" s="213">
        <v>46600</v>
      </c>
      <c r="E73" s="1" t="str">
        <f t="shared" si="15"/>
        <v>8-2027</v>
      </c>
      <c r="F73" s="268">
        <f>'IEPR Gas Prices Real'!F73*(INDEX('GDP Deflator'!$C$5:$C$89,MATCH('IEPR Gas Prices Nominal'!$B73,'GDP Deflator'!$B$5:$B$89,0))/100)</f>
        <v>5.5516691626064771</v>
      </c>
      <c r="G73" s="269">
        <f>'IEPR Gas Prices Real'!G73*(INDEX('GDP Deflator'!$C$5:$C$89,MATCH('IEPR Gas Prices Nominal'!$B73,'GDP Deflator'!$B$5:$B$89,0))/100)</f>
        <v>1.1635487828050251</v>
      </c>
      <c r="H73" s="270">
        <f>'IEPR Gas Prices Real'!H73*(INDEX('GDP Deflator'!$C$5:$C$89,MATCH('IEPR Gas Prices Nominal'!$B73,'GDP Deflator'!$B$5:$B$89,0))/100)</f>
        <v>6.7152179454115029</v>
      </c>
      <c r="I73" s="269">
        <f>'IEPR Gas Prices Real'!I73*(INDEX('GDP Deflator'!$C$5:$C$89,MATCH('IEPR Gas Prices Nominal'!$B73,'GDP Deflator'!$B$5:$B$89,0))/100)</f>
        <v>5.8312500548627781</v>
      </c>
      <c r="J73" s="269">
        <f>'IEPR Gas Prices Real'!J73*(INDEX('GDP Deflator'!$C$5:$C$89,MATCH('IEPR Gas Prices Nominal'!$B73,'GDP Deflator'!$B$5:$B$89,0))/100)</f>
        <v>1.9213004284778368</v>
      </c>
      <c r="K73" s="269">
        <f>'IEPR Gas Prices Real'!K73*(INDEX('GDP Deflator'!$C$5:$C$89,MATCH('IEPR Gas Prices Nominal'!$B73,'GDP Deflator'!$B$5:$B$89,0))/100)</f>
        <v>7.7525504833406149</v>
      </c>
      <c r="L73" s="268">
        <f>'IEPR Gas Prices Real'!L73*(INDEX('GDP Deflator'!$C$5:$C$89,MATCH('IEPR Gas Prices Nominal'!$B73,'GDP Deflator'!$B$5:$B$89,0))/100)</f>
        <v>6.0396646642049614</v>
      </c>
      <c r="M73" s="269">
        <f>'IEPR Gas Prices Real'!M73*(INDEX('GDP Deflator'!$C$5:$C$89,MATCH('IEPR Gas Prices Nominal'!$B73,'GDP Deflator'!$B$5:$B$89,0))/100)</f>
        <v>0.90734198025114077</v>
      </c>
      <c r="N73" s="270">
        <f>'IEPR Gas Prices Real'!N73*(INDEX('GDP Deflator'!$C$5:$C$89,MATCH('IEPR Gas Prices Nominal'!$B73,'GDP Deflator'!$B$5:$B$89,0))/100)</f>
        <v>6.9470066444561018</v>
      </c>
      <c r="O73" s="1"/>
      <c r="P73" s="274">
        <f t="shared" si="12"/>
        <v>5.8075279605580716</v>
      </c>
      <c r="Q73" s="275">
        <f t="shared" si="16"/>
        <v>7.1382583577360732</v>
      </c>
      <c r="R73" s="171"/>
    </row>
    <row r="74" spans="1:18">
      <c r="A74" s="26"/>
      <c r="B74" s="94">
        <f t="shared" si="13"/>
        <v>2027</v>
      </c>
      <c r="C74" s="1">
        <f t="shared" si="14"/>
        <v>9</v>
      </c>
      <c r="D74" s="213">
        <v>46631</v>
      </c>
      <c r="E74" s="1" t="str">
        <f t="shared" si="15"/>
        <v>9-2027</v>
      </c>
      <c r="F74" s="268">
        <f>'IEPR Gas Prices Real'!F74*(INDEX('GDP Deflator'!$C$5:$C$89,MATCH('IEPR Gas Prices Nominal'!$B74,'GDP Deflator'!$B$5:$B$89,0))/100)</f>
        <v>5.629535828590666</v>
      </c>
      <c r="G74" s="269">
        <f>'IEPR Gas Prices Real'!G74*(INDEX('GDP Deflator'!$C$5:$C$89,MATCH('IEPR Gas Prices Nominal'!$B74,'GDP Deflator'!$B$5:$B$89,0))/100)</f>
        <v>1.1635487828050251</v>
      </c>
      <c r="H74" s="270">
        <f>'IEPR Gas Prices Real'!H74*(INDEX('GDP Deflator'!$C$5:$C$89,MATCH('IEPR Gas Prices Nominal'!$B74,'GDP Deflator'!$B$5:$B$89,0))/100)</f>
        <v>6.7930846113956909</v>
      </c>
      <c r="I74" s="269">
        <f>'IEPR Gas Prices Real'!I74*(INDEX('GDP Deflator'!$C$5:$C$89,MATCH('IEPR Gas Prices Nominal'!$B74,'GDP Deflator'!$B$5:$B$89,0))/100)</f>
        <v>5.9129602608640033</v>
      </c>
      <c r="J74" s="269">
        <f>'IEPR Gas Prices Real'!J74*(INDEX('GDP Deflator'!$C$5:$C$89,MATCH('IEPR Gas Prices Nominal'!$B74,'GDP Deflator'!$B$5:$B$89,0))/100)</f>
        <v>1.9213004284778368</v>
      </c>
      <c r="K74" s="269">
        <f>'IEPR Gas Prices Real'!K74*(INDEX('GDP Deflator'!$C$5:$C$89,MATCH('IEPR Gas Prices Nominal'!$B74,'GDP Deflator'!$B$5:$B$89,0))/100)</f>
        <v>7.8342606893418401</v>
      </c>
      <c r="L74" s="268">
        <f>'IEPR Gas Prices Real'!L74*(INDEX('GDP Deflator'!$C$5:$C$89,MATCH('IEPR Gas Prices Nominal'!$B74,'GDP Deflator'!$B$5:$B$89,0))/100)</f>
        <v>6.1243476223069822</v>
      </c>
      <c r="M74" s="269">
        <f>'IEPR Gas Prices Real'!M74*(INDEX('GDP Deflator'!$C$5:$C$89,MATCH('IEPR Gas Prices Nominal'!$B74,'GDP Deflator'!$B$5:$B$89,0))/100)</f>
        <v>0.90734198025114077</v>
      </c>
      <c r="N74" s="270">
        <f>'IEPR Gas Prices Real'!N74*(INDEX('GDP Deflator'!$C$5:$C$89,MATCH('IEPR Gas Prices Nominal'!$B74,'GDP Deflator'!$B$5:$B$89,0))/100)</f>
        <v>7.0316896025581235</v>
      </c>
      <c r="O74" s="1"/>
      <c r="P74" s="274">
        <f t="shared" si="12"/>
        <v>5.8889479039205499</v>
      </c>
      <c r="Q74" s="275">
        <f t="shared" si="16"/>
        <v>7.2196783010985515</v>
      </c>
      <c r="R74" s="171"/>
    </row>
    <row r="75" spans="1:18">
      <c r="A75" s="26"/>
      <c r="B75" s="94">
        <f t="shared" si="13"/>
        <v>2027</v>
      </c>
      <c r="C75" s="1">
        <f t="shared" si="14"/>
        <v>10</v>
      </c>
      <c r="D75" s="213">
        <v>46661</v>
      </c>
      <c r="E75" s="1" t="str">
        <f t="shared" si="15"/>
        <v>10-2027</v>
      </c>
      <c r="F75" s="268">
        <f>'IEPR Gas Prices Real'!F75*(INDEX('GDP Deflator'!$C$5:$C$89,MATCH('IEPR Gas Prices Nominal'!$B75,'GDP Deflator'!$B$5:$B$89,0))/100)</f>
        <v>5.5968744432939008</v>
      </c>
      <c r="G75" s="269">
        <f>'IEPR Gas Prices Real'!G75*(INDEX('GDP Deflator'!$C$5:$C$89,MATCH('IEPR Gas Prices Nominal'!$B75,'GDP Deflator'!$B$5:$B$89,0))/100)</f>
        <v>1.1635487828050251</v>
      </c>
      <c r="H75" s="270">
        <f>'IEPR Gas Prices Real'!H75*(INDEX('GDP Deflator'!$C$5:$C$89,MATCH('IEPR Gas Prices Nominal'!$B75,'GDP Deflator'!$B$5:$B$89,0))/100)</f>
        <v>6.7604232260989257</v>
      </c>
      <c r="I75" s="269">
        <f>'IEPR Gas Prices Real'!I75*(INDEX('GDP Deflator'!$C$5:$C$89,MATCH('IEPR Gas Prices Nominal'!$B75,'GDP Deflator'!$B$5:$B$89,0))/100)</f>
        <v>5.8785771364309838</v>
      </c>
      <c r="J75" s="269">
        <f>'IEPR Gas Prices Real'!J75*(INDEX('GDP Deflator'!$C$5:$C$89,MATCH('IEPR Gas Prices Nominal'!$B75,'GDP Deflator'!$B$5:$B$89,0))/100)</f>
        <v>1.9213004284778368</v>
      </c>
      <c r="K75" s="269">
        <f>'IEPR Gas Prices Real'!K75*(INDEX('GDP Deflator'!$C$5:$C$89,MATCH('IEPR Gas Prices Nominal'!$B75,'GDP Deflator'!$B$5:$B$89,0))/100)</f>
        <v>7.7998775649088206</v>
      </c>
      <c r="L75" s="268">
        <f>'IEPR Gas Prices Real'!L75*(INDEX('GDP Deflator'!$C$5:$C$89,MATCH('IEPR Gas Prices Nominal'!$B75,'GDP Deflator'!$B$5:$B$89,0))/100)</f>
        <v>6.0887873612491523</v>
      </c>
      <c r="M75" s="269">
        <f>'IEPR Gas Prices Real'!M75*(INDEX('GDP Deflator'!$C$5:$C$89,MATCH('IEPR Gas Prices Nominal'!$B75,'GDP Deflator'!$B$5:$B$89,0))/100)</f>
        <v>0.90734198025114077</v>
      </c>
      <c r="N75" s="270">
        <f>'IEPR Gas Prices Real'!N75*(INDEX('GDP Deflator'!$C$5:$C$89,MATCH('IEPR Gas Prices Nominal'!$B75,'GDP Deflator'!$B$5:$B$89,0))/100)</f>
        <v>6.9961293415002936</v>
      </c>
      <c r="O75" s="1"/>
      <c r="P75" s="274">
        <f t="shared" si="12"/>
        <v>5.854746313658012</v>
      </c>
      <c r="Q75" s="275">
        <f t="shared" si="16"/>
        <v>7.1854767108360136</v>
      </c>
      <c r="R75" s="171"/>
    </row>
    <row r="76" spans="1:18">
      <c r="A76" s="26"/>
      <c r="B76" s="94">
        <f t="shared" si="13"/>
        <v>2027</v>
      </c>
      <c r="C76" s="1">
        <f t="shared" si="14"/>
        <v>11</v>
      </c>
      <c r="D76" s="213">
        <v>46692</v>
      </c>
      <c r="E76" s="1" t="str">
        <f t="shared" si="15"/>
        <v>11-2027</v>
      </c>
      <c r="F76" s="268">
        <f>'IEPR Gas Prices Real'!F76*(INDEX('GDP Deflator'!$C$5:$C$89,MATCH('IEPR Gas Prices Nominal'!$B76,'GDP Deflator'!$B$5:$B$89,0))/100)</f>
        <v>5.8732781831605934</v>
      </c>
      <c r="G76" s="269">
        <f>'IEPR Gas Prices Real'!G76*(INDEX('GDP Deflator'!$C$5:$C$89,MATCH('IEPR Gas Prices Nominal'!$B76,'GDP Deflator'!$B$5:$B$89,0))/100)</f>
        <v>1.1635487828050251</v>
      </c>
      <c r="H76" s="270">
        <f>'IEPR Gas Prices Real'!H76*(INDEX('GDP Deflator'!$C$5:$C$89,MATCH('IEPR Gas Prices Nominal'!$B76,'GDP Deflator'!$B$5:$B$89,0))/100)</f>
        <v>7.0368269659656182</v>
      </c>
      <c r="I76" s="269">
        <f>'IEPR Gas Prices Real'!I76*(INDEX('GDP Deflator'!$C$5:$C$89,MATCH('IEPR Gas Prices Nominal'!$B76,'GDP Deflator'!$B$5:$B$89,0))/100)</f>
        <v>6.1688116650440543</v>
      </c>
      <c r="J76" s="269">
        <f>'IEPR Gas Prices Real'!J76*(INDEX('GDP Deflator'!$C$5:$C$89,MATCH('IEPR Gas Prices Nominal'!$B76,'GDP Deflator'!$B$5:$B$89,0))/100)</f>
        <v>1.9213004284778368</v>
      </c>
      <c r="K76" s="269">
        <f>'IEPR Gas Prices Real'!K76*(INDEX('GDP Deflator'!$C$5:$C$89,MATCH('IEPR Gas Prices Nominal'!$B76,'GDP Deflator'!$B$5:$B$89,0))/100)</f>
        <v>8.090112093521892</v>
      </c>
      <c r="L76" s="268">
        <f>'IEPR Gas Prices Real'!L76*(INDEX('GDP Deflator'!$C$5:$C$89,MATCH('IEPR Gas Prices Nominal'!$B76,'GDP Deflator'!$B$5:$B$89,0))/100)</f>
        <v>6.3894549315396318</v>
      </c>
      <c r="M76" s="269">
        <f>'IEPR Gas Prices Real'!M76*(INDEX('GDP Deflator'!$C$5:$C$89,MATCH('IEPR Gas Prices Nominal'!$B76,'GDP Deflator'!$B$5:$B$89,0))/100)</f>
        <v>0.90734198025114077</v>
      </c>
      <c r="N76" s="270">
        <f>'IEPR Gas Prices Real'!N76*(INDEX('GDP Deflator'!$C$5:$C$89,MATCH('IEPR Gas Prices Nominal'!$B76,'GDP Deflator'!$B$5:$B$89,0))/100)</f>
        <v>7.2967969117907732</v>
      </c>
      <c r="O76" s="1"/>
      <c r="P76" s="274">
        <f t="shared" si="12"/>
        <v>6.1438482599147592</v>
      </c>
      <c r="Q76" s="275">
        <f t="shared" si="16"/>
        <v>7.4745786570927608</v>
      </c>
      <c r="R76" s="171"/>
    </row>
    <row r="77" spans="1:18">
      <c r="A77" s="26"/>
      <c r="B77" s="94">
        <f t="shared" si="13"/>
        <v>2027</v>
      </c>
      <c r="C77" s="1">
        <f t="shared" si="14"/>
        <v>12</v>
      </c>
      <c r="D77" s="213">
        <v>46722</v>
      </c>
      <c r="E77" s="1" t="str">
        <f t="shared" si="15"/>
        <v>12-2027</v>
      </c>
      <c r="F77" s="268">
        <f>'IEPR Gas Prices Real'!F77*(INDEX('GDP Deflator'!$C$5:$C$89,MATCH('IEPR Gas Prices Nominal'!$B77,'GDP Deflator'!$B$5:$B$89,0))/100)</f>
        <v>5.9202857589208486</v>
      </c>
      <c r="G77" s="269">
        <f>'IEPR Gas Prices Real'!G77*(INDEX('GDP Deflator'!$C$5:$C$89,MATCH('IEPR Gas Prices Nominal'!$B77,'GDP Deflator'!$B$5:$B$89,0))/100)</f>
        <v>1.1635487828050251</v>
      </c>
      <c r="H77" s="270">
        <f>'IEPR Gas Prices Real'!H77*(INDEX('GDP Deflator'!$C$5:$C$89,MATCH('IEPR Gas Prices Nominal'!$B77,'GDP Deflator'!$B$5:$B$89,0))/100)</f>
        <v>7.0838345417258735</v>
      </c>
      <c r="I77" s="269">
        <f>'IEPR Gas Prices Real'!I77*(INDEX('GDP Deflator'!$C$5:$C$89,MATCH('IEPR Gas Prices Nominal'!$B77,'GDP Deflator'!$B$5:$B$89,0))/100)</f>
        <v>6.2181027155013249</v>
      </c>
      <c r="J77" s="269">
        <f>'IEPR Gas Prices Real'!J77*(INDEX('GDP Deflator'!$C$5:$C$89,MATCH('IEPR Gas Prices Nominal'!$B77,'GDP Deflator'!$B$5:$B$89,0))/100)</f>
        <v>1.9213004284778368</v>
      </c>
      <c r="K77" s="269">
        <f>'IEPR Gas Prices Real'!K77*(INDEX('GDP Deflator'!$C$5:$C$89,MATCH('IEPR Gas Prices Nominal'!$B77,'GDP Deflator'!$B$5:$B$89,0))/100)</f>
        <v>8.1394031439791608</v>
      </c>
      <c r="L77" s="268">
        <f>'IEPR Gas Prices Real'!L77*(INDEX('GDP Deflator'!$C$5:$C$89,MATCH('IEPR Gas Prices Nominal'!$B77,'GDP Deflator'!$B$5:$B$89,0))/100)</f>
        <v>6.4405640837424203</v>
      </c>
      <c r="M77" s="269">
        <f>'IEPR Gas Prices Real'!M77*(INDEX('GDP Deflator'!$C$5:$C$89,MATCH('IEPR Gas Prices Nominal'!$B77,'GDP Deflator'!$B$5:$B$89,0))/100)</f>
        <v>0.90734198025114077</v>
      </c>
      <c r="N77" s="270">
        <f>'IEPR Gas Prices Real'!N77*(INDEX('GDP Deflator'!$C$5:$C$89,MATCH('IEPR Gas Prices Nominal'!$B77,'GDP Deflator'!$B$5:$B$89,0))/100)</f>
        <v>7.3479060639935616</v>
      </c>
      <c r="O77" s="1"/>
      <c r="P77" s="274">
        <f t="shared" si="12"/>
        <v>6.1929841860548649</v>
      </c>
      <c r="Q77" s="275">
        <f t="shared" si="16"/>
        <v>7.5237145832328656</v>
      </c>
      <c r="R77" s="171"/>
    </row>
    <row r="78" spans="1:18">
      <c r="A78" s="26"/>
      <c r="B78" s="94">
        <f t="shared" si="13"/>
        <v>2028</v>
      </c>
      <c r="C78" s="1">
        <f t="shared" si="14"/>
        <v>1</v>
      </c>
      <c r="D78" s="213">
        <v>46753</v>
      </c>
      <c r="E78" s="1" t="str">
        <f t="shared" si="15"/>
        <v>1-2028</v>
      </c>
      <c r="F78" s="268">
        <f>'IEPR Gas Prices Real'!F78*(INDEX('GDP Deflator'!$C$5:$C$89,MATCH('IEPR Gas Prices Nominal'!$B78,'GDP Deflator'!$B$5:$B$89,0))/100)</f>
        <v>6.0461000294746645</v>
      </c>
      <c r="G78" s="269">
        <f>'IEPR Gas Prices Real'!G78*(INDEX('GDP Deflator'!$C$5:$C$89,MATCH('IEPR Gas Prices Nominal'!$B78,'GDP Deflator'!$B$5:$B$89,0))/100)</f>
        <v>1.2357634876766872</v>
      </c>
      <c r="H78" s="270">
        <f>'IEPR Gas Prices Real'!H78*(INDEX('GDP Deflator'!$C$5:$C$89,MATCH('IEPR Gas Prices Nominal'!$B78,'GDP Deflator'!$B$5:$B$89,0))/100)</f>
        <v>7.2818635171513515</v>
      </c>
      <c r="I78" s="269">
        <f>'IEPR Gas Prices Real'!I78*(INDEX('GDP Deflator'!$C$5:$C$89,MATCH('IEPR Gas Prices Nominal'!$B78,'GDP Deflator'!$B$5:$B$89,0))/100)</f>
        <v>6.3502188903111048</v>
      </c>
      <c r="J78" s="269">
        <f>'IEPR Gas Prices Real'!J78*(INDEX('GDP Deflator'!$C$5:$C$89,MATCH('IEPR Gas Prices Nominal'!$B78,'GDP Deflator'!$B$5:$B$89,0))/100)</f>
        <v>2.0405443703414892</v>
      </c>
      <c r="K78" s="269">
        <f>'IEPR Gas Prices Real'!K78*(INDEX('GDP Deflator'!$C$5:$C$89,MATCH('IEPR Gas Prices Nominal'!$B78,'GDP Deflator'!$B$5:$B$89,0))/100)</f>
        <v>8.3907632606525944</v>
      </c>
      <c r="L78" s="268">
        <f>'IEPR Gas Prices Real'!L78*(INDEX('GDP Deflator'!$C$5:$C$89,MATCH('IEPR Gas Prices Nominal'!$B78,'GDP Deflator'!$B$5:$B$89,0))/100)</f>
        <v>6.5774734409446713</v>
      </c>
      <c r="M78" s="269">
        <f>'IEPR Gas Prices Real'!M78*(INDEX('GDP Deflator'!$C$5:$C$89,MATCH('IEPR Gas Prices Nominal'!$B78,'GDP Deflator'!$B$5:$B$89,0))/100)</f>
        <v>0.9636554191802289</v>
      </c>
      <c r="N78" s="270">
        <f>'IEPR Gas Prices Real'!N78*(INDEX('GDP Deflator'!$C$5:$C$89,MATCH('IEPR Gas Prices Nominal'!$B78,'GDP Deflator'!$B$5:$B$89,0))/100)</f>
        <v>7.5411288601249007</v>
      </c>
      <c r="O78" s="1"/>
      <c r="P78" s="274">
        <f t="shared" si="12"/>
        <v>6.3245974535768141</v>
      </c>
      <c r="Q78" s="275">
        <f t="shared" si="16"/>
        <v>7.7379185459762816</v>
      </c>
      <c r="R78" s="171"/>
    </row>
    <row r="79" spans="1:18">
      <c r="A79" s="26"/>
      <c r="B79" s="94">
        <f t="shared" si="13"/>
        <v>2028</v>
      </c>
      <c r="C79" s="1">
        <f t="shared" si="14"/>
        <v>2</v>
      </c>
      <c r="D79" s="213">
        <v>46784</v>
      </c>
      <c r="E79" s="1" t="str">
        <f t="shared" si="15"/>
        <v>2-2028</v>
      </c>
      <c r="F79" s="268">
        <f>'IEPR Gas Prices Real'!F79*(INDEX('GDP Deflator'!$C$5:$C$89,MATCH('IEPR Gas Prices Nominal'!$B79,'GDP Deflator'!$B$5:$B$89,0))/100)</f>
        <v>5.9134010306696343</v>
      </c>
      <c r="G79" s="269">
        <f>'IEPR Gas Prices Real'!G79*(INDEX('GDP Deflator'!$C$5:$C$89,MATCH('IEPR Gas Prices Nominal'!$B79,'GDP Deflator'!$B$5:$B$89,0))/100)</f>
        <v>1.2357634876766872</v>
      </c>
      <c r="H79" s="270">
        <f>'IEPR Gas Prices Real'!H79*(INDEX('GDP Deflator'!$C$5:$C$89,MATCH('IEPR Gas Prices Nominal'!$B79,'GDP Deflator'!$B$5:$B$89,0))/100)</f>
        <v>7.1491645183463213</v>
      </c>
      <c r="I79" s="269">
        <f>'IEPR Gas Prices Real'!I79*(INDEX('GDP Deflator'!$C$5:$C$89,MATCH('IEPR Gas Prices Nominal'!$B79,'GDP Deflator'!$B$5:$B$89,0))/100)</f>
        <v>6.2108186044902656</v>
      </c>
      <c r="J79" s="269">
        <f>'IEPR Gas Prices Real'!J79*(INDEX('GDP Deflator'!$C$5:$C$89,MATCH('IEPR Gas Prices Nominal'!$B79,'GDP Deflator'!$B$5:$B$89,0))/100)</f>
        <v>2.0405443703414892</v>
      </c>
      <c r="K79" s="269">
        <f>'IEPR Gas Prices Real'!K79*(INDEX('GDP Deflator'!$C$5:$C$89,MATCH('IEPR Gas Prices Nominal'!$B79,'GDP Deflator'!$B$5:$B$89,0))/100)</f>
        <v>8.2513629748317534</v>
      </c>
      <c r="L79" s="268">
        <f>'IEPR Gas Prices Real'!L79*(INDEX('GDP Deflator'!$C$5:$C$89,MATCH('IEPR Gas Prices Nominal'!$B79,'GDP Deflator'!$B$5:$B$89,0))/100)</f>
        <v>6.4331495419616163</v>
      </c>
      <c r="M79" s="269">
        <f>'IEPR Gas Prices Real'!M79*(INDEX('GDP Deflator'!$C$5:$C$89,MATCH('IEPR Gas Prices Nominal'!$B79,'GDP Deflator'!$B$5:$B$89,0))/100)</f>
        <v>0.9636554191802289</v>
      </c>
      <c r="N79" s="270">
        <f>'IEPR Gas Prices Real'!N79*(INDEX('GDP Deflator'!$C$5:$C$89,MATCH('IEPR Gas Prices Nominal'!$B79,'GDP Deflator'!$B$5:$B$89,0))/100)</f>
        <v>7.3968049611418456</v>
      </c>
      <c r="O79" s="1"/>
      <c r="P79" s="274">
        <f t="shared" si="12"/>
        <v>6.1857897257071714</v>
      </c>
      <c r="Q79" s="275">
        <f t="shared" si="16"/>
        <v>7.5991108181066407</v>
      </c>
      <c r="R79" s="171"/>
    </row>
    <row r="80" spans="1:18">
      <c r="A80" s="26"/>
      <c r="B80" s="94">
        <f t="shared" si="13"/>
        <v>2028</v>
      </c>
      <c r="C80" s="1">
        <f t="shared" si="14"/>
        <v>3</v>
      </c>
      <c r="D80" s="213">
        <v>46813</v>
      </c>
      <c r="E80" s="1" t="str">
        <f t="shared" si="15"/>
        <v>3-2028</v>
      </c>
      <c r="F80" s="268">
        <f>'IEPR Gas Prices Real'!F80*(INDEX('GDP Deflator'!$C$5:$C$89,MATCH('IEPR Gas Prices Nominal'!$B80,'GDP Deflator'!$B$5:$B$89,0))/100)</f>
        <v>5.4283908603311239</v>
      </c>
      <c r="G80" s="269">
        <f>'IEPR Gas Prices Real'!G80*(INDEX('GDP Deflator'!$C$5:$C$89,MATCH('IEPR Gas Prices Nominal'!$B80,'GDP Deflator'!$B$5:$B$89,0))/100)</f>
        <v>1.2357634876766872</v>
      </c>
      <c r="H80" s="270">
        <f>'IEPR Gas Prices Real'!H80*(INDEX('GDP Deflator'!$C$5:$C$89,MATCH('IEPR Gas Prices Nominal'!$B80,'GDP Deflator'!$B$5:$B$89,0))/100)</f>
        <v>6.6641543480078109</v>
      </c>
      <c r="I80" s="269">
        <f>'IEPR Gas Prices Real'!I80*(INDEX('GDP Deflator'!$C$5:$C$89,MATCH('IEPR Gas Prices Nominal'!$B80,'GDP Deflator'!$B$5:$B$89,0))/100)</f>
        <v>5.7013902417140301</v>
      </c>
      <c r="J80" s="269">
        <f>'IEPR Gas Prices Real'!J80*(INDEX('GDP Deflator'!$C$5:$C$89,MATCH('IEPR Gas Prices Nominal'!$B80,'GDP Deflator'!$B$5:$B$89,0))/100)</f>
        <v>2.0405443703414892</v>
      </c>
      <c r="K80" s="269">
        <f>'IEPR Gas Prices Real'!K80*(INDEX('GDP Deflator'!$C$5:$C$89,MATCH('IEPR Gas Prices Nominal'!$B80,'GDP Deflator'!$B$5:$B$89,0))/100)</f>
        <v>7.7419346120555188</v>
      </c>
      <c r="L80" s="268">
        <f>'IEPR Gas Prices Real'!L80*(INDEX('GDP Deflator'!$C$5:$C$89,MATCH('IEPR Gas Prices Nominal'!$B80,'GDP Deflator'!$B$5:$B$89,0))/100)</f>
        <v>5.9055447446911398</v>
      </c>
      <c r="M80" s="269">
        <f>'IEPR Gas Prices Real'!M80*(INDEX('GDP Deflator'!$C$5:$C$89,MATCH('IEPR Gas Prices Nominal'!$B80,'GDP Deflator'!$B$5:$B$89,0))/100)</f>
        <v>0.9636554191802289</v>
      </c>
      <c r="N80" s="270">
        <f>'IEPR Gas Prices Real'!N80*(INDEX('GDP Deflator'!$C$5:$C$89,MATCH('IEPR Gas Prices Nominal'!$B80,'GDP Deflator'!$B$5:$B$89,0))/100)</f>
        <v>6.8692001638713691</v>
      </c>
      <c r="O80" s="1"/>
      <c r="P80" s="274">
        <f t="shared" si="12"/>
        <v>5.6784419489120976</v>
      </c>
      <c r="Q80" s="275">
        <f t="shared" si="16"/>
        <v>7.091763041311566</v>
      </c>
      <c r="R80" s="171"/>
    </row>
    <row r="81" spans="1:18">
      <c r="A81" s="26"/>
      <c r="B81" s="94">
        <f t="shared" si="13"/>
        <v>2028</v>
      </c>
      <c r="C81" s="1">
        <f t="shared" si="14"/>
        <v>4</v>
      </c>
      <c r="D81" s="213">
        <v>46844</v>
      </c>
      <c r="E81" s="1" t="str">
        <f t="shared" si="15"/>
        <v>4-2028</v>
      </c>
      <c r="F81" s="268">
        <f>'IEPR Gas Prices Real'!F81*(INDEX('GDP Deflator'!$C$5:$C$89,MATCH('IEPR Gas Prices Nominal'!$B81,'GDP Deflator'!$B$5:$B$89,0))/100)</f>
        <v>5.3358994162932678</v>
      </c>
      <c r="G81" s="269">
        <f>'IEPR Gas Prices Real'!G81*(INDEX('GDP Deflator'!$C$5:$C$89,MATCH('IEPR Gas Prices Nominal'!$B81,'GDP Deflator'!$B$5:$B$89,0))/100)</f>
        <v>1.2357634876766872</v>
      </c>
      <c r="H81" s="270">
        <f>'IEPR Gas Prices Real'!H81*(INDEX('GDP Deflator'!$C$5:$C$89,MATCH('IEPR Gas Prices Nominal'!$B81,'GDP Deflator'!$B$5:$B$89,0))/100)</f>
        <v>6.5716629039699548</v>
      </c>
      <c r="I81" s="269">
        <f>'IEPR Gas Prices Real'!I81*(INDEX('GDP Deflator'!$C$5:$C$89,MATCH('IEPR Gas Prices Nominal'!$B81,'GDP Deflator'!$B$5:$B$89,0))/100)</f>
        <v>5.6042233650943283</v>
      </c>
      <c r="J81" s="269">
        <f>'IEPR Gas Prices Real'!J81*(INDEX('GDP Deflator'!$C$5:$C$89,MATCH('IEPR Gas Prices Nominal'!$B81,'GDP Deflator'!$B$5:$B$89,0))/100)</f>
        <v>2.0405443703414892</v>
      </c>
      <c r="K81" s="269">
        <f>'IEPR Gas Prices Real'!K81*(INDEX('GDP Deflator'!$C$5:$C$89,MATCH('IEPR Gas Prices Nominal'!$B81,'GDP Deflator'!$B$5:$B$89,0))/100)</f>
        <v>7.644767735435817</v>
      </c>
      <c r="L81" s="268">
        <f>'IEPR Gas Prices Real'!L81*(INDEX('GDP Deflator'!$C$5:$C$89,MATCH('IEPR Gas Prices Nominal'!$B81,'GDP Deflator'!$B$5:$B$89,0))/100)</f>
        <v>5.8049572795269775</v>
      </c>
      <c r="M81" s="269">
        <f>'IEPR Gas Prices Real'!M81*(INDEX('GDP Deflator'!$C$5:$C$89,MATCH('IEPR Gas Prices Nominal'!$B81,'GDP Deflator'!$B$5:$B$89,0))/100)</f>
        <v>0.9636554191802289</v>
      </c>
      <c r="N81" s="270">
        <f>'IEPR Gas Prices Real'!N81*(INDEX('GDP Deflator'!$C$5:$C$89,MATCH('IEPR Gas Prices Nominal'!$B81,'GDP Deflator'!$B$5:$B$89,0))/100)</f>
        <v>6.7686126987072068</v>
      </c>
      <c r="O81" s="1"/>
      <c r="P81" s="274">
        <f t="shared" si="12"/>
        <v>5.5816933536381912</v>
      </c>
      <c r="Q81" s="275">
        <f t="shared" si="16"/>
        <v>6.9950144460376604</v>
      </c>
      <c r="R81" s="171"/>
    </row>
    <row r="82" spans="1:18">
      <c r="A82" s="26"/>
      <c r="B82" s="94">
        <f t="shared" si="13"/>
        <v>2028</v>
      </c>
      <c r="C82" s="1">
        <f t="shared" si="14"/>
        <v>5</v>
      </c>
      <c r="D82" s="213">
        <v>46874</v>
      </c>
      <c r="E82" s="1" t="str">
        <f t="shared" si="15"/>
        <v>5-2028</v>
      </c>
      <c r="F82" s="268">
        <f>'IEPR Gas Prices Real'!F82*(INDEX('GDP Deflator'!$C$5:$C$89,MATCH('IEPR Gas Prices Nominal'!$B82,'GDP Deflator'!$B$5:$B$89,0))/100)</f>
        <v>5.521475177701749</v>
      </c>
      <c r="G82" s="269">
        <f>'IEPR Gas Prices Real'!G82*(INDEX('GDP Deflator'!$C$5:$C$89,MATCH('IEPR Gas Prices Nominal'!$B82,'GDP Deflator'!$B$5:$B$89,0))/100)</f>
        <v>1.2357634876766872</v>
      </c>
      <c r="H82" s="270">
        <f>'IEPR Gas Prices Real'!H82*(INDEX('GDP Deflator'!$C$5:$C$89,MATCH('IEPR Gas Prices Nominal'!$B82,'GDP Deflator'!$B$5:$B$89,0))/100)</f>
        <v>6.757238665378436</v>
      </c>
      <c r="I82" s="269">
        <f>'IEPR Gas Prices Real'!I82*(INDEX('GDP Deflator'!$C$5:$C$89,MATCH('IEPR Gas Prices Nominal'!$B82,'GDP Deflator'!$B$5:$B$89,0))/100)</f>
        <v>5.7991063122070186</v>
      </c>
      <c r="J82" s="269">
        <f>'IEPR Gas Prices Real'!J82*(INDEX('GDP Deflator'!$C$5:$C$89,MATCH('IEPR Gas Prices Nominal'!$B82,'GDP Deflator'!$B$5:$B$89,0))/100)</f>
        <v>2.0405443703414892</v>
      </c>
      <c r="K82" s="269">
        <f>'IEPR Gas Prices Real'!K82*(INDEX('GDP Deflator'!$C$5:$C$89,MATCH('IEPR Gas Prices Nominal'!$B82,'GDP Deflator'!$B$5:$B$89,0))/100)</f>
        <v>7.8396506825485073</v>
      </c>
      <c r="L82" s="268">
        <f>'IEPR Gas Prices Real'!L82*(INDEX('GDP Deflator'!$C$5:$C$89,MATCH('IEPR Gas Prices Nominal'!$B82,'GDP Deflator'!$B$5:$B$89,0))/100)</f>
        <v>6.006881407432143</v>
      </c>
      <c r="M82" s="269">
        <f>'IEPR Gas Prices Real'!M82*(INDEX('GDP Deflator'!$C$5:$C$89,MATCH('IEPR Gas Prices Nominal'!$B82,'GDP Deflator'!$B$5:$B$89,0))/100)</f>
        <v>0.9636554191802289</v>
      </c>
      <c r="N82" s="270">
        <f>'IEPR Gas Prices Real'!N82*(INDEX('GDP Deflator'!$C$5:$C$89,MATCH('IEPR Gas Prices Nominal'!$B82,'GDP Deflator'!$B$5:$B$89,0))/100)</f>
        <v>6.9705368266123724</v>
      </c>
      <c r="O82" s="1"/>
      <c r="P82" s="274">
        <f t="shared" si="12"/>
        <v>5.7758209657803041</v>
      </c>
      <c r="Q82" s="275">
        <f t="shared" si="16"/>
        <v>7.1891420581797716</v>
      </c>
      <c r="R82" s="171"/>
    </row>
    <row r="83" spans="1:18">
      <c r="A83" s="26"/>
      <c r="B83" s="94">
        <f t="shared" si="13"/>
        <v>2028</v>
      </c>
      <c r="C83" s="1">
        <f t="shared" si="14"/>
        <v>6</v>
      </c>
      <c r="D83" s="213">
        <v>46905</v>
      </c>
      <c r="E83" s="1" t="str">
        <f t="shared" si="15"/>
        <v>6-2028</v>
      </c>
      <c r="F83" s="268">
        <f>'IEPR Gas Prices Real'!F83*(INDEX('GDP Deflator'!$C$5:$C$89,MATCH('IEPR Gas Prices Nominal'!$B83,'GDP Deflator'!$B$5:$B$89,0))/100)</f>
        <v>5.6640848214715884</v>
      </c>
      <c r="G83" s="269">
        <f>'IEPR Gas Prices Real'!G83*(INDEX('GDP Deflator'!$C$5:$C$89,MATCH('IEPR Gas Prices Nominal'!$B83,'GDP Deflator'!$B$5:$B$89,0))/100)</f>
        <v>1.2357634876766872</v>
      </c>
      <c r="H83" s="270">
        <f>'IEPR Gas Prices Real'!H83*(INDEX('GDP Deflator'!$C$5:$C$89,MATCH('IEPR Gas Prices Nominal'!$B83,'GDP Deflator'!$B$5:$B$89,0))/100)</f>
        <v>6.8998483091482754</v>
      </c>
      <c r="I83" s="269">
        <f>'IEPR Gas Prices Real'!I83*(INDEX('GDP Deflator'!$C$5:$C$89,MATCH('IEPR Gas Prices Nominal'!$B83,'GDP Deflator'!$B$5:$B$89,0))/100)</f>
        <v>5.9488612407912562</v>
      </c>
      <c r="J83" s="269">
        <f>'IEPR Gas Prices Real'!J83*(INDEX('GDP Deflator'!$C$5:$C$89,MATCH('IEPR Gas Prices Nominal'!$B83,'GDP Deflator'!$B$5:$B$89,0))/100)</f>
        <v>2.0405443703414892</v>
      </c>
      <c r="K83" s="269">
        <f>'IEPR Gas Prices Real'!K83*(INDEX('GDP Deflator'!$C$5:$C$89,MATCH('IEPR Gas Prices Nominal'!$B83,'GDP Deflator'!$B$5:$B$89,0))/100)</f>
        <v>7.9894056111327449</v>
      </c>
      <c r="L83" s="268">
        <f>'IEPR Gas Prices Real'!L83*(INDEX('GDP Deflator'!$C$5:$C$89,MATCH('IEPR Gas Prices Nominal'!$B83,'GDP Deflator'!$B$5:$B$89,0))/100)</f>
        <v>6.162064255391221</v>
      </c>
      <c r="M83" s="269">
        <f>'IEPR Gas Prices Real'!M83*(INDEX('GDP Deflator'!$C$5:$C$89,MATCH('IEPR Gas Prices Nominal'!$B83,'GDP Deflator'!$B$5:$B$89,0))/100)</f>
        <v>0.9636554191802289</v>
      </c>
      <c r="N83" s="270">
        <f>'IEPR Gas Prices Real'!N83*(INDEX('GDP Deflator'!$C$5:$C$89,MATCH('IEPR Gas Prices Nominal'!$B83,'GDP Deflator'!$B$5:$B$89,0))/100)</f>
        <v>7.1257196745714495</v>
      </c>
      <c r="O83" s="1"/>
      <c r="P83" s="274">
        <f t="shared" si="12"/>
        <v>5.9250034392180213</v>
      </c>
      <c r="Q83" s="275">
        <f t="shared" si="16"/>
        <v>7.3383245316174905</v>
      </c>
      <c r="R83" s="171"/>
    </row>
    <row r="84" spans="1:18">
      <c r="A84" s="26"/>
      <c r="B84" s="94">
        <f t="shared" si="13"/>
        <v>2028</v>
      </c>
      <c r="C84" s="1">
        <f t="shared" si="14"/>
        <v>7</v>
      </c>
      <c r="D84" s="213">
        <v>46935</v>
      </c>
      <c r="E84" s="1" t="str">
        <f t="shared" si="15"/>
        <v>7-2028</v>
      </c>
      <c r="F84" s="268">
        <f>'IEPR Gas Prices Real'!F84*(INDEX('GDP Deflator'!$C$5:$C$89,MATCH('IEPR Gas Prices Nominal'!$B84,'GDP Deflator'!$B$5:$B$89,0))/100)</f>
        <v>5.7088878260083238</v>
      </c>
      <c r="G84" s="269">
        <f>'IEPR Gas Prices Real'!G84*(INDEX('GDP Deflator'!$C$5:$C$89,MATCH('IEPR Gas Prices Nominal'!$B84,'GDP Deflator'!$B$5:$B$89,0))/100)</f>
        <v>1.2357634876766872</v>
      </c>
      <c r="H84" s="270">
        <f>'IEPR Gas Prices Real'!H84*(INDEX('GDP Deflator'!$C$5:$C$89,MATCH('IEPR Gas Prices Nominal'!$B84,'GDP Deflator'!$B$5:$B$89,0))/100)</f>
        <v>6.9446513136850108</v>
      </c>
      <c r="I84" s="269">
        <f>'IEPR Gas Prices Real'!I84*(INDEX('GDP Deflator'!$C$5:$C$89,MATCH('IEPR Gas Prices Nominal'!$B84,'GDP Deflator'!$B$5:$B$89,0))/100)</f>
        <v>5.9958912055451155</v>
      </c>
      <c r="J84" s="269">
        <f>'IEPR Gas Prices Real'!J84*(INDEX('GDP Deflator'!$C$5:$C$89,MATCH('IEPR Gas Prices Nominal'!$B84,'GDP Deflator'!$B$5:$B$89,0))/100)</f>
        <v>2.0405443703414892</v>
      </c>
      <c r="K84" s="269">
        <f>'IEPR Gas Prices Real'!K84*(INDEX('GDP Deflator'!$C$5:$C$89,MATCH('IEPR Gas Prices Nominal'!$B84,'GDP Deflator'!$B$5:$B$89,0))/100)</f>
        <v>8.0364355758866033</v>
      </c>
      <c r="L84" s="268">
        <f>'IEPR Gas Prices Real'!L84*(INDEX('GDP Deflator'!$C$5:$C$89,MATCH('IEPR Gas Prices Nominal'!$B84,'GDP Deflator'!$B$5:$B$89,0))/100)</f>
        <v>6.2108426210060497</v>
      </c>
      <c r="M84" s="269">
        <f>'IEPR Gas Prices Real'!M84*(INDEX('GDP Deflator'!$C$5:$C$89,MATCH('IEPR Gas Prices Nominal'!$B84,'GDP Deflator'!$B$5:$B$89,0))/100)</f>
        <v>0.9636554191802289</v>
      </c>
      <c r="N84" s="270">
        <f>'IEPR Gas Prices Real'!N84*(INDEX('GDP Deflator'!$C$5:$C$89,MATCH('IEPR Gas Prices Nominal'!$B84,'GDP Deflator'!$B$5:$B$89,0))/100)</f>
        <v>7.1744980401862781</v>
      </c>
      <c r="O84" s="1"/>
      <c r="P84" s="274">
        <f t="shared" si="12"/>
        <v>5.971873884186496</v>
      </c>
      <c r="Q84" s="275">
        <f t="shared" si="16"/>
        <v>7.3851949765859644</v>
      </c>
      <c r="R84" s="171"/>
    </row>
    <row r="85" spans="1:18">
      <c r="A85" s="26"/>
      <c r="B85" s="94">
        <f t="shared" si="13"/>
        <v>2028</v>
      </c>
      <c r="C85" s="1">
        <f t="shared" si="14"/>
        <v>8</v>
      </c>
      <c r="D85" s="213">
        <v>46966</v>
      </c>
      <c r="E85" s="1" t="str">
        <f t="shared" si="15"/>
        <v>8-2028</v>
      </c>
      <c r="F85" s="268">
        <f>'IEPR Gas Prices Real'!F85*(INDEX('GDP Deflator'!$C$5:$C$89,MATCH('IEPR Gas Prices Nominal'!$B85,'GDP Deflator'!$B$5:$B$89,0))/100)</f>
        <v>5.6646603214735753</v>
      </c>
      <c r="G85" s="269">
        <f>'IEPR Gas Prices Real'!G85*(INDEX('GDP Deflator'!$C$5:$C$89,MATCH('IEPR Gas Prices Nominal'!$B85,'GDP Deflator'!$B$5:$B$89,0))/100)</f>
        <v>1.2357634876766872</v>
      </c>
      <c r="H85" s="270">
        <f>'IEPR Gas Prices Real'!H85*(INDEX('GDP Deflator'!$C$5:$C$89,MATCH('IEPR Gas Prices Nominal'!$B85,'GDP Deflator'!$B$5:$B$89,0))/100)</f>
        <v>6.9004238091502614</v>
      </c>
      <c r="I85" s="269">
        <f>'IEPR Gas Prices Real'!I85*(INDEX('GDP Deflator'!$C$5:$C$89,MATCH('IEPR Gas Prices Nominal'!$B85,'GDP Deflator'!$B$5:$B$89,0))/100)</f>
        <v>5.9494148173521708</v>
      </c>
      <c r="J85" s="269">
        <f>'IEPR Gas Prices Real'!J85*(INDEX('GDP Deflator'!$C$5:$C$89,MATCH('IEPR Gas Prices Nominal'!$B85,'GDP Deflator'!$B$5:$B$89,0))/100)</f>
        <v>2.0405443703414892</v>
      </c>
      <c r="K85" s="269">
        <f>'IEPR Gas Prices Real'!K85*(INDEX('GDP Deflator'!$C$5:$C$89,MATCH('IEPR Gas Prices Nominal'!$B85,'GDP Deflator'!$B$5:$B$89,0))/100)</f>
        <v>7.9899591876936595</v>
      </c>
      <c r="L85" s="268">
        <f>'IEPR Gas Prices Real'!L85*(INDEX('GDP Deflator'!$C$5:$C$89,MATCH('IEPR Gas Prices Nominal'!$B85,'GDP Deflator'!$B$5:$B$89,0))/100)</f>
        <v>6.1627624654017987</v>
      </c>
      <c r="M85" s="269">
        <f>'IEPR Gas Prices Real'!M85*(INDEX('GDP Deflator'!$C$5:$C$89,MATCH('IEPR Gas Prices Nominal'!$B85,'GDP Deflator'!$B$5:$B$89,0))/100)</f>
        <v>0.9636554191802289</v>
      </c>
      <c r="N85" s="270">
        <f>'IEPR Gas Prices Real'!N85*(INDEX('GDP Deflator'!$C$5:$C$89,MATCH('IEPR Gas Prices Nominal'!$B85,'GDP Deflator'!$B$5:$B$89,0))/100)</f>
        <v>7.1264178845820272</v>
      </c>
      <c r="O85" s="1"/>
      <c r="P85" s="274">
        <f t="shared" si="12"/>
        <v>5.9256125347425153</v>
      </c>
      <c r="Q85" s="275">
        <f t="shared" si="16"/>
        <v>7.3389336271419836</v>
      </c>
      <c r="R85" s="171"/>
    </row>
    <row r="86" spans="1:18">
      <c r="A86" s="26"/>
      <c r="B86" s="94">
        <f t="shared" si="13"/>
        <v>2028</v>
      </c>
      <c r="C86" s="1">
        <f t="shared" si="14"/>
        <v>9</v>
      </c>
      <c r="D86" s="213">
        <v>46997</v>
      </c>
      <c r="E86" s="1" t="str">
        <f t="shared" si="15"/>
        <v>9-2028</v>
      </c>
      <c r="F86" s="268">
        <f>'IEPR Gas Prices Real'!F86*(INDEX('GDP Deflator'!$C$5:$C$89,MATCH('IEPR Gas Prices Nominal'!$B86,'GDP Deflator'!$B$5:$B$89,0))/100)</f>
        <v>5.7442053463018272</v>
      </c>
      <c r="G86" s="269">
        <f>'IEPR Gas Prices Real'!G86*(INDEX('GDP Deflator'!$C$5:$C$89,MATCH('IEPR Gas Prices Nominal'!$B86,'GDP Deflator'!$B$5:$B$89,0))/100)</f>
        <v>1.2357634876766872</v>
      </c>
      <c r="H86" s="270">
        <f>'IEPR Gas Prices Real'!H86*(INDEX('GDP Deflator'!$C$5:$C$89,MATCH('IEPR Gas Prices Nominal'!$B86,'GDP Deflator'!$B$5:$B$89,0))/100)</f>
        <v>6.9799688339785142</v>
      </c>
      <c r="I86" s="269">
        <f>'IEPR Gas Prices Real'!I86*(INDEX('GDP Deflator'!$C$5:$C$89,MATCH('IEPR Gas Prices Nominal'!$B86,'GDP Deflator'!$B$5:$B$89,0))/100)</f>
        <v>6.0329326673367252</v>
      </c>
      <c r="J86" s="269">
        <f>'IEPR Gas Prices Real'!J86*(INDEX('GDP Deflator'!$C$5:$C$89,MATCH('IEPR Gas Prices Nominal'!$B86,'GDP Deflator'!$B$5:$B$89,0))/100)</f>
        <v>2.0405443703414892</v>
      </c>
      <c r="K86" s="269">
        <f>'IEPR Gas Prices Real'!K86*(INDEX('GDP Deflator'!$C$5:$C$89,MATCH('IEPR Gas Prices Nominal'!$B86,'GDP Deflator'!$B$5:$B$89,0))/100)</f>
        <v>8.0734770376782148</v>
      </c>
      <c r="L86" s="268">
        <f>'IEPR Gas Prices Real'!L86*(INDEX('GDP Deflator'!$C$5:$C$89,MATCH('IEPR Gas Prices Nominal'!$B86,'GDP Deflator'!$B$5:$B$89,0))/100)</f>
        <v>6.2493385743147956</v>
      </c>
      <c r="M86" s="269">
        <f>'IEPR Gas Prices Real'!M86*(INDEX('GDP Deflator'!$C$5:$C$89,MATCH('IEPR Gas Prices Nominal'!$B86,'GDP Deflator'!$B$5:$B$89,0))/100)</f>
        <v>0.9636554191802289</v>
      </c>
      <c r="N86" s="270">
        <f>'IEPR Gas Prices Real'!N86*(INDEX('GDP Deflator'!$C$5:$C$89,MATCH('IEPR Gas Prices Nominal'!$B86,'GDP Deflator'!$B$5:$B$89,0))/100)</f>
        <v>7.212993993495024</v>
      </c>
      <c r="O86" s="1"/>
      <c r="P86" s="274">
        <f t="shared" si="12"/>
        <v>6.0088255293177824</v>
      </c>
      <c r="Q86" s="275">
        <f t="shared" si="16"/>
        <v>7.4221466217172507</v>
      </c>
      <c r="R86" s="171"/>
    </row>
    <row r="87" spans="1:18">
      <c r="A87" s="26"/>
      <c r="B87" s="94">
        <f t="shared" si="13"/>
        <v>2028</v>
      </c>
      <c r="C87" s="1">
        <f t="shared" si="14"/>
        <v>10</v>
      </c>
      <c r="D87" s="213">
        <v>47027</v>
      </c>
      <c r="E87" s="1" t="str">
        <f t="shared" si="15"/>
        <v>10-2028</v>
      </c>
      <c r="F87" s="268">
        <f>'IEPR Gas Prices Real'!F87*(INDEX('GDP Deflator'!$C$5:$C$89,MATCH('IEPR Gas Prices Nominal'!$B87,'GDP Deflator'!$B$5:$B$89,0))/100)</f>
        <v>5.710971710942581</v>
      </c>
      <c r="G87" s="269">
        <f>'IEPR Gas Prices Real'!G87*(INDEX('GDP Deflator'!$C$5:$C$89,MATCH('IEPR Gas Prices Nominal'!$B87,'GDP Deflator'!$B$5:$B$89,0))/100)</f>
        <v>1.2357634876766872</v>
      </c>
      <c r="H87" s="270">
        <f>'IEPR Gas Prices Real'!H87*(INDEX('GDP Deflator'!$C$5:$C$89,MATCH('IEPR Gas Prices Nominal'!$B87,'GDP Deflator'!$B$5:$B$89,0))/100)</f>
        <v>6.946735198619268</v>
      </c>
      <c r="I87" s="269">
        <f>'IEPR Gas Prices Real'!I87*(INDEX('GDP Deflator'!$C$5:$C$89,MATCH('IEPR Gas Prices Nominal'!$B87,'GDP Deflator'!$B$5:$B$89,0))/100)</f>
        <v>5.9980029278308438</v>
      </c>
      <c r="J87" s="269">
        <f>'IEPR Gas Prices Real'!J87*(INDEX('GDP Deflator'!$C$5:$C$89,MATCH('IEPR Gas Prices Nominal'!$B87,'GDP Deflator'!$B$5:$B$89,0))/100)</f>
        <v>2.0405443703414892</v>
      </c>
      <c r="K87" s="269">
        <f>'IEPR Gas Prices Real'!K87*(INDEX('GDP Deflator'!$C$5:$C$89,MATCH('IEPR Gas Prices Nominal'!$B87,'GDP Deflator'!$B$5:$B$89,0))/100)</f>
        <v>8.0385472981723325</v>
      </c>
      <c r="L87" s="268">
        <f>'IEPR Gas Prices Real'!L87*(INDEX('GDP Deflator'!$C$5:$C$89,MATCH('IEPR Gas Prices Nominal'!$B87,'GDP Deflator'!$B$5:$B$89,0))/100)</f>
        <v>6.2132188065631206</v>
      </c>
      <c r="M87" s="269">
        <f>'IEPR Gas Prices Real'!M87*(INDEX('GDP Deflator'!$C$5:$C$89,MATCH('IEPR Gas Prices Nominal'!$B87,'GDP Deflator'!$B$5:$B$89,0))/100)</f>
        <v>0.9636554191802289</v>
      </c>
      <c r="N87" s="270">
        <f>'IEPR Gas Prices Real'!N87*(INDEX('GDP Deflator'!$C$5:$C$89,MATCH('IEPR Gas Prices Nominal'!$B87,'GDP Deflator'!$B$5:$B$89,0))/100)</f>
        <v>7.1768742257433491</v>
      </c>
      <c r="O87" s="1"/>
      <c r="P87" s="274">
        <f t="shared" si="12"/>
        <v>5.9740644817788491</v>
      </c>
      <c r="Q87" s="275">
        <f t="shared" si="16"/>
        <v>7.3873855741783174</v>
      </c>
      <c r="R87" s="171"/>
    </row>
    <row r="88" spans="1:18">
      <c r="A88" s="26"/>
      <c r="B88" s="94">
        <f t="shared" si="13"/>
        <v>2028</v>
      </c>
      <c r="C88" s="1">
        <f t="shared" si="14"/>
        <v>11</v>
      </c>
      <c r="D88" s="213">
        <v>47058</v>
      </c>
      <c r="E88" s="1" t="str">
        <f t="shared" si="15"/>
        <v>11-2028</v>
      </c>
      <c r="F88" s="268">
        <f>'IEPR Gas Prices Real'!F88*(INDEX('GDP Deflator'!$C$5:$C$89,MATCH('IEPR Gas Prices Nominal'!$B88,'GDP Deflator'!$B$5:$B$89,0))/100)</f>
        <v>5.9931078361196706</v>
      </c>
      <c r="G88" s="269">
        <f>'IEPR Gas Prices Real'!G88*(INDEX('GDP Deflator'!$C$5:$C$89,MATCH('IEPR Gas Prices Nominal'!$B88,'GDP Deflator'!$B$5:$B$89,0))/100)</f>
        <v>1.2357634876766872</v>
      </c>
      <c r="H88" s="270">
        <f>'IEPR Gas Prices Real'!H88*(INDEX('GDP Deflator'!$C$5:$C$89,MATCH('IEPR Gas Prices Nominal'!$B88,'GDP Deflator'!$B$5:$B$89,0))/100)</f>
        <v>7.2288713237963576</v>
      </c>
      <c r="I88" s="269">
        <f>'IEPR Gas Prices Real'!I88*(INDEX('GDP Deflator'!$C$5:$C$89,MATCH('IEPR Gas Prices Nominal'!$B88,'GDP Deflator'!$B$5:$B$89,0))/100)</f>
        <v>6.2942921891555503</v>
      </c>
      <c r="J88" s="269">
        <f>'IEPR Gas Prices Real'!J88*(INDEX('GDP Deflator'!$C$5:$C$89,MATCH('IEPR Gas Prices Nominal'!$B88,'GDP Deflator'!$B$5:$B$89,0))/100)</f>
        <v>2.0405443703414892</v>
      </c>
      <c r="K88" s="269">
        <f>'IEPR Gas Prices Real'!K88*(INDEX('GDP Deflator'!$C$5:$C$89,MATCH('IEPR Gas Prices Nominal'!$B88,'GDP Deflator'!$B$5:$B$89,0))/100)</f>
        <v>8.3348365594970399</v>
      </c>
      <c r="L88" s="268">
        <f>'IEPR Gas Prices Real'!L88*(INDEX('GDP Deflator'!$C$5:$C$89,MATCH('IEPR Gas Prices Nominal'!$B88,'GDP Deflator'!$B$5:$B$89,0))/100)</f>
        <v>6.5202053446283763</v>
      </c>
      <c r="M88" s="269">
        <f>'IEPR Gas Prices Real'!M88*(INDEX('GDP Deflator'!$C$5:$C$89,MATCH('IEPR Gas Prices Nominal'!$B88,'GDP Deflator'!$B$5:$B$89,0))/100)</f>
        <v>0.9636554191802289</v>
      </c>
      <c r="N88" s="270">
        <f>'IEPR Gas Prices Real'!N88*(INDEX('GDP Deflator'!$C$5:$C$89,MATCH('IEPR Gas Prices Nominal'!$B88,'GDP Deflator'!$B$5:$B$89,0))/100)</f>
        <v>7.4838607638086048</v>
      </c>
      <c r="O88" s="1"/>
      <c r="P88" s="274">
        <f t="shared" si="12"/>
        <v>6.269201789967866</v>
      </c>
      <c r="Q88" s="275">
        <f t="shared" si="16"/>
        <v>7.6825228823673335</v>
      </c>
      <c r="R88" s="171"/>
    </row>
    <row r="89" spans="1:18">
      <c r="A89" s="26"/>
      <c r="B89" s="94">
        <f t="shared" si="13"/>
        <v>2028</v>
      </c>
      <c r="C89" s="1">
        <f t="shared" si="14"/>
        <v>12</v>
      </c>
      <c r="D89" s="213">
        <v>47088</v>
      </c>
      <c r="E89" s="1" t="str">
        <f t="shared" si="15"/>
        <v>12-2028</v>
      </c>
      <c r="F89" s="268">
        <f>'IEPR Gas Prices Real'!F89*(INDEX('GDP Deflator'!$C$5:$C$89,MATCH('IEPR Gas Prices Nominal'!$B89,'GDP Deflator'!$B$5:$B$89,0))/100)</f>
        <v>6.041172931291924</v>
      </c>
      <c r="G89" s="269">
        <f>'IEPR Gas Prices Real'!G89*(INDEX('GDP Deflator'!$C$5:$C$89,MATCH('IEPR Gas Prices Nominal'!$B89,'GDP Deflator'!$B$5:$B$89,0))/100)</f>
        <v>1.2357634876766872</v>
      </c>
      <c r="H89" s="270">
        <f>'IEPR Gas Prices Real'!H89*(INDEX('GDP Deflator'!$C$5:$C$89,MATCH('IEPR Gas Prices Nominal'!$B89,'GDP Deflator'!$B$5:$B$89,0))/100)</f>
        <v>7.2769364189686101</v>
      </c>
      <c r="I89" s="269">
        <f>'IEPR Gas Prices Real'!I89*(INDEX('GDP Deflator'!$C$5:$C$89,MATCH('IEPR Gas Prices Nominal'!$B89,'GDP Deflator'!$B$5:$B$89,0))/100)</f>
        <v>6.3447456662886861</v>
      </c>
      <c r="J89" s="269">
        <f>'IEPR Gas Prices Real'!J89*(INDEX('GDP Deflator'!$C$5:$C$89,MATCH('IEPR Gas Prices Nominal'!$B89,'GDP Deflator'!$B$5:$B$89,0))/100)</f>
        <v>2.0405443703414892</v>
      </c>
      <c r="K89" s="269">
        <f>'IEPR Gas Prices Real'!K89*(INDEX('GDP Deflator'!$C$5:$C$89,MATCH('IEPR Gas Prices Nominal'!$B89,'GDP Deflator'!$B$5:$B$89,0))/100)</f>
        <v>8.3852900366301757</v>
      </c>
      <c r="L89" s="268">
        <f>'IEPR Gas Prices Real'!L89*(INDEX('GDP Deflator'!$C$5:$C$89,MATCH('IEPR Gas Prices Nominal'!$B89,'GDP Deflator'!$B$5:$B$89,0))/100)</f>
        <v>6.5725362698322032</v>
      </c>
      <c r="M89" s="269">
        <f>'IEPR Gas Prices Real'!M89*(INDEX('GDP Deflator'!$C$5:$C$89,MATCH('IEPR Gas Prices Nominal'!$B89,'GDP Deflator'!$B$5:$B$89,0))/100)</f>
        <v>0.9636554191802289</v>
      </c>
      <c r="N89" s="270">
        <f>'IEPR Gas Prices Real'!N89*(INDEX('GDP Deflator'!$C$5:$C$89,MATCH('IEPR Gas Prices Nominal'!$B89,'GDP Deflator'!$B$5:$B$89,0))/100)</f>
        <v>7.5361916890124325</v>
      </c>
      <c r="O89" s="1"/>
      <c r="P89" s="274">
        <f t="shared" si="12"/>
        <v>6.3194849558042705</v>
      </c>
      <c r="Q89" s="275">
        <f t="shared" si="16"/>
        <v>7.7328060482037388</v>
      </c>
      <c r="R89" s="171"/>
    </row>
    <row r="90" spans="1:18">
      <c r="A90" s="26"/>
      <c r="B90" s="94">
        <f t="shared" si="13"/>
        <v>2029</v>
      </c>
      <c r="C90" s="1">
        <f t="shared" si="14"/>
        <v>1</v>
      </c>
      <c r="D90" s="213">
        <v>47119</v>
      </c>
      <c r="E90" s="1" t="str">
        <f t="shared" si="15"/>
        <v>1-2029</v>
      </c>
      <c r="F90" s="268">
        <f>'IEPR Gas Prices Real'!F90*(INDEX('GDP Deflator'!$C$5:$C$89,MATCH('IEPR Gas Prices Nominal'!$B90,'GDP Deflator'!$B$5:$B$89,0))/100)</f>
        <v>6.16860932772423</v>
      </c>
      <c r="G90" s="269">
        <f>'IEPR Gas Prices Real'!G90*(INDEX('GDP Deflator'!$C$5:$C$89,MATCH('IEPR Gas Prices Nominal'!$B90,'GDP Deflator'!$B$5:$B$89,0))/100)</f>
        <v>1.3122506465879646</v>
      </c>
      <c r="H90" s="270">
        <f>'IEPR Gas Prices Real'!H90*(INDEX('GDP Deflator'!$C$5:$C$89,MATCH('IEPR Gas Prices Nominal'!$B90,'GDP Deflator'!$B$5:$B$89,0))/100)</f>
        <v>7.4808599743121942</v>
      </c>
      <c r="I90" s="269">
        <f>'IEPR Gas Prices Real'!I90*(INDEX('GDP Deflator'!$C$5:$C$89,MATCH('IEPR Gas Prices Nominal'!$B90,'GDP Deflator'!$B$5:$B$89,0))/100)</f>
        <v>6.4786150054361835</v>
      </c>
      <c r="J90" s="269">
        <f>'IEPR Gas Prices Real'!J90*(INDEX('GDP Deflator'!$C$5:$C$89,MATCH('IEPR Gas Prices Nominal'!$B90,'GDP Deflator'!$B$5:$B$89,0))/100)</f>
        <v>2.1668431670580461</v>
      </c>
      <c r="K90" s="269">
        <f>'IEPR Gas Prices Real'!K90*(INDEX('GDP Deflator'!$C$5:$C$89,MATCH('IEPR Gas Prices Nominal'!$B90,'GDP Deflator'!$B$5:$B$89,0))/100)</f>
        <v>8.6454581724942301</v>
      </c>
      <c r="L90" s="268">
        <f>'IEPR Gas Prices Real'!L90*(INDEX('GDP Deflator'!$C$5:$C$89,MATCH('IEPR Gas Prices Nominal'!$B90,'GDP Deflator'!$B$5:$B$89,0))/100)</f>
        <v>6.7112703487144421</v>
      </c>
      <c r="M90" s="269">
        <f>'IEPR Gas Prices Real'!M90*(INDEX('GDP Deflator'!$C$5:$C$89,MATCH('IEPR Gas Prices Nominal'!$B90,'GDP Deflator'!$B$5:$B$89,0))/100)</f>
        <v>1.0233005421488044</v>
      </c>
      <c r="N90" s="270">
        <f>'IEPR Gas Prices Real'!N90*(INDEX('GDP Deflator'!$C$5:$C$89,MATCH('IEPR Gas Prices Nominal'!$B90,'GDP Deflator'!$B$5:$B$89,0))/100)</f>
        <v>7.7345708908632469</v>
      </c>
      <c r="O90" s="1"/>
      <c r="P90" s="274">
        <f t="shared" si="12"/>
        <v>6.4528315606249516</v>
      </c>
      <c r="Q90" s="275">
        <f t="shared" si="16"/>
        <v>7.9536296792232237</v>
      </c>
      <c r="R90" s="171"/>
    </row>
    <row r="91" spans="1:18">
      <c r="A91" s="26"/>
      <c r="B91" s="94">
        <f t="shared" si="13"/>
        <v>2029</v>
      </c>
      <c r="C91" s="1">
        <f t="shared" si="14"/>
        <v>2</v>
      </c>
      <c r="D91" s="213">
        <v>47150</v>
      </c>
      <c r="E91" s="1" t="str">
        <f t="shared" si="15"/>
        <v>2-2029</v>
      </c>
      <c r="F91" s="268">
        <f>'IEPR Gas Prices Real'!F91*(INDEX('GDP Deflator'!$C$5:$C$89,MATCH('IEPR Gas Prices Nominal'!$B91,'GDP Deflator'!$B$5:$B$89,0))/100)</f>
        <v>6.0332585646245258</v>
      </c>
      <c r="G91" s="269">
        <f>'IEPR Gas Prices Real'!G91*(INDEX('GDP Deflator'!$C$5:$C$89,MATCH('IEPR Gas Prices Nominal'!$B91,'GDP Deflator'!$B$5:$B$89,0))/100)</f>
        <v>1.3122506465879646</v>
      </c>
      <c r="H91" s="270">
        <f>'IEPR Gas Prices Real'!H91*(INDEX('GDP Deflator'!$C$5:$C$89,MATCH('IEPR Gas Prices Nominal'!$B91,'GDP Deflator'!$B$5:$B$89,0))/100)</f>
        <v>7.34550921121249</v>
      </c>
      <c r="I91" s="269">
        <f>'IEPR Gas Prices Real'!I91*(INDEX('GDP Deflator'!$C$5:$C$89,MATCH('IEPR Gas Prices Nominal'!$B91,'GDP Deflator'!$B$5:$B$89,0))/100)</f>
        <v>6.3364906878654121</v>
      </c>
      <c r="J91" s="269">
        <f>'IEPR Gas Prices Real'!J91*(INDEX('GDP Deflator'!$C$5:$C$89,MATCH('IEPR Gas Prices Nominal'!$B91,'GDP Deflator'!$B$5:$B$89,0))/100)</f>
        <v>2.1668431670580461</v>
      </c>
      <c r="K91" s="269">
        <f>'IEPR Gas Prices Real'!K91*(INDEX('GDP Deflator'!$C$5:$C$89,MATCH('IEPR Gas Prices Nominal'!$B91,'GDP Deflator'!$B$5:$B$89,0))/100)</f>
        <v>8.5033338549234596</v>
      </c>
      <c r="L91" s="268">
        <f>'IEPR Gas Prices Real'!L91*(INDEX('GDP Deflator'!$C$5:$C$89,MATCH('IEPR Gas Prices Nominal'!$B91,'GDP Deflator'!$B$5:$B$89,0))/100)</f>
        <v>6.5640994176427183</v>
      </c>
      <c r="M91" s="269">
        <f>'IEPR Gas Prices Real'!M91*(INDEX('GDP Deflator'!$C$5:$C$89,MATCH('IEPR Gas Prices Nominal'!$B91,'GDP Deflator'!$B$5:$B$89,0))/100)</f>
        <v>1.0233005421488044</v>
      </c>
      <c r="N91" s="270">
        <f>'IEPR Gas Prices Real'!N91*(INDEX('GDP Deflator'!$C$5:$C$89,MATCH('IEPR Gas Prices Nominal'!$B91,'GDP Deflator'!$B$5:$B$89,0))/100)</f>
        <v>7.5873999597915232</v>
      </c>
      <c r="O91" s="1"/>
      <c r="P91" s="274">
        <f t="shared" si="12"/>
        <v>6.3112828900442191</v>
      </c>
      <c r="Q91" s="275">
        <f t="shared" si="16"/>
        <v>7.8120810086424903</v>
      </c>
      <c r="R91" s="171"/>
    </row>
    <row r="92" spans="1:18">
      <c r="A92" s="26"/>
      <c r="B92" s="94">
        <f t="shared" si="13"/>
        <v>2029</v>
      </c>
      <c r="C92" s="1">
        <f t="shared" si="14"/>
        <v>3</v>
      </c>
      <c r="D92" s="213">
        <v>47178</v>
      </c>
      <c r="E92" s="1" t="str">
        <f t="shared" si="15"/>
        <v>3-2029</v>
      </c>
      <c r="F92" s="268">
        <f>'IEPR Gas Prices Real'!F92*(INDEX('GDP Deflator'!$C$5:$C$89,MATCH('IEPR Gas Prices Nominal'!$B92,'GDP Deflator'!$B$5:$B$89,0))/100)</f>
        <v>5.5384518396903895</v>
      </c>
      <c r="G92" s="269">
        <f>'IEPR Gas Prices Real'!G92*(INDEX('GDP Deflator'!$C$5:$C$89,MATCH('IEPR Gas Prices Nominal'!$B92,'GDP Deflator'!$B$5:$B$89,0))/100)</f>
        <v>1.3122506465879646</v>
      </c>
      <c r="H92" s="270">
        <f>'IEPR Gas Prices Real'!H92*(INDEX('GDP Deflator'!$C$5:$C$89,MATCH('IEPR Gas Prices Nominal'!$B92,'GDP Deflator'!$B$5:$B$89,0))/100)</f>
        <v>6.8507024862783537</v>
      </c>
      <c r="I92" s="269">
        <f>'IEPR Gas Prices Real'!I92*(INDEX('GDP Deflator'!$C$5:$C$89,MATCH('IEPR Gas Prices Nominal'!$B92,'GDP Deflator'!$B$5:$B$89,0))/100)</f>
        <v>5.8168411406362504</v>
      </c>
      <c r="J92" s="269">
        <f>'IEPR Gas Prices Real'!J92*(INDEX('GDP Deflator'!$C$5:$C$89,MATCH('IEPR Gas Prices Nominal'!$B92,'GDP Deflator'!$B$5:$B$89,0))/100)</f>
        <v>2.1668431670580461</v>
      </c>
      <c r="K92" s="269">
        <f>'IEPR Gas Prices Real'!K92*(INDEX('GDP Deflator'!$C$5:$C$89,MATCH('IEPR Gas Prices Nominal'!$B92,'GDP Deflator'!$B$5:$B$89,0))/100)</f>
        <v>7.983684307694296</v>
      </c>
      <c r="L92" s="268">
        <f>'IEPR Gas Prices Real'!L92*(INDEX('GDP Deflator'!$C$5:$C$89,MATCH('IEPR Gas Prices Nominal'!$B92,'GDP Deflator'!$B$5:$B$89,0))/100)</f>
        <v>6.0258364588025435</v>
      </c>
      <c r="M92" s="269">
        <f>'IEPR Gas Prices Real'!M92*(INDEX('GDP Deflator'!$C$5:$C$89,MATCH('IEPR Gas Prices Nominal'!$B92,'GDP Deflator'!$B$5:$B$89,0))/100)</f>
        <v>1.0233005421488044</v>
      </c>
      <c r="N92" s="270">
        <f>'IEPR Gas Prices Real'!N92*(INDEX('GDP Deflator'!$C$5:$C$89,MATCH('IEPR Gas Prices Nominal'!$B92,'GDP Deflator'!$B$5:$B$89,0))/100)</f>
        <v>7.0491370009513474</v>
      </c>
      <c r="O92" s="1"/>
      <c r="P92" s="274">
        <f t="shared" si="12"/>
        <v>5.7937098130430611</v>
      </c>
      <c r="Q92" s="275">
        <f t="shared" si="16"/>
        <v>7.2945079316413315</v>
      </c>
      <c r="R92" s="171"/>
    </row>
    <row r="93" spans="1:18">
      <c r="A93" s="26"/>
      <c r="B93" s="94">
        <f t="shared" si="13"/>
        <v>2029</v>
      </c>
      <c r="C93" s="1">
        <f t="shared" si="14"/>
        <v>4</v>
      </c>
      <c r="D93" s="213">
        <v>47209</v>
      </c>
      <c r="E93" s="1" t="str">
        <f t="shared" si="15"/>
        <v>4-2029</v>
      </c>
      <c r="F93" s="268">
        <f>'IEPR Gas Prices Real'!F93*(INDEX('GDP Deflator'!$C$5:$C$89,MATCH('IEPR Gas Prices Nominal'!$B93,'GDP Deflator'!$B$5:$B$89,0))/100)</f>
        <v>5.444118569119385</v>
      </c>
      <c r="G93" s="269">
        <f>'IEPR Gas Prices Real'!G93*(INDEX('GDP Deflator'!$C$5:$C$89,MATCH('IEPR Gas Prices Nominal'!$B93,'GDP Deflator'!$B$5:$B$89,0))/100)</f>
        <v>1.3122506465879646</v>
      </c>
      <c r="H93" s="270">
        <f>'IEPR Gas Prices Real'!H93*(INDEX('GDP Deflator'!$C$5:$C$89,MATCH('IEPR Gas Prices Nominal'!$B93,'GDP Deflator'!$B$5:$B$89,0))/100)</f>
        <v>6.7563692157073492</v>
      </c>
      <c r="I93" s="269">
        <f>'IEPR Gas Prices Real'!I93*(INDEX('GDP Deflator'!$C$5:$C$89,MATCH('IEPR Gas Prices Nominal'!$B93,'GDP Deflator'!$B$5:$B$89,0))/100)</f>
        <v>5.7177919901869636</v>
      </c>
      <c r="J93" s="269">
        <f>'IEPR Gas Prices Real'!J93*(INDEX('GDP Deflator'!$C$5:$C$89,MATCH('IEPR Gas Prices Nominal'!$B93,'GDP Deflator'!$B$5:$B$89,0))/100)</f>
        <v>2.1668431670580461</v>
      </c>
      <c r="K93" s="269">
        <f>'IEPR Gas Prices Real'!K93*(INDEX('GDP Deflator'!$C$5:$C$89,MATCH('IEPR Gas Prices Nominal'!$B93,'GDP Deflator'!$B$5:$B$89,0))/100)</f>
        <v>7.8846351572450102</v>
      </c>
      <c r="L93" s="268">
        <f>'IEPR Gas Prices Real'!L93*(INDEX('GDP Deflator'!$C$5:$C$89,MATCH('IEPR Gas Prices Nominal'!$B93,'GDP Deflator'!$B$5:$B$89,0))/100)</f>
        <v>5.9232802102421669</v>
      </c>
      <c r="M93" s="269">
        <f>'IEPR Gas Prices Real'!M93*(INDEX('GDP Deflator'!$C$5:$C$89,MATCH('IEPR Gas Prices Nominal'!$B93,'GDP Deflator'!$B$5:$B$89,0))/100)</f>
        <v>1.0233005421488044</v>
      </c>
      <c r="N93" s="270">
        <f>'IEPR Gas Prices Real'!N93*(INDEX('GDP Deflator'!$C$5:$C$89,MATCH('IEPR Gas Prices Nominal'!$B93,'GDP Deflator'!$B$5:$B$89,0))/100)</f>
        <v>6.9465807523909708</v>
      </c>
      <c r="O93" s="1"/>
      <c r="P93" s="274">
        <f t="shared" si="12"/>
        <v>5.6950635898495063</v>
      </c>
      <c r="Q93" s="275">
        <f t="shared" si="16"/>
        <v>7.1958617084477767</v>
      </c>
      <c r="R93" s="171"/>
    </row>
    <row r="94" spans="1:18">
      <c r="B94" s="94">
        <f t="shared" si="13"/>
        <v>2029</v>
      </c>
      <c r="C94" s="1">
        <f t="shared" si="14"/>
        <v>5</v>
      </c>
      <c r="D94" s="213">
        <v>47239</v>
      </c>
      <c r="E94" s="1" t="str">
        <f t="shared" si="15"/>
        <v>5-2029</v>
      </c>
      <c r="F94" s="268">
        <f>'IEPR Gas Prices Real'!F94*(INDEX('GDP Deflator'!$C$5:$C$89,MATCH('IEPR Gas Prices Nominal'!$B94,'GDP Deflator'!$B$5:$B$89,0))/100)</f>
        <v>5.6334926654993422</v>
      </c>
      <c r="G94" s="269">
        <f>'IEPR Gas Prices Real'!G94*(INDEX('GDP Deflator'!$C$5:$C$89,MATCH('IEPR Gas Prices Nominal'!$B94,'GDP Deflator'!$B$5:$B$89,0))/100)</f>
        <v>1.3122506465879646</v>
      </c>
      <c r="H94" s="270">
        <f>'IEPR Gas Prices Real'!H94*(INDEX('GDP Deflator'!$C$5:$C$89,MATCH('IEPR Gas Prices Nominal'!$B94,'GDP Deflator'!$B$5:$B$89,0))/100)</f>
        <v>6.9457433120873073</v>
      </c>
      <c r="I94" s="269">
        <f>'IEPR Gas Prices Real'!I94*(INDEX('GDP Deflator'!$C$5:$C$89,MATCH('IEPR Gas Prices Nominal'!$B94,'GDP Deflator'!$B$5:$B$89,0))/100)</f>
        <v>5.9167125028804213</v>
      </c>
      <c r="J94" s="269">
        <f>'IEPR Gas Prices Real'!J94*(INDEX('GDP Deflator'!$C$5:$C$89,MATCH('IEPR Gas Prices Nominal'!$B94,'GDP Deflator'!$B$5:$B$89,0))/100)</f>
        <v>2.1668431670580461</v>
      </c>
      <c r="K94" s="269">
        <f>'IEPR Gas Prices Real'!K94*(INDEX('GDP Deflator'!$C$5:$C$89,MATCH('IEPR Gas Prices Nominal'!$B94,'GDP Deflator'!$B$5:$B$89,0))/100)</f>
        <v>8.0835556699384679</v>
      </c>
      <c r="L94" s="268">
        <f>'IEPR Gas Prices Real'!L94*(INDEX('GDP Deflator'!$C$5:$C$89,MATCH('IEPR Gas Prices Nominal'!$B94,'GDP Deflator'!$B$5:$B$89,0))/100)</f>
        <v>6.1294030822077072</v>
      </c>
      <c r="M94" s="269">
        <f>'IEPR Gas Prices Real'!M94*(INDEX('GDP Deflator'!$C$5:$C$89,MATCH('IEPR Gas Prices Nominal'!$B94,'GDP Deflator'!$B$5:$B$89,0))/100)</f>
        <v>1.0233005421488044</v>
      </c>
      <c r="N94" s="270">
        <f>'IEPR Gas Prices Real'!N94*(INDEX('GDP Deflator'!$C$5:$C$89,MATCH('IEPR Gas Prices Nominal'!$B94,'GDP Deflator'!$B$5:$B$89,0))/100)</f>
        <v>7.1527036243565112</v>
      </c>
      <c r="O94" s="1"/>
      <c r="P94" s="274">
        <f t="shared" si="12"/>
        <v>5.8932027501958233</v>
      </c>
      <c r="Q94" s="275">
        <f t="shared" si="16"/>
        <v>7.3940008687940955</v>
      </c>
      <c r="R94" s="171"/>
    </row>
    <row r="95" spans="1:18">
      <c r="B95" s="94">
        <f t="shared" si="13"/>
        <v>2029</v>
      </c>
      <c r="C95" s="1">
        <f t="shared" si="14"/>
        <v>6</v>
      </c>
      <c r="D95" s="213">
        <v>47270</v>
      </c>
      <c r="E95" s="1" t="str">
        <f t="shared" si="15"/>
        <v>6-2029</v>
      </c>
      <c r="F95" s="268">
        <f>'IEPR Gas Prices Real'!F95*(INDEX('GDP Deflator'!$C$5:$C$89,MATCH('IEPR Gas Prices Nominal'!$B95,'GDP Deflator'!$B$5:$B$89,0))/100)</f>
        <v>5.7790310266049776</v>
      </c>
      <c r="G95" s="269">
        <f>'IEPR Gas Prices Real'!G95*(INDEX('GDP Deflator'!$C$5:$C$89,MATCH('IEPR Gas Prices Nominal'!$B95,'GDP Deflator'!$B$5:$B$89,0))/100)</f>
        <v>1.3122506465879646</v>
      </c>
      <c r="H95" s="270">
        <f>'IEPR Gas Prices Real'!H95*(INDEX('GDP Deflator'!$C$5:$C$89,MATCH('IEPR Gas Prices Nominal'!$B95,'GDP Deflator'!$B$5:$B$89,0))/100)</f>
        <v>7.0912816731929427</v>
      </c>
      <c r="I95" s="269">
        <f>'IEPR Gas Prices Real'!I95*(INDEX('GDP Deflator'!$C$5:$C$89,MATCH('IEPR Gas Prices Nominal'!$B95,'GDP Deflator'!$B$5:$B$89,0))/100)</f>
        <v>6.0695950583234675</v>
      </c>
      <c r="J95" s="269">
        <f>'IEPR Gas Prices Real'!J95*(INDEX('GDP Deflator'!$C$5:$C$89,MATCH('IEPR Gas Prices Nominal'!$B95,'GDP Deflator'!$B$5:$B$89,0))/100)</f>
        <v>2.1668431670580461</v>
      </c>
      <c r="K95" s="269">
        <f>'IEPR Gas Prices Real'!K95*(INDEX('GDP Deflator'!$C$5:$C$89,MATCH('IEPR Gas Prices Nominal'!$B95,'GDP Deflator'!$B$5:$B$89,0))/100)</f>
        <v>8.236438225381514</v>
      </c>
      <c r="L95" s="268">
        <f>'IEPR Gas Prices Real'!L95*(INDEX('GDP Deflator'!$C$5:$C$89,MATCH('IEPR Gas Prices Nominal'!$B95,'GDP Deflator'!$B$5:$B$89,0))/100)</f>
        <v>6.2878362365662088</v>
      </c>
      <c r="M95" s="269">
        <f>'IEPR Gas Prices Real'!M95*(INDEX('GDP Deflator'!$C$5:$C$89,MATCH('IEPR Gas Prices Nominal'!$B95,'GDP Deflator'!$B$5:$B$89,0))/100)</f>
        <v>1.0233005421488044</v>
      </c>
      <c r="N95" s="270">
        <f>'IEPR Gas Prices Real'!N95*(INDEX('GDP Deflator'!$C$5:$C$89,MATCH('IEPR Gas Prices Nominal'!$B95,'GDP Deflator'!$B$5:$B$89,0))/100)</f>
        <v>7.3111367787150137</v>
      </c>
      <c r="O95" s="1"/>
      <c r="P95" s="274">
        <f t="shared" si="12"/>
        <v>6.045487440498218</v>
      </c>
      <c r="Q95" s="275">
        <f t="shared" si="16"/>
        <v>7.5462855590964901</v>
      </c>
      <c r="R95" s="171"/>
    </row>
    <row r="96" spans="1:18">
      <c r="B96" s="94">
        <f t="shared" si="13"/>
        <v>2029</v>
      </c>
      <c r="C96" s="1">
        <f t="shared" si="14"/>
        <v>7</v>
      </c>
      <c r="D96" s="213">
        <v>47300</v>
      </c>
      <c r="E96" s="1" t="str">
        <f t="shared" si="15"/>
        <v>7-2029</v>
      </c>
      <c r="F96" s="268">
        <f>'IEPR Gas Prices Real'!F96*(INDEX('GDP Deflator'!$C$5:$C$89,MATCH('IEPR Gas Prices Nominal'!$B96,'GDP Deflator'!$B$5:$B$89,0))/100)</f>
        <v>5.8247790527810821</v>
      </c>
      <c r="G96" s="269">
        <f>'IEPR Gas Prices Real'!G96*(INDEX('GDP Deflator'!$C$5:$C$89,MATCH('IEPR Gas Prices Nominal'!$B96,'GDP Deflator'!$B$5:$B$89,0))/100)</f>
        <v>1.3122506465879646</v>
      </c>
      <c r="H96" s="270">
        <f>'IEPR Gas Prices Real'!H96*(INDEX('GDP Deflator'!$C$5:$C$89,MATCH('IEPR Gas Prices Nominal'!$B96,'GDP Deflator'!$B$5:$B$89,0))/100)</f>
        <v>7.1370296993690472</v>
      </c>
      <c r="I96" s="269">
        <f>'IEPR Gas Prices Real'!I96*(INDEX('GDP Deflator'!$C$5:$C$89,MATCH('IEPR Gas Prices Nominal'!$B96,'GDP Deflator'!$B$5:$B$89,0))/100)</f>
        <v>6.1176708270863998</v>
      </c>
      <c r="J96" s="269">
        <f>'IEPR Gas Prices Real'!J96*(INDEX('GDP Deflator'!$C$5:$C$89,MATCH('IEPR Gas Prices Nominal'!$B96,'GDP Deflator'!$B$5:$B$89,0))/100)</f>
        <v>2.1668431670580461</v>
      </c>
      <c r="K96" s="269">
        <f>'IEPR Gas Prices Real'!K96*(INDEX('GDP Deflator'!$C$5:$C$89,MATCH('IEPR Gas Prices Nominal'!$B96,'GDP Deflator'!$B$5:$B$89,0))/100)</f>
        <v>8.2845139941444454</v>
      </c>
      <c r="L96" s="268">
        <f>'IEPR Gas Prices Real'!L96*(INDEX('GDP Deflator'!$C$5:$C$89,MATCH('IEPR Gas Prices Nominal'!$B96,'GDP Deflator'!$B$5:$B$89,0))/100)</f>
        <v>6.3376959452865655</v>
      </c>
      <c r="M96" s="269">
        <f>'IEPR Gas Prices Real'!M96*(INDEX('GDP Deflator'!$C$5:$C$89,MATCH('IEPR Gas Prices Nominal'!$B96,'GDP Deflator'!$B$5:$B$89,0))/100)</f>
        <v>1.0233005421488044</v>
      </c>
      <c r="N96" s="270">
        <f>'IEPR Gas Prices Real'!N96*(INDEX('GDP Deflator'!$C$5:$C$89,MATCH('IEPR Gas Prices Nominal'!$B96,'GDP Deflator'!$B$5:$B$89,0))/100)</f>
        <v>7.3609964874353695</v>
      </c>
      <c r="O96" s="1"/>
      <c r="P96" s="274">
        <f t="shared" si="12"/>
        <v>6.0933819417180155</v>
      </c>
      <c r="Q96" s="275">
        <f t="shared" si="16"/>
        <v>7.5941800603162868</v>
      </c>
      <c r="R96" s="171"/>
    </row>
    <row r="97" spans="2:18">
      <c r="B97" s="94">
        <f t="shared" si="13"/>
        <v>2029</v>
      </c>
      <c r="C97" s="1">
        <f t="shared" si="14"/>
        <v>8</v>
      </c>
      <c r="D97" s="213">
        <v>47331</v>
      </c>
      <c r="E97" s="1" t="str">
        <f t="shared" si="15"/>
        <v>8-2029</v>
      </c>
      <c r="F97" s="268">
        <f>'IEPR Gas Prices Real'!F97*(INDEX('GDP Deflator'!$C$5:$C$89,MATCH('IEPR Gas Prices Nominal'!$B97,'GDP Deflator'!$B$5:$B$89,0))/100)</f>
        <v>5.7796892462420075</v>
      </c>
      <c r="G97" s="269">
        <f>'IEPR Gas Prices Real'!G97*(INDEX('GDP Deflator'!$C$5:$C$89,MATCH('IEPR Gas Prices Nominal'!$B97,'GDP Deflator'!$B$5:$B$89,0))/100)</f>
        <v>1.3122506465879646</v>
      </c>
      <c r="H97" s="270">
        <f>'IEPR Gas Prices Real'!H97*(INDEX('GDP Deflator'!$C$5:$C$89,MATCH('IEPR Gas Prices Nominal'!$B97,'GDP Deflator'!$B$5:$B$89,0))/100)</f>
        <v>7.0919398928299726</v>
      </c>
      <c r="I97" s="269">
        <f>'IEPR Gas Prices Real'!I97*(INDEX('GDP Deflator'!$C$5:$C$89,MATCH('IEPR Gas Prices Nominal'!$B97,'GDP Deflator'!$B$5:$B$89,0))/100)</f>
        <v>6.0703411019683715</v>
      </c>
      <c r="J97" s="269">
        <f>'IEPR Gas Prices Real'!J97*(INDEX('GDP Deflator'!$C$5:$C$89,MATCH('IEPR Gas Prices Nominal'!$B97,'GDP Deflator'!$B$5:$B$89,0))/100)</f>
        <v>2.1668431670580461</v>
      </c>
      <c r="K97" s="269">
        <f>'IEPR Gas Prices Real'!K97*(INDEX('GDP Deflator'!$C$5:$C$89,MATCH('IEPR Gas Prices Nominal'!$B97,'GDP Deflator'!$B$5:$B$89,0))/100)</f>
        <v>8.2371842690264181</v>
      </c>
      <c r="L97" s="268">
        <f>'IEPR Gas Prices Real'!L97*(INDEX('GDP Deflator'!$C$5:$C$89,MATCH('IEPR Gas Prices Nominal'!$B97,'GDP Deflator'!$B$5:$B$89,0))/100)</f>
        <v>6.2887188661096332</v>
      </c>
      <c r="M97" s="269">
        <f>'IEPR Gas Prices Real'!M97*(INDEX('GDP Deflator'!$C$5:$C$89,MATCH('IEPR Gas Prices Nominal'!$B97,'GDP Deflator'!$B$5:$B$89,0))/100)</f>
        <v>1.0233005421488044</v>
      </c>
      <c r="N97" s="270">
        <f>'IEPR Gas Prices Real'!N97*(INDEX('GDP Deflator'!$C$5:$C$89,MATCH('IEPR Gas Prices Nominal'!$B97,'GDP Deflator'!$B$5:$B$89,0))/100)</f>
        <v>7.3120194082584371</v>
      </c>
      <c r="O97" s="1"/>
      <c r="P97" s="274">
        <f t="shared" si="12"/>
        <v>6.0462497381066704</v>
      </c>
      <c r="Q97" s="275">
        <f t="shared" si="16"/>
        <v>7.5470478567049426</v>
      </c>
      <c r="R97" s="171"/>
    </row>
    <row r="98" spans="2:18">
      <c r="B98" s="94">
        <f t="shared" si="13"/>
        <v>2029</v>
      </c>
      <c r="C98" s="1">
        <f t="shared" si="14"/>
        <v>9</v>
      </c>
      <c r="D98" s="213">
        <v>47362</v>
      </c>
      <c r="E98" s="1" t="str">
        <f t="shared" si="15"/>
        <v>9-2029</v>
      </c>
      <c r="F98" s="268">
        <f>'IEPR Gas Prices Real'!F98*(INDEX('GDP Deflator'!$C$5:$C$89,MATCH('IEPR Gas Prices Nominal'!$B98,'GDP Deflator'!$B$5:$B$89,0))/100)</f>
        <v>5.8608855711650616</v>
      </c>
      <c r="G98" s="269">
        <f>'IEPR Gas Prices Real'!G98*(INDEX('GDP Deflator'!$C$5:$C$89,MATCH('IEPR Gas Prices Nominal'!$B98,'GDP Deflator'!$B$5:$B$89,0))/100)</f>
        <v>1.3122506465879646</v>
      </c>
      <c r="H98" s="270">
        <f>'IEPR Gas Prices Real'!H98*(INDEX('GDP Deflator'!$C$5:$C$89,MATCH('IEPR Gas Prices Nominal'!$B98,'GDP Deflator'!$B$5:$B$89,0))/100)</f>
        <v>7.1731362177530267</v>
      </c>
      <c r="I98" s="269">
        <f>'IEPR Gas Prices Real'!I98*(INDEX('GDP Deflator'!$C$5:$C$89,MATCH('IEPR Gas Prices Nominal'!$B98,'GDP Deflator'!$B$5:$B$89,0))/100)</f>
        <v>6.1556484216379719</v>
      </c>
      <c r="J98" s="269">
        <f>'IEPR Gas Prices Real'!J98*(INDEX('GDP Deflator'!$C$5:$C$89,MATCH('IEPR Gas Prices Nominal'!$B98,'GDP Deflator'!$B$5:$B$89,0))/100)</f>
        <v>2.1668431670580461</v>
      </c>
      <c r="K98" s="269">
        <f>'IEPR Gas Prices Real'!K98*(INDEX('GDP Deflator'!$C$5:$C$89,MATCH('IEPR Gas Prices Nominal'!$B98,'GDP Deflator'!$B$5:$B$89,0))/100)</f>
        <v>8.3224915886960193</v>
      </c>
      <c r="L98" s="268">
        <f>'IEPR Gas Prices Real'!L98*(INDEX('GDP Deflator'!$C$5:$C$89,MATCH('IEPR Gas Prices Nominal'!$B98,'GDP Deflator'!$B$5:$B$89,0))/100)</f>
        <v>6.3771507385824284</v>
      </c>
      <c r="M98" s="269">
        <f>'IEPR Gas Prices Real'!M98*(INDEX('GDP Deflator'!$C$5:$C$89,MATCH('IEPR Gas Prices Nominal'!$B98,'GDP Deflator'!$B$5:$B$89,0))/100)</f>
        <v>1.0233005421488044</v>
      </c>
      <c r="N98" s="270">
        <f>'IEPR Gas Prices Real'!N98*(INDEX('GDP Deflator'!$C$5:$C$89,MATCH('IEPR Gas Prices Nominal'!$B98,'GDP Deflator'!$B$5:$B$89,0))/100)</f>
        <v>7.4004512807312333</v>
      </c>
      <c r="O98" s="1"/>
      <c r="P98" s="274">
        <f t="shared" si="12"/>
        <v>6.131228243795154</v>
      </c>
      <c r="Q98" s="275">
        <f t="shared" si="16"/>
        <v>7.6320263623934261</v>
      </c>
      <c r="R98" s="171"/>
    </row>
    <row r="99" spans="2:18">
      <c r="B99" s="94">
        <f t="shared" si="13"/>
        <v>2029</v>
      </c>
      <c r="C99" s="1">
        <f t="shared" si="14"/>
        <v>10</v>
      </c>
      <c r="D99" s="213">
        <v>47392</v>
      </c>
      <c r="E99" s="1" t="str">
        <f t="shared" si="15"/>
        <v>10-2029</v>
      </c>
      <c r="F99" s="268">
        <f>'IEPR Gas Prices Real'!F99*(INDEX('GDP Deflator'!$C$5:$C$89,MATCH('IEPR Gas Prices Nominal'!$B99,'GDP Deflator'!$B$5:$B$89,0))/100)</f>
        <v>5.8270126937872675</v>
      </c>
      <c r="G99" s="269">
        <f>'IEPR Gas Prices Real'!G99*(INDEX('GDP Deflator'!$C$5:$C$89,MATCH('IEPR Gas Prices Nominal'!$B99,'GDP Deflator'!$B$5:$B$89,0))/100)</f>
        <v>1.3122506465879646</v>
      </c>
      <c r="H99" s="270">
        <f>'IEPR Gas Prices Real'!H99*(INDEX('GDP Deflator'!$C$5:$C$89,MATCH('IEPR Gas Prices Nominal'!$B99,'GDP Deflator'!$B$5:$B$89,0))/100)</f>
        <v>7.1392633403752326</v>
      </c>
      <c r="I99" s="269">
        <f>'IEPR Gas Prices Real'!I99*(INDEX('GDP Deflator'!$C$5:$C$89,MATCH('IEPR Gas Prices Nominal'!$B99,'GDP Deflator'!$B$5:$B$89,0))/100)</f>
        <v>6.120099564803172</v>
      </c>
      <c r="J99" s="269">
        <f>'IEPR Gas Prices Real'!J99*(INDEX('GDP Deflator'!$C$5:$C$89,MATCH('IEPR Gas Prices Nominal'!$B99,'GDP Deflator'!$B$5:$B$89,0))/100)</f>
        <v>2.1668431670580461</v>
      </c>
      <c r="K99" s="269">
        <f>'IEPR Gas Prices Real'!K99*(INDEX('GDP Deflator'!$C$5:$C$89,MATCH('IEPR Gas Prices Nominal'!$B99,'GDP Deflator'!$B$5:$B$89,0))/100)</f>
        <v>8.2869427318612185</v>
      </c>
      <c r="L99" s="268">
        <f>'IEPR Gas Prices Real'!L99*(INDEX('GDP Deflator'!$C$5:$C$89,MATCH('IEPR Gas Prices Nominal'!$B99,'GDP Deflator'!$B$5:$B$89,0))/100)</f>
        <v>6.3403780516279467</v>
      </c>
      <c r="M99" s="269">
        <f>'IEPR Gas Prices Real'!M99*(INDEX('GDP Deflator'!$C$5:$C$89,MATCH('IEPR Gas Prices Nominal'!$B99,'GDP Deflator'!$B$5:$B$89,0))/100)</f>
        <v>1.0233005421488044</v>
      </c>
      <c r="N99" s="270">
        <f>'IEPR Gas Prices Real'!N99*(INDEX('GDP Deflator'!$C$5:$C$89,MATCH('IEPR Gas Prices Nominal'!$B99,'GDP Deflator'!$B$5:$B$89,0))/100)</f>
        <v>7.3636785937767515</v>
      </c>
      <c r="O99" s="1"/>
      <c r="P99" s="274">
        <f t="shared" si="12"/>
        <v>6.0958301034061293</v>
      </c>
      <c r="Q99" s="275">
        <f t="shared" si="16"/>
        <v>7.5966282220044006</v>
      </c>
      <c r="R99" s="171"/>
    </row>
    <row r="100" spans="2:18">
      <c r="B100" s="94">
        <f t="shared" si="13"/>
        <v>2029</v>
      </c>
      <c r="C100" s="1">
        <f t="shared" si="14"/>
        <v>11</v>
      </c>
      <c r="D100" s="213">
        <v>47423</v>
      </c>
      <c r="E100" s="1" t="str">
        <f t="shared" si="15"/>
        <v>11-2029</v>
      </c>
      <c r="F100" s="268">
        <f>'IEPR Gas Prices Real'!F100*(INDEX('GDP Deflator'!$C$5:$C$89,MATCH('IEPR Gas Prices Nominal'!$B100,'GDP Deflator'!$B$5:$B$89,0))/100)</f>
        <v>6.1149191273705421</v>
      </c>
      <c r="G100" s="269">
        <f>'IEPR Gas Prices Real'!G100*(INDEX('GDP Deflator'!$C$5:$C$89,MATCH('IEPR Gas Prices Nominal'!$B100,'GDP Deflator'!$B$5:$B$89,0))/100)</f>
        <v>1.3122506465879646</v>
      </c>
      <c r="H100" s="270">
        <f>'IEPR Gas Prices Real'!H100*(INDEX('GDP Deflator'!$C$5:$C$89,MATCH('IEPR Gas Prices Nominal'!$B100,'GDP Deflator'!$B$5:$B$89,0))/100)</f>
        <v>7.4271697739585072</v>
      </c>
      <c r="I100" s="269">
        <f>'IEPR Gas Prices Real'!I100*(INDEX('GDP Deflator'!$C$5:$C$89,MATCH('IEPR Gas Prices Nominal'!$B100,'GDP Deflator'!$B$5:$B$89,0))/100)</f>
        <v>6.4225160694442058</v>
      </c>
      <c r="J100" s="269">
        <f>'IEPR Gas Prices Real'!J100*(INDEX('GDP Deflator'!$C$5:$C$89,MATCH('IEPR Gas Prices Nominal'!$B100,'GDP Deflator'!$B$5:$B$89,0))/100)</f>
        <v>2.1668431670580461</v>
      </c>
      <c r="K100" s="269">
        <f>'IEPR Gas Prices Real'!K100*(INDEX('GDP Deflator'!$C$5:$C$89,MATCH('IEPR Gas Prices Nominal'!$B100,'GDP Deflator'!$B$5:$B$89,0))/100)</f>
        <v>8.5893592365022524</v>
      </c>
      <c r="L100" s="268">
        <f>'IEPR Gas Prices Real'!L100*(INDEX('GDP Deflator'!$C$5:$C$89,MATCH('IEPR Gas Prices Nominal'!$B100,'GDP Deflator'!$B$5:$B$89,0))/100)</f>
        <v>6.6537374084334546</v>
      </c>
      <c r="M100" s="269">
        <f>'IEPR Gas Prices Real'!M100*(INDEX('GDP Deflator'!$C$5:$C$89,MATCH('IEPR Gas Prices Nominal'!$B100,'GDP Deflator'!$B$5:$B$89,0))/100)</f>
        <v>1.0233005421488044</v>
      </c>
      <c r="N100" s="270">
        <f>'IEPR Gas Prices Real'!N100*(INDEX('GDP Deflator'!$C$5:$C$89,MATCH('IEPR Gas Prices Nominal'!$B100,'GDP Deflator'!$B$5:$B$89,0))/100)</f>
        <v>7.6770379505822586</v>
      </c>
      <c r="O100" s="1"/>
      <c r="P100" s="274">
        <f t="shared" si="12"/>
        <v>6.3970575350827339</v>
      </c>
      <c r="Q100" s="275">
        <f t="shared" si="16"/>
        <v>7.8978556536810061</v>
      </c>
      <c r="R100" s="171"/>
    </row>
    <row r="101" spans="2:18">
      <c r="B101" s="94">
        <f t="shared" si="13"/>
        <v>2029</v>
      </c>
      <c r="C101" s="1">
        <f t="shared" si="14"/>
        <v>12</v>
      </c>
      <c r="D101" s="213">
        <v>47453</v>
      </c>
      <c r="E101" s="1" t="str">
        <f t="shared" si="15"/>
        <v>12-2029</v>
      </c>
      <c r="F101" s="268">
        <f>'IEPR Gas Prices Real'!F101*(INDEX('GDP Deflator'!$C$5:$C$89,MATCH('IEPR Gas Prices Nominal'!$B101,'GDP Deflator'!$B$5:$B$89,0))/100)</f>
        <v>6.1639990599808732</v>
      </c>
      <c r="G101" s="269">
        <f>'IEPR Gas Prices Real'!G101*(INDEX('GDP Deflator'!$C$5:$C$89,MATCH('IEPR Gas Prices Nominal'!$B101,'GDP Deflator'!$B$5:$B$89,0))/100)</f>
        <v>1.3122506465879646</v>
      </c>
      <c r="H101" s="270">
        <f>'IEPR Gas Prices Real'!H101*(INDEX('GDP Deflator'!$C$5:$C$89,MATCH('IEPR Gas Prices Nominal'!$B101,'GDP Deflator'!$B$5:$B$89,0))/100)</f>
        <v>7.4762497065688382</v>
      </c>
      <c r="I101" s="269">
        <f>'IEPR Gas Prices Real'!I101*(INDEX('GDP Deflator'!$C$5:$C$89,MATCH('IEPR Gas Prices Nominal'!$B101,'GDP Deflator'!$B$5:$B$89,0))/100)</f>
        <v>6.474094054895982</v>
      </c>
      <c r="J101" s="269">
        <f>'IEPR Gas Prices Real'!J101*(INDEX('GDP Deflator'!$C$5:$C$89,MATCH('IEPR Gas Prices Nominal'!$B101,'GDP Deflator'!$B$5:$B$89,0))/100)</f>
        <v>2.1668431670580461</v>
      </c>
      <c r="K101" s="269">
        <f>'IEPR Gas Prices Real'!K101*(INDEX('GDP Deflator'!$C$5:$C$89,MATCH('IEPR Gas Prices Nominal'!$B101,'GDP Deflator'!$B$5:$B$89,0))/100)</f>
        <v>8.6409372219540295</v>
      </c>
      <c r="L101" s="268">
        <f>'IEPR Gas Prices Real'!L101*(INDEX('GDP Deflator'!$C$5:$C$89,MATCH('IEPR Gas Prices Nominal'!$B101,'GDP Deflator'!$B$5:$B$89,0))/100)</f>
        <v>6.7072308470562243</v>
      </c>
      <c r="M101" s="269">
        <f>'IEPR Gas Prices Real'!M101*(INDEX('GDP Deflator'!$C$5:$C$89,MATCH('IEPR Gas Prices Nominal'!$B101,'GDP Deflator'!$B$5:$B$89,0))/100)</f>
        <v>1.0233005421488044</v>
      </c>
      <c r="N101" s="270">
        <f>'IEPR Gas Prices Real'!N101*(INDEX('GDP Deflator'!$C$5:$C$89,MATCH('IEPR Gas Prices Nominal'!$B101,'GDP Deflator'!$B$5:$B$89,0))/100)</f>
        <v>7.7305313892050291</v>
      </c>
      <c r="O101" s="1"/>
      <c r="P101" s="274">
        <f t="shared" si="12"/>
        <v>6.4484413206443598</v>
      </c>
      <c r="Q101" s="275">
        <f t="shared" si="16"/>
        <v>7.9492394392426329</v>
      </c>
      <c r="R101" s="171"/>
    </row>
    <row r="102" spans="2:18">
      <c r="B102" s="94">
        <f t="shared" si="13"/>
        <v>2030</v>
      </c>
      <c r="C102" s="1">
        <f t="shared" si="14"/>
        <v>1</v>
      </c>
      <c r="D102" s="213">
        <v>47484</v>
      </c>
      <c r="E102" s="1" t="str">
        <f t="shared" si="15"/>
        <v>1-2030</v>
      </c>
      <c r="F102" s="268">
        <f>'IEPR Gas Prices Real'!F102*(INDEX('GDP Deflator'!$C$5:$C$89,MATCH('IEPR Gas Prices Nominal'!$B102,'GDP Deflator'!$B$5:$B$89,0))/100)</f>
        <v>6.2937581102757649</v>
      </c>
      <c r="G102" s="269">
        <f>'IEPR Gas Prices Real'!G102*(INDEX('GDP Deflator'!$C$5:$C$89,MATCH('IEPR Gas Prices Nominal'!$B102,'GDP Deflator'!$B$5:$B$89,0))/100)</f>
        <v>1.3934150810622876</v>
      </c>
      <c r="H102" s="270">
        <f>'IEPR Gas Prices Real'!H102*(INDEX('GDP Deflator'!$C$5:$C$89,MATCH('IEPR Gas Prices Nominal'!$B102,'GDP Deflator'!$B$5:$B$89,0))/100)</f>
        <v>7.6871731913380525</v>
      </c>
      <c r="I102" s="269">
        <f>'IEPR Gas Prices Real'!I102*(INDEX('GDP Deflator'!$C$5:$C$89,MATCH('IEPR Gas Prices Nominal'!$B102,'GDP Deflator'!$B$5:$B$89,0))/100)</f>
        <v>6.6103196286169341</v>
      </c>
      <c r="J102" s="269">
        <f>'IEPR Gas Prices Real'!J102*(INDEX('GDP Deflator'!$C$5:$C$89,MATCH('IEPR Gas Prices Nominal'!$B102,'GDP Deflator'!$B$5:$B$89,0))/100)</f>
        <v>2.3008652768631399</v>
      </c>
      <c r="K102" s="269">
        <f>'IEPR Gas Prices Real'!K102*(INDEX('GDP Deflator'!$C$5:$C$89,MATCH('IEPR Gas Prices Nominal'!$B102,'GDP Deflator'!$B$5:$B$89,0))/100)</f>
        <v>8.9111849054800736</v>
      </c>
      <c r="L102" s="268">
        <f>'IEPR Gas Prices Real'!L102*(INDEX('GDP Deflator'!$C$5:$C$89,MATCH('IEPR Gas Prices Nominal'!$B102,'GDP Deflator'!$B$5:$B$89,0))/100)</f>
        <v>6.8484227137240383</v>
      </c>
      <c r="M102" s="269">
        <f>'IEPR Gas Prices Real'!M102*(INDEX('GDP Deflator'!$C$5:$C$89,MATCH('IEPR Gas Prices Nominal'!$B102,'GDP Deflator'!$B$5:$B$89,0))/100)</f>
        <v>1.0865930312908232</v>
      </c>
      <c r="N102" s="270">
        <f>'IEPR Gas Prices Real'!N102*(INDEX('GDP Deflator'!$C$5:$C$89,MATCH('IEPR Gas Prices Nominal'!$B102,'GDP Deflator'!$B$5:$B$89,0))/100)</f>
        <v>7.9350157450148613</v>
      </c>
      <c r="O102" s="1"/>
      <c r="P102" s="274">
        <f t="shared" si="12"/>
        <v>6.5841668175389119</v>
      </c>
      <c r="Q102" s="275">
        <f t="shared" si="16"/>
        <v>8.1777912806109949</v>
      </c>
      <c r="R102" s="171"/>
    </row>
    <row r="103" spans="2:18">
      <c r="B103" s="94">
        <f t="shared" si="13"/>
        <v>2030</v>
      </c>
      <c r="C103" s="1">
        <f t="shared" si="14"/>
        <v>2</v>
      </c>
      <c r="D103" s="213">
        <v>47515</v>
      </c>
      <c r="E103" s="1" t="str">
        <f t="shared" si="15"/>
        <v>2-2030</v>
      </c>
      <c r="F103" s="268">
        <f>'IEPR Gas Prices Real'!F103*(INDEX('GDP Deflator'!$C$5:$C$89,MATCH('IEPR Gas Prices Nominal'!$B103,'GDP Deflator'!$B$5:$B$89,0))/100)</f>
        <v>6.1556501548783915</v>
      </c>
      <c r="G103" s="269">
        <f>'IEPR Gas Prices Real'!G103*(INDEX('GDP Deflator'!$C$5:$C$89,MATCH('IEPR Gas Prices Nominal'!$B103,'GDP Deflator'!$B$5:$B$89,0))/100)</f>
        <v>1.3934150810622876</v>
      </c>
      <c r="H103" s="270">
        <f>'IEPR Gas Prices Real'!H103*(INDEX('GDP Deflator'!$C$5:$C$89,MATCH('IEPR Gas Prices Nominal'!$B103,'GDP Deflator'!$B$5:$B$89,0))/100)</f>
        <v>7.5490652359406791</v>
      </c>
      <c r="I103" s="269">
        <f>'IEPR Gas Prices Real'!I103*(INDEX('GDP Deflator'!$C$5:$C$89,MATCH('IEPR Gas Prices Nominal'!$B103,'GDP Deflator'!$B$5:$B$89,0))/100)</f>
        <v>6.4652051780793105</v>
      </c>
      <c r="J103" s="269">
        <f>'IEPR Gas Prices Real'!J103*(INDEX('GDP Deflator'!$C$5:$C$89,MATCH('IEPR Gas Prices Nominal'!$B103,'GDP Deflator'!$B$5:$B$89,0))/100)</f>
        <v>2.3008652768631399</v>
      </c>
      <c r="K103" s="269">
        <f>'IEPR Gas Prices Real'!K103*(INDEX('GDP Deflator'!$C$5:$C$89,MATCH('IEPR Gas Prices Nominal'!$B103,'GDP Deflator'!$B$5:$B$89,0))/100)</f>
        <v>8.7660704549424509</v>
      </c>
      <c r="L103" s="268">
        <f>'IEPR Gas Prices Real'!L103*(INDEX('GDP Deflator'!$C$5:$C$89,MATCH('IEPR Gas Prices Nominal'!$B103,'GDP Deflator'!$B$5:$B$89,0))/100)</f>
        <v>6.6981406418524463</v>
      </c>
      <c r="M103" s="269">
        <f>'IEPR Gas Prices Real'!M103*(INDEX('GDP Deflator'!$C$5:$C$89,MATCH('IEPR Gas Prices Nominal'!$B103,'GDP Deflator'!$B$5:$B$89,0))/100)</f>
        <v>1.0865930312908232</v>
      </c>
      <c r="N103" s="270">
        <f>'IEPR Gas Prices Real'!N103*(INDEX('GDP Deflator'!$C$5:$C$89,MATCH('IEPR Gas Prices Nominal'!$B103,'GDP Deflator'!$B$5:$B$89,0))/100)</f>
        <v>7.7847336731432684</v>
      </c>
      <c r="O103" s="1"/>
      <c r="P103" s="274">
        <f t="shared" si="12"/>
        <v>6.4396653249367164</v>
      </c>
      <c r="Q103" s="275">
        <f t="shared" si="16"/>
        <v>8.0332897880087994</v>
      </c>
      <c r="R103" s="171"/>
    </row>
    <row r="104" spans="2:18">
      <c r="B104" s="94">
        <f t="shared" si="13"/>
        <v>2030</v>
      </c>
      <c r="C104" s="1">
        <f t="shared" si="14"/>
        <v>3</v>
      </c>
      <c r="D104" s="213">
        <v>47543</v>
      </c>
      <c r="E104" s="1" t="str">
        <f t="shared" si="15"/>
        <v>3-2030</v>
      </c>
      <c r="F104" s="268">
        <f>'IEPR Gas Prices Real'!F104*(INDEX('GDP Deflator'!$C$5:$C$89,MATCH('IEPR Gas Prices Nominal'!$B104,'GDP Deflator'!$B$5:$B$89,0))/100)</f>
        <v>5.6507954280658925</v>
      </c>
      <c r="G104" s="269">
        <f>'IEPR Gas Prices Real'!G104*(INDEX('GDP Deflator'!$C$5:$C$89,MATCH('IEPR Gas Prices Nominal'!$B104,'GDP Deflator'!$B$5:$B$89,0))/100)</f>
        <v>1.3934150810622876</v>
      </c>
      <c r="H104" s="270">
        <f>'IEPR Gas Prices Real'!H104*(INDEX('GDP Deflator'!$C$5:$C$89,MATCH('IEPR Gas Prices Nominal'!$B104,'GDP Deflator'!$B$5:$B$89,0))/100)</f>
        <v>7.044210509128181</v>
      </c>
      <c r="I104" s="269">
        <f>'IEPR Gas Prices Real'!I104*(INDEX('GDP Deflator'!$C$5:$C$89,MATCH('IEPR Gas Prices Nominal'!$B104,'GDP Deflator'!$B$5:$B$89,0))/100)</f>
        <v>5.9349072717034073</v>
      </c>
      <c r="J104" s="269">
        <f>'IEPR Gas Prices Real'!J104*(INDEX('GDP Deflator'!$C$5:$C$89,MATCH('IEPR Gas Prices Nominal'!$B104,'GDP Deflator'!$B$5:$B$89,0))/100)</f>
        <v>2.3008652768631399</v>
      </c>
      <c r="K104" s="269">
        <f>'IEPR Gas Prices Real'!K104*(INDEX('GDP Deflator'!$C$5:$C$89,MATCH('IEPR Gas Prices Nominal'!$B104,'GDP Deflator'!$B$5:$B$89,0))/100)</f>
        <v>8.2357725485665476</v>
      </c>
      <c r="L104" s="268">
        <f>'IEPR Gas Prices Real'!L104*(INDEX('GDP Deflator'!$C$5:$C$89,MATCH('IEPR Gas Prices Nominal'!$B104,'GDP Deflator'!$B$5:$B$89,0))/100)</f>
        <v>6.1487911079720856</v>
      </c>
      <c r="M104" s="269">
        <f>'IEPR Gas Prices Real'!M104*(INDEX('GDP Deflator'!$C$5:$C$89,MATCH('IEPR Gas Prices Nominal'!$B104,'GDP Deflator'!$B$5:$B$89,0))/100)</f>
        <v>1.0865930312908232</v>
      </c>
      <c r="N104" s="270">
        <f>'IEPR Gas Prices Real'!N104*(INDEX('GDP Deflator'!$C$5:$C$89,MATCH('IEPR Gas Prices Nominal'!$B104,'GDP Deflator'!$B$5:$B$89,0))/100)</f>
        <v>7.2353841392629086</v>
      </c>
      <c r="O104" s="1"/>
      <c r="P104" s="274">
        <f t="shared" si="12"/>
        <v>5.911497935913796</v>
      </c>
      <c r="Q104" s="275">
        <f t="shared" si="16"/>
        <v>7.5051223989858791</v>
      </c>
      <c r="R104" s="171"/>
    </row>
    <row r="105" spans="2:18">
      <c r="B105" s="94">
        <f t="shared" si="13"/>
        <v>2030</v>
      </c>
      <c r="C105" s="1">
        <f t="shared" si="14"/>
        <v>4</v>
      </c>
      <c r="D105" s="213">
        <v>47574</v>
      </c>
      <c r="E105" s="1" t="str">
        <f t="shared" si="15"/>
        <v>4-2030</v>
      </c>
      <c r="F105" s="268">
        <f>'IEPR Gas Prices Real'!F105*(INDEX('GDP Deflator'!$C$5:$C$89,MATCH('IEPR Gas Prices Nominal'!$B105,'GDP Deflator'!$B$5:$B$89,0))/100)</f>
        <v>5.5545385692553673</v>
      </c>
      <c r="G105" s="269">
        <f>'IEPR Gas Prices Real'!G105*(INDEX('GDP Deflator'!$C$5:$C$89,MATCH('IEPR Gas Prices Nominal'!$B105,'GDP Deflator'!$B$5:$B$89,0))/100)</f>
        <v>1.3934150810622876</v>
      </c>
      <c r="H105" s="270">
        <f>'IEPR Gas Prices Real'!H105*(INDEX('GDP Deflator'!$C$5:$C$89,MATCH('IEPR Gas Prices Nominal'!$B105,'GDP Deflator'!$B$5:$B$89,0))/100)</f>
        <v>6.9479536503176558</v>
      </c>
      <c r="I105" s="269">
        <f>'IEPR Gas Prices Real'!I105*(INDEX('GDP Deflator'!$C$5:$C$89,MATCH('IEPR Gas Prices Nominal'!$B105,'GDP Deflator'!$B$5:$B$89,0))/100)</f>
        <v>5.8337566518199733</v>
      </c>
      <c r="J105" s="269">
        <f>'IEPR Gas Prices Real'!J105*(INDEX('GDP Deflator'!$C$5:$C$89,MATCH('IEPR Gas Prices Nominal'!$B105,'GDP Deflator'!$B$5:$B$89,0))/100)</f>
        <v>2.3008652768631399</v>
      </c>
      <c r="K105" s="269">
        <f>'IEPR Gas Prices Real'!K105*(INDEX('GDP Deflator'!$C$5:$C$89,MATCH('IEPR Gas Prices Nominal'!$B105,'GDP Deflator'!$B$5:$B$89,0))/100)</f>
        <v>8.1346219286831136</v>
      </c>
      <c r="L105" s="268">
        <f>'IEPR Gas Prices Real'!L105*(INDEX('GDP Deflator'!$C$5:$C$89,MATCH('IEPR Gas Prices Nominal'!$B105,'GDP Deflator'!$B$5:$B$89,0))/100)</f>
        <v>6.0440487960562548</v>
      </c>
      <c r="M105" s="269">
        <f>'IEPR Gas Prices Real'!M105*(INDEX('GDP Deflator'!$C$5:$C$89,MATCH('IEPR Gas Prices Nominal'!$B105,'GDP Deflator'!$B$5:$B$89,0))/100)</f>
        <v>1.0865930312908232</v>
      </c>
      <c r="N105" s="270">
        <f>'IEPR Gas Prices Real'!N105*(INDEX('GDP Deflator'!$C$5:$C$89,MATCH('IEPR Gas Prices Nominal'!$B105,'GDP Deflator'!$B$5:$B$89,0))/100)</f>
        <v>7.1306418273470777</v>
      </c>
      <c r="O105" s="1"/>
      <c r="P105" s="274">
        <f t="shared" si="12"/>
        <v>5.8107813390438645</v>
      </c>
      <c r="Q105" s="275">
        <f t="shared" si="16"/>
        <v>7.4044058021159493</v>
      </c>
      <c r="R105" s="171"/>
    </row>
    <row r="106" spans="2:18">
      <c r="B106" s="94">
        <f t="shared" si="13"/>
        <v>2030</v>
      </c>
      <c r="C106" s="1">
        <f t="shared" si="14"/>
        <v>5</v>
      </c>
      <c r="D106" s="213">
        <v>47604</v>
      </c>
      <c r="E106" s="1" t="str">
        <f t="shared" si="15"/>
        <v>5-2030</v>
      </c>
      <c r="F106" s="268">
        <f>'IEPR Gas Prices Real'!F106*(INDEX('GDP Deflator'!$C$5:$C$89,MATCH('IEPR Gas Prices Nominal'!$B106,'GDP Deflator'!$B$5:$B$89,0))/100)</f>
        <v>5.7477431769929854</v>
      </c>
      <c r="G106" s="269">
        <f>'IEPR Gas Prices Real'!G106*(INDEX('GDP Deflator'!$C$5:$C$89,MATCH('IEPR Gas Prices Nominal'!$B106,'GDP Deflator'!$B$5:$B$89,0))/100)</f>
        <v>1.3934150810622876</v>
      </c>
      <c r="H106" s="270">
        <f>'IEPR Gas Prices Real'!H106*(INDEX('GDP Deflator'!$C$5:$C$89,MATCH('IEPR Gas Prices Nominal'!$B106,'GDP Deflator'!$B$5:$B$89,0))/100)</f>
        <v>7.141158258055273</v>
      </c>
      <c r="I106" s="269">
        <f>'IEPR Gas Prices Real'!I106*(INDEX('GDP Deflator'!$C$5:$C$89,MATCH('IEPR Gas Prices Nominal'!$B106,'GDP Deflator'!$B$5:$B$89,0))/100)</f>
        <v>6.0366173280024169</v>
      </c>
      <c r="J106" s="269">
        <f>'IEPR Gas Prices Real'!J106*(INDEX('GDP Deflator'!$C$5:$C$89,MATCH('IEPR Gas Prices Nominal'!$B106,'GDP Deflator'!$B$5:$B$89,0))/100)</f>
        <v>2.3008652768631399</v>
      </c>
      <c r="K106" s="269">
        <f>'IEPR Gas Prices Real'!K106*(INDEX('GDP Deflator'!$C$5:$C$89,MATCH('IEPR Gas Prices Nominal'!$B106,'GDP Deflator'!$B$5:$B$89,0))/100)</f>
        <v>8.3374826048655581</v>
      </c>
      <c r="L106" s="268">
        <f>'IEPR Gas Prices Real'!L106*(INDEX('GDP Deflator'!$C$5:$C$89,MATCH('IEPR Gas Prices Nominal'!$B106,'GDP Deflator'!$B$5:$B$89,0))/100)</f>
        <v>6.2542775593485276</v>
      </c>
      <c r="M106" s="269">
        <f>'IEPR Gas Prices Real'!M106*(INDEX('GDP Deflator'!$C$5:$C$89,MATCH('IEPR Gas Prices Nominal'!$B106,'GDP Deflator'!$B$5:$B$89,0))/100)</f>
        <v>1.0865930312908232</v>
      </c>
      <c r="N106" s="270">
        <f>'IEPR Gas Prices Real'!N106*(INDEX('GDP Deflator'!$C$5:$C$89,MATCH('IEPR Gas Prices Nominal'!$B106,'GDP Deflator'!$B$5:$B$89,0))/100)</f>
        <v>7.3408705906393505</v>
      </c>
      <c r="O106" s="1"/>
      <c r="P106" s="274">
        <f t="shared" si="12"/>
        <v>6.0128793547813091</v>
      </c>
      <c r="Q106" s="275">
        <f t="shared" si="16"/>
        <v>7.6065038178533939</v>
      </c>
      <c r="R106" s="171"/>
    </row>
    <row r="107" spans="2:18">
      <c r="B107" s="94">
        <f t="shared" si="13"/>
        <v>2030</v>
      </c>
      <c r="C107" s="1">
        <f t="shared" si="14"/>
        <v>6</v>
      </c>
      <c r="D107" s="213">
        <v>47635</v>
      </c>
      <c r="E107" s="1" t="str">
        <f t="shared" si="15"/>
        <v>6-2030</v>
      </c>
      <c r="F107" s="268">
        <f>'IEPR Gas Prices Real'!F107*(INDEX('GDP Deflator'!$C$5:$C$89,MATCH('IEPR Gas Prices Nominal'!$B107,'GDP Deflator'!$B$5:$B$89,0))/100)</f>
        <v>5.8962224122799594</v>
      </c>
      <c r="G107" s="269">
        <f>'IEPR Gas Prices Real'!G107*(INDEX('GDP Deflator'!$C$5:$C$89,MATCH('IEPR Gas Prices Nominal'!$B107,'GDP Deflator'!$B$5:$B$89,0))/100)</f>
        <v>1.3934150810622876</v>
      </c>
      <c r="H107" s="270">
        <f>'IEPR Gas Prices Real'!H107*(INDEX('GDP Deflator'!$C$5:$C$89,MATCH('IEPR Gas Prices Nominal'!$B107,'GDP Deflator'!$B$5:$B$89,0))/100)</f>
        <v>7.289637493342247</v>
      </c>
      <c r="I107" s="269">
        <f>'IEPR Gas Prices Real'!I107*(INDEX('GDP Deflator'!$C$5:$C$89,MATCH('IEPR Gas Prices Nominal'!$B107,'GDP Deflator'!$B$5:$B$89,0))/100)</f>
        <v>6.1925014545476227</v>
      </c>
      <c r="J107" s="269">
        <f>'IEPR Gas Prices Real'!J107*(INDEX('GDP Deflator'!$C$5:$C$89,MATCH('IEPR Gas Prices Nominal'!$B107,'GDP Deflator'!$B$5:$B$89,0))/100)</f>
        <v>2.3008652768631399</v>
      </c>
      <c r="K107" s="269">
        <f>'IEPR Gas Prices Real'!K107*(INDEX('GDP Deflator'!$C$5:$C$89,MATCH('IEPR Gas Prices Nominal'!$B107,'GDP Deflator'!$B$5:$B$89,0))/100)</f>
        <v>8.493366731410763</v>
      </c>
      <c r="L107" s="268">
        <f>'IEPR Gas Prices Real'!L107*(INDEX('GDP Deflator'!$C$5:$C$89,MATCH('IEPR Gas Prices Nominal'!$B107,'GDP Deflator'!$B$5:$B$89,0))/100)</f>
        <v>6.4158392604038568</v>
      </c>
      <c r="M107" s="269">
        <f>'IEPR Gas Prices Real'!M107*(INDEX('GDP Deflator'!$C$5:$C$89,MATCH('IEPR Gas Prices Nominal'!$B107,'GDP Deflator'!$B$5:$B$89,0))/100)</f>
        <v>1.0865930312908232</v>
      </c>
      <c r="N107" s="270">
        <f>'IEPR Gas Prices Real'!N107*(INDEX('GDP Deflator'!$C$5:$C$89,MATCH('IEPR Gas Prices Nominal'!$B107,'GDP Deflator'!$B$5:$B$89,0))/100)</f>
        <v>7.5024322916946797</v>
      </c>
      <c r="O107" s="1"/>
      <c r="P107" s="274">
        <f t="shared" si="12"/>
        <v>6.168187709077146</v>
      </c>
      <c r="Q107" s="275">
        <f t="shared" si="16"/>
        <v>7.7618121721492299</v>
      </c>
      <c r="R107" s="171"/>
    </row>
    <row r="108" spans="2:18">
      <c r="B108" s="94">
        <f t="shared" si="13"/>
        <v>2030</v>
      </c>
      <c r="C108" s="1">
        <f t="shared" si="14"/>
        <v>7</v>
      </c>
      <c r="D108" s="213">
        <v>47665</v>
      </c>
      <c r="E108" s="1" t="str">
        <f t="shared" si="15"/>
        <v>7-2030</v>
      </c>
      <c r="F108" s="268">
        <f>'IEPR Gas Prices Real'!F108*(INDEX('GDP Deflator'!$C$5:$C$89,MATCH('IEPR Gas Prices Nominal'!$B108,'GDP Deflator'!$B$5:$B$89,0))/100)</f>
        <v>5.9428873354079261</v>
      </c>
      <c r="G108" s="269">
        <f>'IEPR Gas Prices Real'!G108*(INDEX('GDP Deflator'!$C$5:$C$89,MATCH('IEPR Gas Prices Nominal'!$B108,'GDP Deflator'!$B$5:$B$89,0))/100)</f>
        <v>1.3934150810622876</v>
      </c>
      <c r="H108" s="270">
        <f>'IEPR Gas Prices Real'!H108*(INDEX('GDP Deflator'!$C$5:$C$89,MATCH('IEPR Gas Prices Nominal'!$B108,'GDP Deflator'!$B$5:$B$89,0))/100)</f>
        <v>7.3363024164702146</v>
      </c>
      <c r="I108" s="269">
        <f>'IEPR Gas Prices Real'!I108*(INDEX('GDP Deflator'!$C$5:$C$89,MATCH('IEPR Gas Prices Nominal'!$B108,'GDP Deflator'!$B$5:$B$89,0))/100)</f>
        <v>6.2414532961364699</v>
      </c>
      <c r="J108" s="269">
        <f>'IEPR Gas Prices Real'!J108*(INDEX('GDP Deflator'!$C$5:$C$89,MATCH('IEPR Gas Prices Nominal'!$B108,'GDP Deflator'!$B$5:$B$89,0))/100)</f>
        <v>2.3008652768631399</v>
      </c>
      <c r="K108" s="269">
        <f>'IEPR Gas Prices Real'!K108*(INDEX('GDP Deflator'!$C$5:$C$89,MATCH('IEPR Gas Prices Nominal'!$B108,'GDP Deflator'!$B$5:$B$89,0))/100)</f>
        <v>8.5423185729996103</v>
      </c>
      <c r="L108" s="268">
        <f>'IEPR Gas Prices Real'!L108*(INDEX('GDP Deflator'!$C$5:$C$89,MATCH('IEPR Gas Prices Nominal'!$B108,'GDP Deflator'!$B$5:$B$89,0))/100)</f>
        <v>6.4666139637879931</v>
      </c>
      <c r="M108" s="269">
        <f>'IEPR Gas Prices Real'!M108*(INDEX('GDP Deflator'!$C$5:$C$89,MATCH('IEPR Gas Prices Nominal'!$B108,'GDP Deflator'!$B$5:$B$89,0))/100)</f>
        <v>1.0865930312908232</v>
      </c>
      <c r="N108" s="270">
        <f>'IEPR Gas Prices Real'!N108*(INDEX('GDP Deflator'!$C$5:$C$89,MATCH('IEPR Gas Prices Nominal'!$B108,'GDP Deflator'!$B$5:$B$89,0))/100)</f>
        <v>7.5532069950788161</v>
      </c>
      <c r="O108" s="1"/>
      <c r="P108" s="274">
        <f t="shared" si="12"/>
        <v>6.2169848651107964</v>
      </c>
      <c r="Q108" s="275">
        <f t="shared" si="16"/>
        <v>7.8106093281828803</v>
      </c>
      <c r="R108" s="171"/>
    </row>
    <row r="109" spans="2:18">
      <c r="B109" s="94">
        <f t="shared" si="13"/>
        <v>2030</v>
      </c>
      <c r="C109" s="1">
        <f t="shared" si="14"/>
        <v>8</v>
      </c>
      <c r="D109" s="213">
        <v>47696</v>
      </c>
      <c r="E109" s="1" t="str">
        <f t="shared" si="15"/>
        <v>8-2030</v>
      </c>
      <c r="F109" s="268">
        <f>'IEPR Gas Prices Real'!F109*(INDEX('GDP Deflator'!$C$5:$C$89,MATCH('IEPR Gas Prices Nominal'!$B109,'GDP Deflator'!$B$5:$B$89,0))/100)</f>
        <v>5.8968725164880107</v>
      </c>
      <c r="G109" s="269">
        <f>'IEPR Gas Prices Real'!G109*(INDEX('GDP Deflator'!$C$5:$C$89,MATCH('IEPR Gas Prices Nominal'!$B109,'GDP Deflator'!$B$5:$B$89,0))/100)</f>
        <v>1.3934150810622876</v>
      </c>
      <c r="H109" s="270">
        <f>'IEPR Gas Prices Real'!H109*(INDEX('GDP Deflator'!$C$5:$C$89,MATCH('IEPR Gas Prices Nominal'!$B109,'GDP Deflator'!$B$5:$B$89,0))/100)</f>
        <v>7.2902875975502992</v>
      </c>
      <c r="I109" s="269">
        <f>'IEPR Gas Prices Real'!I109*(INDEX('GDP Deflator'!$C$5:$C$89,MATCH('IEPR Gas Prices Nominal'!$B109,'GDP Deflator'!$B$5:$B$89,0))/100)</f>
        <v>6.1930692253997437</v>
      </c>
      <c r="J109" s="269">
        <f>'IEPR Gas Prices Real'!J109*(INDEX('GDP Deflator'!$C$5:$C$89,MATCH('IEPR Gas Prices Nominal'!$B109,'GDP Deflator'!$B$5:$B$89,0))/100)</f>
        <v>2.3008652768631399</v>
      </c>
      <c r="K109" s="269">
        <f>'IEPR Gas Prices Real'!K109*(INDEX('GDP Deflator'!$C$5:$C$89,MATCH('IEPR Gas Prices Nominal'!$B109,'GDP Deflator'!$B$5:$B$89,0))/100)</f>
        <v>8.4939345022628832</v>
      </c>
      <c r="L109" s="268">
        <f>'IEPR Gas Prices Real'!L109*(INDEX('GDP Deflator'!$C$5:$C$89,MATCH('IEPR Gas Prices Nominal'!$B109,'GDP Deflator'!$B$5:$B$89,0))/100)</f>
        <v>6.416541371253552</v>
      </c>
      <c r="M109" s="269">
        <f>'IEPR Gas Prices Real'!M109*(INDEX('GDP Deflator'!$C$5:$C$89,MATCH('IEPR Gas Prices Nominal'!$B109,'GDP Deflator'!$B$5:$B$89,0))/100)</f>
        <v>1.0865930312908232</v>
      </c>
      <c r="N109" s="270">
        <f>'IEPR Gas Prices Real'!N109*(INDEX('GDP Deflator'!$C$5:$C$89,MATCH('IEPR Gas Prices Nominal'!$B109,'GDP Deflator'!$B$5:$B$89,0))/100)</f>
        <v>7.503134402544374</v>
      </c>
      <c r="O109" s="1"/>
      <c r="P109" s="274">
        <f t="shared" si="12"/>
        <v>6.168827704380436</v>
      </c>
      <c r="Q109" s="275">
        <f t="shared" si="16"/>
        <v>7.7624521674525182</v>
      </c>
      <c r="R109" s="171"/>
    </row>
    <row r="110" spans="2:18">
      <c r="B110" s="94">
        <f t="shared" si="13"/>
        <v>2030</v>
      </c>
      <c r="C110" s="1">
        <f t="shared" si="14"/>
        <v>9</v>
      </c>
      <c r="D110" s="213">
        <v>47727</v>
      </c>
      <c r="E110" s="1" t="str">
        <f t="shared" si="15"/>
        <v>9-2030</v>
      </c>
      <c r="F110" s="268">
        <f>'IEPR Gas Prices Real'!F110*(INDEX('GDP Deflator'!$C$5:$C$89,MATCH('IEPR Gas Prices Nominal'!$B110,'GDP Deflator'!$B$5:$B$89,0))/100)</f>
        <v>5.9797042135645393</v>
      </c>
      <c r="G110" s="269">
        <f>'IEPR Gas Prices Real'!G110*(INDEX('GDP Deflator'!$C$5:$C$89,MATCH('IEPR Gas Prices Nominal'!$B110,'GDP Deflator'!$B$5:$B$89,0))/100)</f>
        <v>1.3934150810622876</v>
      </c>
      <c r="H110" s="270">
        <f>'IEPR Gas Prices Real'!H110*(INDEX('GDP Deflator'!$C$5:$C$89,MATCH('IEPR Gas Prices Nominal'!$B110,'GDP Deflator'!$B$5:$B$89,0))/100)</f>
        <v>7.3731192946268269</v>
      </c>
      <c r="I110" s="269">
        <f>'IEPR Gas Prices Real'!I110*(INDEX('GDP Deflator'!$C$5:$C$89,MATCH('IEPR Gas Prices Nominal'!$B110,'GDP Deflator'!$B$5:$B$89,0))/100)</f>
        <v>6.2800031951896802</v>
      </c>
      <c r="J110" s="269">
        <f>'IEPR Gas Prices Real'!J110*(INDEX('GDP Deflator'!$C$5:$C$89,MATCH('IEPR Gas Prices Nominal'!$B110,'GDP Deflator'!$B$5:$B$89,0))/100)</f>
        <v>2.3008652768631399</v>
      </c>
      <c r="K110" s="269">
        <f>'IEPR Gas Prices Real'!K110*(INDEX('GDP Deflator'!$C$5:$C$89,MATCH('IEPR Gas Prices Nominal'!$B110,'GDP Deflator'!$B$5:$B$89,0))/100)</f>
        <v>8.5808684720528206</v>
      </c>
      <c r="L110" s="268">
        <f>'IEPR Gas Prices Real'!L110*(INDEX('GDP Deflator'!$C$5:$C$89,MATCH('IEPR Gas Prices Nominal'!$B110,'GDP Deflator'!$B$5:$B$89,0))/100)</f>
        <v>6.5066700292813078</v>
      </c>
      <c r="M110" s="269">
        <f>'IEPR Gas Prices Real'!M110*(INDEX('GDP Deflator'!$C$5:$C$89,MATCH('IEPR Gas Prices Nominal'!$B110,'GDP Deflator'!$B$5:$B$89,0))/100)</f>
        <v>1.0865930312908232</v>
      </c>
      <c r="N110" s="270">
        <f>'IEPR Gas Prices Real'!N110*(INDEX('GDP Deflator'!$C$5:$C$89,MATCH('IEPR Gas Prices Nominal'!$B110,'GDP Deflator'!$B$5:$B$89,0))/100)</f>
        <v>7.5932630605721307</v>
      </c>
      <c r="O110" s="1"/>
      <c r="P110" s="274">
        <f t="shared" si="12"/>
        <v>6.2554591460118418</v>
      </c>
      <c r="Q110" s="275">
        <f t="shared" si="16"/>
        <v>7.8490836090839267</v>
      </c>
      <c r="R110" s="171"/>
    </row>
    <row r="111" spans="2:18">
      <c r="B111" s="94">
        <f t="shared" si="13"/>
        <v>2030</v>
      </c>
      <c r="C111" s="1">
        <f t="shared" si="14"/>
        <v>10</v>
      </c>
      <c r="D111" s="213">
        <v>47757</v>
      </c>
      <c r="E111" s="1" t="str">
        <f t="shared" si="15"/>
        <v>10-2030</v>
      </c>
      <c r="F111" s="268">
        <f>'IEPR Gas Prices Real'!F111*(INDEX('GDP Deflator'!$C$5:$C$89,MATCH('IEPR Gas Prices Nominal'!$B111,'GDP Deflator'!$B$5:$B$89,0))/100)</f>
        <v>5.9451338033915633</v>
      </c>
      <c r="G111" s="269">
        <f>'IEPR Gas Prices Real'!G111*(INDEX('GDP Deflator'!$C$5:$C$89,MATCH('IEPR Gas Prices Nominal'!$B111,'GDP Deflator'!$B$5:$B$89,0))/100)</f>
        <v>1.3934150810622876</v>
      </c>
      <c r="H111" s="270">
        <f>'IEPR Gas Prices Real'!H111*(INDEX('GDP Deflator'!$C$5:$C$89,MATCH('IEPR Gas Prices Nominal'!$B111,'GDP Deflator'!$B$5:$B$89,0))/100)</f>
        <v>7.3385488844538509</v>
      </c>
      <c r="I111" s="269">
        <f>'IEPR Gas Prices Real'!I111*(INDEX('GDP Deflator'!$C$5:$C$89,MATCH('IEPR Gas Prices Nominal'!$B111,'GDP Deflator'!$B$5:$B$89,0))/100)</f>
        <v>6.2436386808177238</v>
      </c>
      <c r="J111" s="269">
        <f>'IEPR Gas Prices Real'!J111*(INDEX('GDP Deflator'!$C$5:$C$89,MATCH('IEPR Gas Prices Nominal'!$B111,'GDP Deflator'!$B$5:$B$89,0))/100)</f>
        <v>2.3008652768631399</v>
      </c>
      <c r="K111" s="269">
        <f>'IEPR Gas Prices Real'!K111*(INDEX('GDP Deflator'!$C$5:$C$89,MATCH('IEPR Gas Prices Nominal'!$B111,'GDP Deflator'!$B$5:$B$89,0))/100)</f>
        <v>8.5445039576808632</v>
      </c>
      <c r="L111" s="268">
        <f>'IEPR Gas Prices Real'!L111*(INDEX('GDP Deflator'!$C$5:$C$89,MATCH('IEPR Gas Prices Nominal'!$B111,'GDP Deflator'!$B$5:$B$89,0))/100)</f>
        <v>6.4690504113717093</v>
      </c>
      <c r="M111" s="269">
        <f>'IEPR Gas Prices Real'!M111*(INDEX('GDP Deflator'!$C$5:$C$89,MATCH('IEPR Gas Prices Nominal'!$B111,'GDP Deflator'!$B$5:$B$89,0))/100)</f>
        <v>1.0865930312908232</v>
      </c>
      <c r="N111" s="270">
        <f>'IEPR Gas Prices Real'!N111*(INDEX('GDP Deflator'!$C$5:$C$89,MATCH('IEPR Gas Prices Nominal'!$B111,'GDP Deflator'!$B$5:$B$89,0))/100)</f>
        <v>7.5556434426625323</v>
      </c>
      <c r="O111" s="1"/>
      <c r="P111" s="274">
        <f t="shared" si="12"/>
        <v>6.219274298527</v>
      </c>
      <c r="Q111" s="275">
        <f t="shared" si="16"/>
        <v>7.8128987615990821</v>
      </c>
      <c r="R111" s="171"/>
    </row>
    <row r="112" spans="2:18">
      <c r="B112" s="94">
        <f t="shared" si="13"/>
        <v>2030</v>
      </c>
      <c r="C112" s="1">
        <f t="shared" si="14"/>
        <v>11</v>
      </c>
      <c r="D112" s="213">
        <v>47788</v>
      </c>
      <c r="E112" s="1" t="str">
        <f t="shared" si="15"/>
        <v>11-2030</v>
      </c>
      <c r="F112" s="268">
        <f>'IEPR Gas Prices Real'!F112*(INDEX('GDP Deflator'!$C$5:$C$89,MATCH('IEPR Gas Prices Nominal'!$B112,'GDP Deflator'!$B$5:$B$89,0))/100)</f>
        <v>6.2388651152559866</v>
      </c>
      <c r="G112" s="269">
        <f>'IEPR Gas Prices Real'!G112*(INDEX('GDP Deflator'!$C$5:$C$89,MATCH('IEPR Gas Prices Nominal'!$B112,'GDP Deflator'!$B$5:$B$89,0))/100)</f>
        <v>1.3934150810622876</v>
      </c>
      <c r="H112" s="270">
        <f>'IEPR Gas Prices Real'!H112*(INDEX('GDP Deflator'!$C$5:$C$89,MATCH('IEPR Gas Prices Nominal'!$B112,'GDP Deflator'!$B$5:$B$89,0))/100)</f>
        <v>7.6322801963182743</v>
      </c>
      <c r="I112" s="269">
        <f>'IEPR Gas Prices Real'!I112*(INDEX('GDP Deflator'!$C$5:$C$89,MATCH('IEPR Gas Prices Nominal'!$B112,'GDP Deflator'!$B$5:$B$89,0))/100)</f>
        <v>6.5520573666608737</v>
      </c>
      <c r="J112" s="269">
        <f>'IEPR Gas Prices Real'!J112*(INDEX('GDP Deflator'!$C$5:$C$89,MATCH('IEPR Gas Prices Nominal'!$B112,'GDP Deflator'!$B$5:$B$89,0))/100)</f>
        <v>2.3008652768631399</v>
      </c>
      <c r="K112" s="269">
        <f>'IEPR Gas Prices Real'!K112*(INDEX('GDP Deflator'!$C$5:$C$89,MATCH('IEPR Gas Prices Nominal'!$B112,'GDP Deflator'!$B$5:$B$89,0))/100)</f>
        <v>8.852922643524014</v>
      </c>
      <c r="L112" s="268">
        <f>'IEPR Gas Prices Real'!L112*(INDEX('GDP Deflator'!$C$5:$C$89,MATCH('IEPR Gas Prices Nominal'!$B112,'GDP Deflator'!$B$5:$B$89,0))/100)</f>
        <v>6.7886640816522155</v>
      </c>
      <c r="M112" s="269">
        <f>'IEPR Gas Prices Real'!M112*(INDEX('GDP Deflator'!$C$5:$C$89,MATCH('IEPR Gas Prices Nominal'!$B112,'GDP Deflator'!$B$5:$B$89,0))/100)</f>
        <v>1.0865930312908232</v>
      </c>
      <c r="N112" s="270">
        <f>'IEPR Gas Prices Real'!N112*(INDEX('GDP Deflator'!$C$5:$C$89,MATCH('IEPR Gas Prices Nominal'!$B112,'GDP Deflator'!$B$5:$B$89,0))/100)</f>
        <v>7.8752571129430384</v>
      </c>
      <c r="O112" s="1"/>
      <c r="P112" s="274">
        <f t="shared" si="12"/>
        <v>6.5265288545230256</v>
      </c>
      <c r="Q112" s="275">
        <f t="shared" si="16"/>
        <v>8.1201533175951095</v>
      </c>
      <c r="R112" s="171"/>
    </row>
    <row r="113" spans="2:18">
      <c r="B113" s="94">
        <f t="shared" si="13"/>
        <v>2030</v>
      </c>
      <c r="C113" s="1">
        <f t="shared" si="14"/>
        <v>12</v>
      </c>
      <c r="D113" s="213">
        <v>47818</v>
      </c>
      <c r="E113" s="1" t="str">
        <f t="shared" si="15"/>
        <v>12-2030</v>
      </c>
      <c r="F113" s="268">
        <f>'IEPR Gas Prices Real'!F113*(INDEX('GDP Deflator'!$C$5:$C$89,MATCH('IEPR Gas Prices Nominal'!$B113,'GDP Deflator'!$B$5:$B$89,0))/100)</f>
        <v>6.288928419338025</v>
      </c>
      <c r="G113" s="269">
        <f>'IEPR Gas Prices Real'!G113*(INDEX('GDP Deflator'!$C$5:$C$89,MATCH('IEPR Gas Prices Nominal'!$B113,'GDP Deflator'!$B$5:$B$89,0))/100)</f>
        <v>1.3934150810622876</v>
      </c>
      <c r="H113" s="270">
        <f>'IEPR Gas Prices Real'!H113*(INDEX('GDP Deflator'!$C$5:$C$89,MATCH('IEPR Gas Prices Nominal'!$B113,'GDP Deflator'!$B$5:$B$89,0))/100)</f>
        <v>7.6823435004003127</v>
      </c>
      <c r="I113" s="269">
        <f>'IEPR Gas Prices Real'!I113*(INDEX('GDP Deflator'!$C$5:$C$89,MATCH('IEPR Gas Prices Nominal'!$B113,'GDP Deflator'!$B$5:$B$89,0))/100)</f>
        <v>6.6045725017760342</v>
      </c>
      <c r="J113" s="269">
        <f>'IEPR Gas Prices Real'!J113*(INDEX('GDP Deflator'!$C$5:$C$89,MATCH('IEPR Gas Prices Nominal'!$B113,'GDP Deflator'!$B$5:$B$89,0))/100)</f>
        <v>2.3008652768631399</v>
      </c>
      <c r="K113" s="269">
        <f>'IEPR Gas Prices Real'!K113*(INDEX('GDP Deflator'!$C$5:$C$89,MATCH('IEPR Gas Prices Nominal'!$B113,'GDP Deflator'!$B$5:$B$89,0))/100)</f>
        <v>8.9054377786391736</v>
      </c>
      <c r="L113" s="268">
        <f>'IEPR Gas Prices Real'!L113*(INDEX('GDP Deflator'!$C$5:$C$89,MATCH('IEPR Gas Prices Nominal'!$B113,'GDP Deflator'!$B$5:$B$89,0))/100)</f>
        <v>6.8431363864029269</v>
      </c>
      <c r="M113" s="269">
        <f>'IEPR Gas Prices Real'!M113*(INDEX('GDP Deflator'!$C$5:$C$89,MATCH('IEPR Gas Prices Nominal'!$B113,'GDP Deflator'!$B$5:$B$89,0))/100)</f>
        <v>1.0865930312908232</v>
      </c>
      <c r="N113" s="270">
        <f>'IEPR Gas Prices Real'!N113*(INDEX('GDP Deflator'!$C$5:$C$89,MATCH('IEPR Gas Prices Nominal'!$B113,'GDP Deflator'!$B$5:$B$89,0))/100)</f>
        <v>7.9297294176937498</v>
      </c>
      <c r="O113" s="1"/>
      <c r="P113" s="274">
        <f t="shared" si="12"/>
        <v>6.5788791025056623</v>
      </c>
      <c r="Q113" s="275">
        <f t="shared" si="16"/>
        <v>8.1725035655777454</v>
      </c>
      <c r="R113" s="171"/>
    </row>
    <row r="114" spans="2:18">
      <c r="B114" s="94">
        <f t="shared" si="13"/>
        <v>2031</v>
      </c>
      <c r="C114" s="1">
        <f t="shared" si="14"/>
        <v>1</v>
      </c>
      <c r="D114" s="213">
        <v>47849</v>
      </c>
      <c r="E114" s="1" t="str">
        <f t="shared" si="15"/>
        <v>1-2031</v>
      </c>
      <c r="F114" s="268">
        <f>'IEPR Gas Prices Real'!F114*(INDEX('GDP Deflator'!$C$5:$C$89,MATCH('IEPR Gas Prices Nominal'!$B114,'GDP Deflator'!$B$5:$B$89,0))/100)</f>
        <v>6.4213923840952969</v>
      </c>
      <c r="G114" s="269">
        <f>'IEPR Gas Prices Real'!G114*(INDEX('GDP Deflator'!$C$5:$C$89,MATCH('IEPR Gas Prices Nominal'!$B114,'GDP Deflator'!$B$5:$B$89,0))/100)</f>
        <v>1.4796318386717604</v>
      </c>
      <c r="H114" s="270">
        <f>'IEPR Gas Prices Real'!H114*(INDEX('GDP Deflator'!$C$5:$C$89,MATCH('IEPR Gas Prices Nominal'!$B114,'GDP Deflator'!$B$5:$B$89,0))/100)</f>
        <v>7.9010242227670568</v>
      </c>
      <c r="I114" s="269">
        <f>'IEPR Gas Prices Real'!I114*(INDEX('GDP Deflator'!$C$5:$C$89,MATCH('IEPR Gas Prices Nominal'!$B114,'GDP Deflator'!$B$5:$B$89,0))/100)</f>
        <v>6.7437073794543592</v>
      </c>
      <c r="J114" s="269">
        <f>'IEPR Gas Prices Real'!J114*(INDEX('GDP Deflator'!$C$5:$C$89,MATCH('IEPR Gas Prices Nominal'!$B114,'GDP Deflator'!$B$5:$B$89,0))/100)</f>
        <v>2.443229993998346</v>
      </c>
      <c r="K114" s="269">
        <f>'IEPR Gas Prices Real'!K114*(INDEX('GDP Deflator'!$C$5:$C$89,MATCH('IEPR Gas Prices Nominal'!$B114,'GDP Deflator'!$B$5:$B$89,0))/100)</f>
        <v>9.1869373734527056</v>
      </c>
      <c r="L114" s="268">
        <f>'IEPR Gas Prices Real'!L114*(INDEX('GDP Deflator'!$C$5:$C$89,MATCH('IEPR Gas Prices Nominal'!$B114,'GDP Deflator'!$B$5:$B$89,0))/100)</f>
        <v>6.9873499575312978</v>
      </c>
      <c r="M114" s="269">
        <f>'IEPR Gas Prices Real'!M114*(INDEX('GDP Deflator'!$C$5:$C$89,MATCH('IEPR Gas Prices Nominal'!$B114,'GDP Deflator'!$B$5:$B$89,0))/100)</f>
        <v>1.1538253508431013</v>
      </c>
      <c r="N114" s="270">
        <f>'IEPR Gas Prices Real'!N114*(INDEX('GDP Deflator'!$C$5:$C$89,MATCH('IEPR Gas Prices Nominal'!$B114,'GDP Deflator'!$B$5:$B$89,0))/100)</f>
        <v>8.1411753083743985</v>
      </c>
      <c r="O114" s="1"/>
      <c r="P114" s="274">
        <f t="shared" si="12"/>
        <v>6.7174832403603171</v>
      </c>
      <c r="Q114" s="275">
        <f t="shared" si="16"/>
        <v>8.4097123015313873</v>
      </c>
      <c r="R114" s="171"/>
    </row>
    <row r="115" spans="2:18">
      <c r="B115" s="94">
        <f t="shared" si="13"/>
        <v>2031</v>
      </c>
      <c r="C115" s="1">
        <f t="shared" si="14"/>
        <v>2</v>
      </c>
      <c r="D115" s="213">
        <v>47880</v>
      </c>
      <c r="E115" s="1" t="str">
        <f t="shared" si="15"/>
        <v>2-2031</v>
      </c>
      <c r="F115" s="268">
        <f>'IEPR Gas Prices Real'!F115*(INDEX('GDP Deflator'!$C$5:$C$89,MATCH('IEPR Gas Prices Nominal'!$B115,'GDP Deflator'!$B$5:$B$89,0))/100)</f>
        <v>6.2804203665269878</v>
      </c>
      <c r="G115" s="269">
        <f>'IEPR Gas Prices Real'!G115*(INDEX('GDP Deflator'!$C$5:$C$89,MATCH('IEPR Gas Prices Nominal'!$B115,'GDP Deflator'!$B$5:$B$89,0))/100)</f>
        <v>1.4796318386717604</v>
      </c>
      <c r="H115" s="270">
        <f>'IEPR Gas Prices Real'!H115*(INDEX('GDP Deflator'!$C$5:$C$89,MATCH('IEPR Gas Prices Nominal'!$B115,'GDP Deflator'!$B$5:$B$89,0))/100)</f>
        <v>7.7600522051987486</v>
      </c>
      <c r="I115" s="269">
        <f>'IEPR Gas Prices Real'!I115*(INDEX('GDP Deflator'!$C$5:$C$89,MATCH('IEPR Gas Prices Nominal'!$B115,'GDP Deflator'!$B$5:$B$89,0))/100)</f>
        <v>6.595681418351047</v>
      </c>
      <c r="J115" s="269">
        <f>'IEPR Gas Prices Real'!J115*(INDEX('GDP Deflator'!$C$5:$C$89,MATCH('IEPR Gas Prices Nominal'!$B115,'GDP Deflator'!$B$5:$B$89,0))/100)</f>
        <v>2.443229993998346</v>
      </c>
      <c r="K115" s="269">
        <f>'IEPR Gas Prices Real'!K115*(INDEX('GDP Deflator'!$C$5:$C$89,MATCH('IEPR Gas Prices Nominal'!$B115,'GDP Deflator'!$B$5:$B$89,0))/100)</f>
        <v>9.0389114123493925</v>
      </c>
      <c r="L115" s="268">
        <f>'IEPR Gas Prices Real'!L115*(INDEX('GDP Deflator'!$C$5:$C$89,MATCH('IEPR Gas Prices Nominal'!$B115,'GDP Deflator'!$B$5:$B$89,0))/100)</f>
        <v>6.8340278282124034</v>
      </c>
      <c r="M115" s="269">
        <f>'IEPR Gas Prices Real'!M115*(INDEX('GDP Deflator'!$C$5:$C$89,MATCH('IEPR Gas Prices Nominal'!$B115,'GDP Deflator'!$B$5:$B$89,0))/100)</f>
        <v>1.1538253508431013</v>
      </c>
      <c r="N115" s="270">
        <f>'IEPR Gas Prices Real'!N115*(INDEX('GDP Deflator'!$C$5:$C$89,MATCH('IEPR Gas Prices Nominal'!$B115,'GDP Deflator'!$B$5:$B$89,0))/100)</f>
        <v>7.987853179055505</v>
      </c>
      <c r="O115" s="1"/>
      <c r="P115" s="274">
        <f t="shared" si="12"/>
        <v>6.5700432043634791</v>
      </c>
      <c r="Q115" s="275">
        <f t="shared" si="16"/>
        <v>8.2622722655345484</v>
      </c>
      <c r="R115" s="171"/>
    </row>
    <row r="116" spans="2:18">
      <c r="B116" s="94">
        <f t="shared" si="13"/>
        <v>2031</v>
      </c>
      <c r="C116" s="1">
        <f t="shared" si="14"/>
        <v>3</v>
      </c>
      <c r="D116" s="213">
        <v>47908</v>
      </c>
      <c r="E116" s="1" t="str">
        <f t="shared" si="15"/>
        <v>3-2031</v>
      </c>
      <c r="F116" s="268">
        <f>'IEPR Gas Prices Real'!F116*(INDEX('GDP Deflator'!$C$5:$C$89,MATCH('IEPR Gas Prices Nominal'!$B116,'GDP Deflator'!$B$5:$B$89,0))/100)</f>
        <v>5.7652745123456333</v>
      </c>
      <c r="G116" s="269">
        <f>'IEPR Gas Prices Real'!G116*(INDEX('GDP Deflator'!$C$5:$C$89,MATCH('IEPR Gas Prices Nominal'!$B116,'GDP Deflator'!$B$5:$B$89,0))/100)</f>
        <v>1.4796318386717604</v>
      </c>
      <c r="H116" s="270">
        <f>'IEPR Gas Prices Real'!H116*(INDEX('GDP Deflator'!$C$5:$C$89,MATCH('IEPR Gas Prices Nominal'!$B116,'GDP Deflator'!$B$5:$B$89,0))/100)</f>
        <v>7.244906351017395</v>
      </c>
      <c r="I116" s="269">
        <f>'IEPR Gas Prices Real'!I116*(INDEX('GDP Deflator'!$C$5:$C$89,MATCH('IEPR Gas Prices Nominal'!$B116,'GDP Deflator'!$B$5:$B$89,0))/100)</f>
        <v>6.0546967550444837</v>
      </c>
      <c r="J116" s="269">
        <f>'IEPR Gas Prices Real'!J116*(INDEX('GDP Deflator'!$C$5:$C$89,MATCH('IEPR Gas Prices Nominal'!$B116,'GDP Deflator'!$B$5:$B$89,0))/100)</f>
        <v>2.443229993998346</v>
      </c>
      <c r="K116" s="269">
        <f>'IEPR Gas Prices Real'!K116*(INDEX('GDP Deflator'!$C$5:$C$89,MATCH('IEPR Gas Prices Nominal'!$B116,'GDP Deflator'!$B$5:$B$89,0))/100)</f>
        <v>8.4979267490428292</v>
      </c>
      <c r="L116" s="268">
        <f>'IEPR Gas Prices Real'!L116*(INDEX('GDP Deflator'!$C$5:$C$89,MATCH('IEPR Gas Prices Nominal'!$B116,'GDP Deflator'!$B$5:$B$89,0))/100)</f>
        <v>6.2735413417445303</v>
      </c>
      <c r="M116" s="269">
        <f>'IEPR Gas Prices Real'!M116*(INDEX('GDP Deflator'!$C$5:$C$89,MATCH('IEPR Gas Prices Nominal'!$B116,'GDP Deflator'!$B$5:$B$89,0))/100)</f>
        <v>1.1538253508431013</v>
      </c>
      <c r="N116" s="270">
        <f>'IEPR Gas Prices Real'!N116*(INDEX('GDP Deflator'!$C$5:$C$89,MATCH('IEPR Gas Prices Nominal'!$B116,'GDP Deflator'!$B$5:$B$89,0))/100)</f>
        <v>7.4273666925876318</v>
      </c>
      <c r="O116" s="1"/>
      <c r="P116" s="274">
        <f t="shared" si="12"/>
        <v>6.0311708697115485</v>
      </c>
      <c r="Q116" s="275">
        <f t="shared" si="16"/>
        <v>7.7233999308826187</v>
      </c>
      <c r="R116" s="171"/>
    </row>
    <row r="117" spans="2:18">
      <c r="B117" s="94">
        <f t="shared" si="13"/>
        <v>2031</v>
      </c>
      <c r="C117" s="1">
        <f t="shared" si="14"/>
        <v>4</v>
      </c>
      <c r="D117" s="213">
        <v>47939</v>
      </c>
      <c r="E117" s="1" t="str">
        <f t="shared" si="15"/>
        <v>4-2031</v>
      </c>
      <c r="F117" s="268">
        <f>'IEPR Gas Prices Real'!F117*(INDEX('GDP Deflator'!$C$5:$C$89,MATCH('IEPR Gas Prices Nominal'!$B117,'GDP Deflator'!$B$5:$B$89,0))/100)</f>
        <v>5.6670104582357013</v>
      </c>
      <c r="G117" s="269">
        <f>'IEPR Gas Prices Real'!G117*(INDEX('GDP Deflator'!$C$5:$C$89,MATCH('IEPR Gas Prices Nominal'!$B117,'GDP Deflator'!$B$5:$B$89,0))/100)</f>
        <v>1.4796318386717604</v>
      </c>
      <c r="H117" s="270">
        <f>'IEPR Gas Prices Real'!H117*(INDEX('GDP Deflator'!$C$5:$C$89,MATCH('IEPR Gas Prices Nominal'!$B117,'GDP Deflator'!$B$5:$B$89,0))/100)</f>
        <v>7.1466422969074612</v>
      </c>
      <c r="I117" s="269">
        <f>'IEPR Gas Prices Real'!I117*(INDEX('GDP Deflator'!$C$5:$C$89,MATCH('IEPR Gas Prices Nominal'!$B117,'GDP Deflator'!$B$5:$B$89,0))/100)</f>
        <v>5.9515196071235241</v>
      </c>
      <c r="J117" s="269">
        <f>'IEPR Gas Prices Real'!J117*(INDEX('GDP Deflator'!$C$5:$C$89,MATCH('IEPR Gas Prices Nominal'!$B117,'GDP Deflator'!$B$5:$B$89,0))/100)</f>
        <v>2.443229993998346</v>
      </c>
      <c r="K117" s="269">
        <f>'IEPR Gas Prices Real'!K117*(INDEX('GDP Deflator'!$C$5:$C$89,MATCH('IEPR Gas Prices Nominal'!$B117,'GDP Deflator'!$B$5:$B$89,0))/100)</f>
        <v>8.3947496011218696</v>
      </c>
      <c r="L117" s="268">
        <f>'IEPR Gas Prices Real'!L117*(INDEX('GDP Deflator'!$C$5:$C$89,MATCH('IEPR Gas Prices Nominal'!$B117,'GDP Deflator'!$B$5:$B$89,0))/100)</f>
        <v>6.1666816901390948</v>
      </c>
      <c r="M117" s="269">
        <f>'IEPR Gas Prices Real'!M117*(INDEX('GDP Deflator'!$C$5:$C$89,MATCH('IEPR Gas Prices Nominal'!$B117,'GDP Deflator'!$B$5:$B$89,0))/100)</f>
        <v>1.1538253508431013</v>
      </c>
      <c r="N117" s="270">
        <f>'IEPR Gas Prices Real'!N117*(INDEX('GDP Deflator'!$C$5:$C$89,MATCH('IEPR Gas Prices Nominal'!$B117,'GDP Deflator'!$B$5:$B$89,0))/100)</f>
        <v>7.3205070409821964</v>
      </c>
      <c r="O117" s="1"/>
      <c r="P117" s="274">
        <f t="shared" si="12"/>
        <v>5.9284039184994404</v>
      </c>
      <c r="Q117" s="275">
        <f t="shared" si="16"/>
        <v>7.6206329796705097</v>
      </c>
      <c r="R117" s="171"/>
    </row>
    <row r="118" spans="2:18">
      <c r="B118" s="94">
        <f t="shared" si="13"/>
        <v>2031</v>
      </c>
      <c r="C118" s="1">
        <f t="shared" si="14"/>
        <v>5</v>
      </c>
      <c r="D118" s="213">
        <v>47969</v>
      </c>
      <c r="E118" s="1" t="str">
        <f t="shared" si="15"/>
        <v>5-2031</v>
      </c>
      <c r="F118" s="268">
        <f>'IEPR Gas Prices Real'!F118*(INDEX('GDP Deflator'!$C$5:$C$89,MATCH('IEPR Gas Prices Nominal'!$B118,'GDP Deflator'!$B$5:$B$89,0))/100)</f>
        <v>5.8640680692568532</v>
      </c>
      <c r="G118" s="269">
        <f>'IEPR Gas Prices Real'!G118*(INDEX('GDP Deflator'!$C$5:$C$89,MATCH('IEPR Gas Prices Nominal'!$B118,'GDP Deflator'!$B$5:$B$89,0))/100)</f>
        <v>1.4796318386717604</v>
      </c>
      <c r="H118" s="270">
        <f>'IEPR Gas Prices Real'!H118*(INDEX('GDP Deflator'!$C$5:$C$89,MATCH('IEPR Gas Prices Nominal'!$B118,'GDP Deflator'!$B$5:$B$89,0))/100)</f>
        <v>7.343699907928614</v>
      </c>
      <c r="I118" s="269">
        <f>'IEPR Gas Prices Real'!I118*(INDEX('GDP Deflator'!$C$5:$C$89,MATCH('IEPR Gas Prices Nominal'!$B118,'GDP Deflator'!$B$5:$B$89,0))/100)</f>
        <v>6.158490935439751</v>
      </c>
      <c r="J118" s="269">
        <f>'IEPR Gas Prices Real'!J118*(INDEX('GDP Deflator'!$C$5:$C$89,MATCH('IEPR Gas Prices Nominal'!$B118,'GDP Deflator'!$B$5:$B$89,0))/100)</f>
        <v>2.443229993998346</v>
      </c>
      <c r="K118" s="269">
        <f>'IEPR Gas Prices Real'!K118*(INDEX('GDP Deflator'!$C$5:$C$89,MATCH('IEPR Gas Prices Nominal'!$B118,'GDP Deflator'!$B$5:$B$89,0))/100)</f>
        <v>8.6017209294380965</v>
      </c>
      <c r="L118" s="268">
        <f>'IEPR Gas Prices Real'!L118*(INDEX('GDP Deflator'!$C$5:$C$89,MATCH('IEPR Gas Prices Nominal'!$B118,'GDP Deflator'!$B$5:$B$89,0))/100)</f>
        <v>6.3811839681908813</v>
      </c>
      <c r="M118" s="269">
        <f>'IEPR Gas Prices Real'!M118*(INDEX('GDP Deflator'!$C$5:$C$89,MATCH('IEPR Gas Prices Nominal'!$B118,'GDP Deflator'!$B$5:$B$89,0))/100)</f>
        <v>1.1538253508431013</v>
      </c>
      <c r="N118" s="270">
        <f>'IEPR Gas Prices Real'!N118*(INDEX('GDP Deflator'!$C$5:$C$89,MATCH('IEPR Gas Prices Nominal'!$B118,'GDP Deflator'!$B$5:$B$89,0))/100)</f>
        <v>7.5350093190339829</v>
      </c>
      <c r="O118" s="1"/>
      <c r="P118" s="274">
        <f t="shared" si="12"/>
        <v>6.1345809909624949</v>
      </c>
      <c r="Q118" s="275">
        <f t="shared" si="16"/>
        <v>7.8268100521335642</v>
      </c>
      <c r="R118" s="171"/>
    </row>
    <row r="119" spans="2:18">
      <c r="B119" s="94">
        <f t="shared" si="13"/>
        <v>2031</v>
      </c>
      <c r="C119" s="1">
        <f t="shared" si="14"/>
        <v>6</v>
      </c>
      <c r="D119" s="213">
        <v>48000</v>
      </c>
      <c r="E119" s="1" t="str">
        <f t="shared" si="15"/>
        <v>6-2031</v>
      </c>
      <c r="F119" s="268">
        <f>'IEPR Gas Prices Real'!F119*(INDEX('GDP Deflator'!$C$5:$C$89,MATCH('IEPR Gas Prices Nominal'!$B119,'GDP Deflator'!$B$5:$B$89,0))/100)</f>
        <v>6.0154916173100412</v>
      </c>
      <c r="G119" s="269">
        <f>'IEPR Gas Prices Real'!G119*(INDEX('GDP Deflator'!$C$5:$C$89,MATCH('IEPR Gas Prices Nominal'!$B119,'GDP Deflator'!$B$5:$B$89,0))/100)</f>
        <v>1.4796318386717604</v>
      </c>
      <c r="H119" s="270">
        <f>'IEPR Gas Prices Real'!H119*(INDEX('GDP Deflator'!$C$5:$C$89,MATCH('IEPR Gas Prices Nominal'!$B119,'GDP Deflator'!$B$5:$B$89,0))/100)</f>
        <v>7.4951234559818021</v>
      </c>
      <c r="I119" s="269">
        <f>'IEPR Gas Prices Real'!I119*(INDEX('GDP Deflator'!$C$5:$C$89,MATCH('IEPR Gas Prices Nominal'!$B119,'GDP Deflator'!$B$5:$B$89,0))/100)</f>
        <v>6.3175382318913851</v>
      </c>
      <c r="J119" s="269">
        <f>'IEPR Gas Prices Real'!J119*(INDEX('GDP Deflator'!$C$5:$C$89,MATCH('IEPR Gas Prices Nominal'!$B119,'GDP Deflator'!$B$5:$B$89,0))/100)</f>
        <v>2.443229993998346</v>
      </c>
      <c r="K119" s="269">
        <f>'IEPR Gas Prices Real'!K119*(INDEX('GDP Deflator'!$C$5:$C$89,MATCH('IEPR Gas Prices Nominal'!$B119,'GDP Deflator'!$B$5:$B$89,0))/100)</f>
        <v>8.7607682258897306</v>
      </c>
      <c r="L119" s="268">
        <f>'IEPR Gas Prices Real'!L119*(INDEX('GDP Deflator'!$C$5:$C$89,MATCH('IEPR Gas Prices Nominal'!$B119,'GDP Deflator'!$B$5:$B$89,0))/100)</f>
        <v>6.5460321506748986</v>
      </c>
      <c r="M119" s="269">
        <f>'IEPR Gas Prices Real'!M119*(INDEX('GDP Deflator'!$C$5:$C$89,MATCH('IEPR Gas Prices Nominal'!$B119,'GDP Deflator'!$B$5:$B$89,0))/100)</f>
        <v>1.1538253508431013</v>
      </c>
      <c r="N119" s="270">
        <f>'IEPR Gas Prices Real'!N119*(INDEX('GDP Deflator'!$C$5:$C$89,MATCH('IEPR Gas Prices Nominal'!$B119,'GDP Deflator'!$B$5:$B$89,0))/100)</f>
        <v>7.6998575015180002</v>
      </c>
      <c r="O119" s="1"/>
      <c r="P119" s="274">
        <f t="shared" si="12"/>
        <v>6.2930206666254422</v>
      </c>
      <c r="Q119" s="275">
        <f t="shared" si="16"/>
        <v>7.9852497277965107</v>
      </c>
      <c r="R119" s="171"/>
    </row>
    <row r="120" spans="2:18">
      <c r="B120" s="94">
        <f t="shared" si="13"/>
        <v>2031</v>
      </c>
      <c r="C120" s="1">
        <f t="shared" si="14"/>
        <v>7</v>
      </c>
      <c r="D120" s="213">
        <v>48030</v>
      </c>
      <c r="E120" s="1" t="str">
        <f t="shared" si="15"/>
        <v>7-2031</v>
      </c>
      <c r="F120" s="268">
        <f>'IEPR Gas Prices Real'!F120*(INDEX('GDP Deflator'!$C$5:$C$89,MATCH('IEPR Gas Prices Nominal'!$B120,'GDP Deflator'!$B$5:$B$89,0))/100)</f>
        <v>6.0630393309134192</v>
      </c>
      <c r="G120" s="269">
        <f>'IEPR Gas Prices Real'!G120*(INDEX('GDP Deflator'!$C$5:$C$89,MATCH('IEPR Gas Prices Nominal'!$B120,'GDP Deflator'!$B$5:$B$89,0))/100)</f>
        <v>1.4796318386717604</v>
      </c>
      <c r="H120" s="270">
        <f>'IEPR Gas Prices Real'!H120*(INDEX('GDP Deflator'!$C$5:$C$89,MATCH('IEPR Gas Prices Nominal'!$B120,'GDP Deflator'!$B$5:$B$89,0))/100)</f>
        <v>7.5426711695851791</v>
      </c>
      <c r="I120" s="269">
        <f>'IEPR Gas Prices Real'!I120*(INDEX('GDP Deflator'!$C$5:$C$89,MATCH('IEPR Gas Prices Nominal'!$B120,'GDP Deflator'!$B$5:$B$89,0))/100)</f>
        <v>6.3674946369399814</v>
      </c>
      <c r="J120" s="269">
        <f>'IEPR Gas Prices Real'!J120*(INDEX('GDP Deflator'!$C$5:$C$89,MATCH('IEPR Gas Prices Nominal'!$B120,'GDP Deflator'!$B$5:$B$89,0))/100)</f>
        <v>2.443229993998346</v>
      </c>
      <c r="K120" s="269">
        <f>'IEPR Gas Prices Real'!K120*(INDEX('GDP Deflator'!$C$5:$C$89,MATCH('IEPR Gas Prices Nominal'!$B120,'GDP Deflator'!$B$5:$B$89,0))/100)</f>
        <v>8.8107246309383278</v>
      </c>
      <c r="L120" s="268">
        <f>'IEPR Gas Prices Real'!L120*(INDEX('GDP Deflator'!$C$5:$C$89,MATCH('IEPR Gas Prices Nominal'!$B120,'GDP Deflator'!$B$5:$B$89,0))/100)</f>
        <v>6.5978454722020894</v>
      </c>
      <c r="M120" s="269">
        <f>'IEPR Gas Prices Real'!M120*(INDEX('GDP Deflator'!$C$5:$C$89,MATCH('IEPR Gas Prices Nominal'!$B120,'GDP Deflator'!$B$5:$B$89,0))/100)</f>
        <v>1.1538253508431013</v>
      </c>
      <c r="N120" s="270">
        <f>'IEPR Gas Prices Real'!N120*(INDEX('GDP Deflator'!$C$5:$C$89,MATCH('IEPR Gas Prices Nominal'!$B120,'GDP Deflator'!$B$5:$B$89,0))/100)</f>
        <v>7.751670823045191</v>
      </c>
      <c r="O120" s="1"/>
      <c r="P120" s="274">
        <f t="shared" si="12"/>
        <v>6.342793146685163</v>
      </c>
      <c r="Q120" s="275">
        <f t="shared" si="16"/>
        <v>8.0350222078562332</v>
      </c>
      <c r="R120" s="171"/>
    </row>
    <row r="121" spans="2:18">
      <c r="B121" s="94">
        <f t="shared" si="13"/>
        <v>2031</v>
      </c>
      <c r="C121" s="1">
        <f t="shared" si="14"/>
        <v>8</v>
      </c>
      <c r="D121" s="213">
        <v>48061</v>
      </c>
      <c r="E121" s="1" t="str">
        <f t="shared" si="15"/>
        <v>8-2031</v>
      </c>
      <c r="F121" s="268">
        <f>'IEPR Gas Prices Real'!F121*(INDEX('GDP Deflator'!$C$5:$C$89,MATCH('IEPR Gas Prices Nominal'!$B121,'GDP Deflator'!$B$5:$B$89,0))/100)</f>
        <v>6.0160335096725426</v>
      </c>
      <c r="G121" s="269">
        <f>'IEPR Gas Prices Real'!G121*(INDEX('GDP Deflator'!$C$5:$C$89,MATCH('IEPR Gas Prices Nominal'!$B121,'GDP Deflator'!$B$5:$B$89,0))/100)</f>
        <v>1.4796318386717604</v>
      </c>
      <c r="H121" s="270">
        <f>'IEPR Gas Prices Real'!H121*(INDEX('GDP Deflator'!$C$5:$C$89,MATCH('IEPR Gas Prices Nominal'!$B121,'GDP Deflator'!$B$5:$B$89,0))/100)</f>
        <v>7.4956653483443025</v>
      </c>
      <c r="I121" s="269">
        <f>'IEPR Gas Prices Real'!I121*(INDEX('GDP Deflator'!$C$5:$C$89,MATCH('IEPR Gas Prices Nominal'!$B121,'GDP Deflator'!$B$5:$B$89,0))/100)</f>
        <v>6.3181495096136508</v>
      </c>
      <c r="J121" s="269">
        <f>'IEPR Gas Prices Real'!J121*(INDEX('GDP Deflator'!$C$5:$C$89,MATCH('IEPR Gas Prices Nominal'!$B121,'GDP Deflator'!$B$5:$B$89,0))/100)</f>
        <v>2.443229993998346</v>
      </c>
      <c r="K121" s="269">
        <f>'IEPR Gas Prices Real'!K121*(INDEX('GDP Deflator'!$C$5:$C$89,MATCH('IEPR Gas Prices Nominal'!$B121,'GDP Deflator'!$B$5:$B$89,0))/100)</f>
        <v>8.7613795036119964</v>
      </c>
      <c r="L121" s="268">
        <f>'IEPR Gas Prices Real'!L121*(INDEX('GDP Deflator'!$C$5:$C$89,MATCH('IEPR Gas Prices Nominal'!$B121,'GDP Deflator'!$B$5:$B$89,0))/100)</f>
        <v>6.5467649351837647</v>
      </c>
      <c r="M121" s="269">
        <f>'IEPR Gas Prices Real'!M121*(INDEX('GDP Deflator'!$C$5:$C$89,MATCH('IEPR Gas Prices Nominal'!$B121,'GDP Deflator'!$B$5:$B$89,0))/100)</f>
        <v>1.1538253508431013</v>
      </c>
      <c r="N121" s="270">
        <f>'IEPR Gas Prices Real'!N121*(INDEX('GDP Deflator'!$C$5:$C$89,MATCH('IEPR Gas Prices Nominal'!$B121,'GDP Deflator'!$B$5:$B$89,0))/100)</f>
        <v>7.7005902860268662</v>
      </c>
      <c r="O121" s="1"/>
      <c r="P121" s="274">
        <f t="shared" si="12"/>
        <v>6.2936493181566533</v>
      </c>
      <c r="Q121" s="275">
        <f t="shared" si="16"/>
        <v>7.9858783793277217</v>
      </c>
      <c r="R121" s="171"/>
    </row>
    <row r="122" spans="2:18">
      <c r="B122" s="94">
        <f t="shared" si="13"/>
        <v>2031</v>
      </c>
      <c r="C122" s="1">
        <f t="shared" si="14"/>
        <v>9</v>
      </c>
      <c r="D122" s="213">
        <v>48092</v>
      </c>
      <c r="E122" s="1" t="str">
        <f t="shared" si="15"/>
        <v>9-2031</v>
      </c>
      <c r="F122" s="268">
        <f>'IEPR Gas Prices Real'!F122*(INDEX('GDP Deflator'!$C$5:$C$89,MATCH('IEPR Gas Prices Nominal'!$B122,'GDP Deflator'!$B$5:$B$89,0))/100)</f>
        <v>6.1004774827750365</v>
      </c>
      <c r="G122" s="269">
        <f>'IEPR Gas Prices Real'!G122*(INDEX('GDP Deflator'!$C$5:$C$89,MATCH('IEPR Gas Prices Nominal'!$B122,'GDP Deflator'!$B$5:$B$89,0))/100)</f>
        <v>1.4796318386717604</v>
      </c>
      <c r="H122" s="270">
        <f>'IEPR Gas Prices Real'!H122*(INDEX('GDP Deflator'!$C$5:$C$89,MATCH('IEPR Gas Prices Nominal'!$B122,'GDP Deflator'!$B$5:$B$89,0))/100)</f>
        <v>7.5801093214467965</v>
      </c>
      <c r="I122" s="269">
        <f>'IEPR Gas Prices Real'!I122*(INDEX('GDP Deflator'!$C$5:$C$89,MATCH('IEPR Gas Prices Nominal'!$B122,'GDP Deflator'!$B$5:$B$89,0))/100)</f>
        <v>6.4068555184892046</v>
      </c>
      <c r="J122" s="269">
        <f>'IEPR Gas Prices Real'!J122*(INDEX('GDP Deflator'!$C$5:$C$89,MATCH('IEPR Gas Prices Nominal'!$B122,'GDP Deflator'!$B$5:$B$89,0))/100)</f>
        <v>2.443229993998346</v>
      </c>
      <c r="K122" s="269">
        <f>'IEPR Gas Prices Real'!K122*(INDEX('GDP Deflator'!$C$5:$C$89,MATCH('IEPR Gas Prices Nominal'!$B122,'GDP Deflator'!$B$5:$B$89,0))/100)</f>
        <v>8.850085512487551</v>
      </c>
      <c r="L122" s="268">
        <f>'IEPR Gas Prices Real'!L122*(INDEX('GDP Deflator'!$C$5:$C$89,MATCH('IEPR Gas Prices Nominal'!$B122,'GDP Deflator'!$B$5:$B$89,0))/100)</f>
        <v>6.6387310822711267</v>
      </c>
      <c r="M122" s="269">
        <f>'IEPR Gas Prices Real'!M122*(INDEX('GDP Deflator'!$C$5:$C$89,MATCH('IEPR Gas Prices Nominal'!$B122,'GDP Deflator'!$B$5:$B$89,0))/100)</f>
        <v>1.1538253508431013</v>
      </c>
      <c r="N122" s="270">
        <f>'IEPR Gas Prices Real'!N122*(INDEX('GDP Deflator'!$C$5:$C$89,MATCH('IEPR Gas Prices Nominal'!$B122,'GDP Deflator'!$B$5:$B$89,0))/100)</f>
        <v>7.7925564331142292</v>
      </c>
      <c r="O122" s="1"/>
      <c r="P122" s="274">
        <f t="shared" si="12"/>
        <v>6.382021361178456</v>
      </c>
      <c r="Q122" s="275">
        <f t="shared" si="16"/>
        <v>8.0742504223495253</v>
      </c>
      <c r="R122" s="171"/>
    </row>
    <row r="123" spans="2:18">
      <c r="B123" s="94">
        <f t="shared" si="13"/>
        <v>2031</v>
      </c>
      <c r="C123" s="1">
        <f t="shared" si="14"/>
        <v>10</v>
      </c>
      <c r="D123" s="213">
        <v>48122</v>
      </c>
      <c r="E123" s="1" t="str">
        <f t="shared" si="15"/>
        <v>10-2031</v>
      </c>
      <c r="F123" s="268">
        <f>'IEPR Gas Prices Real'!F123*(INDEX('GDP Deflator'!$C$5:$C$89,MATCH('IEPR Gas Prices Nominal'!$B123,'GDP Deflator'!$B$5:$B$89,0))/100)</f>
        <v>6.0651476508908848</v>
      </c>
      <c r="G123" s="269">
        <f>'IEPR Gas Prices Real'!G123*(INDEX('GDP Deflator'!$C$5:$C$89,MATCH('IEPR Gas Prices Nominal'!$B123,'GDP Deflator'!$B$5:$B$89,0))/100)</f>
        <v>1.4796318386717604</v>
      </c>
      <c r="H123" s="270">
        <f>'IEPR Gas Prices Real'!H123*(INDEX('GDP Deflator'!$C$5:$C$89,MATCH('IEPR Gas Prices Nominal'!$B123,'GDP Deflator'!$B$5:$B$89,0))/100)</f>
        <v>7.5447794895626448</v>
      </c>
      <c r="I123" s="269">
        <f>'IEPR Gas Prices Real'!I123*(INDEX('GDP Deflator'!$C$5:$C$89,MATCH('IEPR Gas Prices Nominal'!$B123,'GDP Deflator'!$B$5:$B$89,0))/100)</f>
        <v>6.3697726203874767</v>
      </c>
      <c r="J123" s="269">
        <f>'IEPR Gas Prices Real'!J123*(INDEX('GDP Deflator'!$C$5:$C$89,MATCH('IEPR Gas Prices Nominal'!$B123,'GDP Deflator'!$B$5:$B$89,0))/100)</f>
        <v>2.443229993998346</v>
      </c>
      <c r="K123" s="269">
        <f>'IEPR Gas Prices Real'!K123*(INDEX('GDP Deflator'!$C$5:$C$89,MATCH('IEPR Gas Prices Nominal'!$B123,'GDP Deflator'!$B$5:$B$89,0))/100)</f>
        <v>8.8130026143858231</v>
      </c>
      <c r="L123" s="268">
        <f>'IEPR Gas Prices Real'!L123*(INDEX('GDP Deflator'!$C$5:$C$89,MATCH('IEPR Gas Prices Nominal'!$B123,'GDP Deflator'!$B$5:$B$89,0))/100)</f>
        <v>6.6003562097016468</v>
      </c>
      <c r="M123" s="269">
        <f>'IEPR Gas Prices Real'!M123*(INDEX('GDP Deflator'!$C$5:$C$89,MATCH('IEPR Gas Prices Nominal'!$B123,'GDP Deflator'!$B$5:$B$89,0))/100)</f>
        <v>1.1538253508431013</v>
      </c>
      <c r="N123" s="270">
        <f>'IEPR Gas Prices Real'!N123*(INDEX('GDP Deflator'!$C$5:$C$89,MATCH('IEPR Gas Prices Nominal'!$B123,'GDP Deflator'!$B$5:$B$89,0))/100)</f>
        <v>7.7541815605447484</v>
      </c>
      <c r="O123" s="1"/>
      <c r="P123" s="274">
        <f t="shared" si="12"/>
        <v>6.3450921603266695</v>
      </c>
      <c r="Q123" s="275">
        <f t="shared" si="16"/>
        <v>8.0373212214977379</v>
      </c>
      <c r="R123" s="171"/>
    </row>
    <row r="124" spans="2:18">
      <c r="B124" s="94">
        <f t="shared" si="13"/>
        <v>2031</v>
      </c>
      <c r="C124" s="1">
        <f t="shared" si="14"/>
        <v>11</v>
      </c>
      <c r="D124" s="213">
        <v>48153</v>
      </c>
      <c r="E124" s="1" t="str">
        <f t="shared" si="15"/>
        <v>11-2031</v>
      </c>
      <c r="F124" s="268">
        <f>'IEPR Gas Prices Real'!F124*(INDEX('GDP Deflator'!$C$5:$C$89,MATCH('IEPR Gas Prices Nominal'!$B124,'GDP Deflator'!$B$5:$B$89,0))/100)</f>
        <v>6.3647442610355824</v>
      </c>
      <c r="G124" s="269">
        <f>'IEPR Gas Prices Real'!G124*(INDEX('GDP Deflator'!$C$5:$C$89,MATCH('IEPR Gas Prices Nominal'!$B124,'GDP Deflator'!$B$5:$B$89,0))/100)</f>
        <v>1.4796318386717604</v>
      </c>
      <c r="H124" s="270">
        <f>'IEPR Gas Prices Real'!H124*(INDEX('GDP Deflator'!$C$5:$C$89,MATCH('IEPR Gas Prices Nominal'!$B124,'GDP Deflator'!$B$5:$B$89,0))/100)</f>
        <v>7.8443760997073424</v>
      </c>
      <c r="I124" s="269">
        <f>'IEPR Gas Prices Real'!I124*(INDEX('GDP Deflator'!$C$5:$C$89,MATCH('IEPR Gas Prices Nominal'!$B124,'GDP Deflator'!$B$5:$B$89,0))/100)</f>
        <v>6.6844389364201087</v>
      </c>
      <c r="J124" s="269">
        <f>'IEPR Gas Prices Real'!J124*(INDEX('GDP Deflator'!$C$5:$C$89,MATCH('IEPR Gas Prices Nominal'!$B124,'GDP Deflator'!$B$5:$B$89,0))/100)</f>
        <v>2.443229993998346</v>
      </c>
      <c r="K124" s="269">
        <f>'IEPR Gas Prices Real'!K124*(INDEX('GDP Deflator'!$C$5:$C$89,MATCH('IEPR Gas Prices Nominal'!$B124,'GDP Deflator'!$B$5:$B$89,0))/100)</f>
        <v>9.1276689304184551</v>
      </c>
      <c r="L124" s="268">
        <f>'IEPR Gas Prices Real'!L124*(INDEX('GDP Deflator'!$C$5:$C$89,MATCH('IEPR Gas Prices Nominal'!$B124,'GDP Deflator'!$B$5:$B$89,0))/100)</f>
        <v>6.926465943783044</v>
      </c>
      <c r="M124" s="269">
        <f>'IEPR Gas Prices Real'!M124*(INDEX('GDP Deflator'!$C$5:$C$89,MATCH('IEPR Gas Prices Nominal'!$B124,'GDP Deflator'!$B$5:$B$89,0))/100)</f>
        <v>1.1538253508431013</v>
      </c>
      <c r="N124" s="270">
        <f>'IEPR Gas Prices Real'!N124*(INDEX('GDP Deflator'!$C$5:$C$89,MATCH('IEPR Gas Prices Nominal'!$B124,'GDP Deflator'!$B$5:$B$89,0))/100)</f>
        <v>8.0802912946261465</v>
      </c>
      <c r="O124" s="1"/>
      <c r="P124" s="274">
        <f t="shared" si="12"/>
        <v>6.6585497137462442</v>
      </c>
      <c r="Q124" s="275">
        <f t="shared" si="16"/>
        <v>8.3507787749173144</v>
      </c>
      <c r="R124" s="171"/>
    </row>
    <row r="125" spans="2:18">
      <c r="B125" s="94">
        <f t="shared" si="13"/>
        <v>2031</v>
      </c>
      <c r="C125" s="1">
        <f t="shared" si="14"/>
        <v>12</v>
      </c>
      <c r="D125" s="213">
        <v>48183</v>
      </c>
      <c r="E125" s="1" t="str">
        <f t="shared" si="15"/>
        <v>12-2031</v>
      </c>
      <c r="F125" s="268">
        <f>'IEPR Gas Prices Real'!F125*(INDEX('GDP Deflator'!$C$5:$C$89,MATCH('IEPR Gas Prices Nominal'!$B125,'GDP Deflator'!$B$5:$B$89,0))/100)</f>
        <v>6.4157529219883944</v>
      </c>
      <c r="G125" s="269">
        <f>'IEPR Gas Prices Real'!G125*(INDEX('GDP Deflator'!$C$5:$C$89,MATCH('IEPR Gas Prices Nominal'!$B125,'GDP Deflator'!$B$5:$B$89,0))/100)</f>
        <v>1.4796318386717604</v>
      </c>
      <c r="H125" s="270">
        <f>'IEPR Gas Prices Real'!H125*(INDEX('GDP Deflator'!$C$5:$C$89,MATCH('IEPR Gas Prices Nominal'!$B125,'GDP Deflator'!$B$5:$B$89,0))/100)</f>
        <v>7.8953847606601544</v>
      </c>
      <c r="I125" s="269">
        <f>'IEPR Gas Prices Real'!I125*(INDEX('GDP Deflator'!$C$5:$C$89,MATCH('IEPR Gas Prices Nominal'!$B125,'GDP Deflator'!$B$5:$B$89,0))/100)</f>
        <v>6.7380322144409375</v>
      </c>
      <c r="J125" s="269">
        <f>'IEPR Gas Prices Real'!J125*(INDEX('GDP Deflator'!$C$5:$C$89,MATCH('IEPR Gas Prices Nominal'!$B125,'GDP Deflator'!$B$5:$B$89,0))/100)</f>
        <v>2.443229993998346</v>
      </c>
      <c r="K125" s="269">
        <f>'IEPR Gas Prices Real'!K125*(INDEX('GDP Deflator'!$C$5:$C$89,MATCH('IEPR Gas Prices Nominal'!$B125,'GDP Deflator'!$B$5:$B$89,0))/100)</f>
        <v>9.1812622084392839</v>
      </c>
      <c r="L125" s="268">
        <f>'IEPR Gas Prices Real'!L125*(INDEX('GDP Deflator'!$C$5:$C$89,MATCH('IEPR Gas Prices Nominal'!$B125,'GDP Deflator'!$B$5:$B$89,0))/100)</f>
        <v>6.9820527358976143</v>
      </c>
      <c r="M125" s="269">
        <f>'IEPR Gas Prices Real'!M125*(INDEX('GDP Deflator'!$C$5:$C$89,MATCH('IEPR Gas Prices Nominal'!$B125,'GDP Deflator'!$B$5:$B$89,0))/100)</f>
        <v>1.1538253508431013</v>
      </c>
      <c r="N125" s="270">
        <f>'IEPR Gas Prices Real'!N125*(INDEX('GDP Deflator'!$C$5:$C$89,MATCH('IEPR Gas Prices Nominal'!$B125,'GDP Deflator'!$B$5:$B$89,0))/100)</f>
        <v>8.1358780867407159</v>
      </c>
      <c r="O125" s="1"/>
      <c r="P125" s="274">
        <f t="shared" si="12"/>
        <v>6.7119459574423148</v>
      </c>
      <c r="Q125" s="275">
        <f t="shared" si="16"/>
        <v>8.404175018613385</v>
      </c>
      <c r="R125" s="171"/>
    </row>
    <row r="126" spans="2:18">
      <c r="B126" s="94">
        <f t="shared" si="13"/>
        <v>2032</v>
      </c>
      <c r="C126" s="1">
        <f t="shared" si="14"/>
        <v>1</v>
      </c>
      <c r="D126" s="213">
        <v>48214</v>
      </c>
      <c r="E126" s="1" t="str">
        <f t="shared" si="15"/>
        <v>1-2032</v>
      </c>
      <c r="F126" s="268">
        <f>'IEPR Gas Prices Real'!F126*(INDEX('GDP Deflator'!$C$5:$C$89,MATCH('IEPR Gas Prices Nominal'!$B126,'GDP Deflator'!$B$5:$B$89,0))/100)</f>
        <v>6.5523061838934815</v>
      </c>
      <c r="G126" s="269">
        <f>'IEPR Gas Prices Real'!G126*(INDEX('GDP Deflator'!$C$5:$C$89,MATCH('IEPR Gas Prices Nominal'!$B126,'GDP Deflator'!$B$5:$B$89,0))/100)</f>
        <v>1.5715076764645144</v>
      </c>
      <c r="H126" s="270">
        <f>'IEPR Gas Prices Real'!H126*(INDEX('GDP Deflator'!$C$5:$C$89,MATCH('IEPR Gas Prices Nominal'!$B126,'GDP Deflator'!$B$5:$B$89,0))/100)</f>
        <v>8.1238138603579966</v>
      </c>
      <c r="I126" s="269">
        <f>'IEPR Gas Prices Real'!I126*(INDEX('GDP Deflator'!$C$5:$C$89,MATCH('IEPR Gas Prices Nominal'!$B126,'GDP Deflator'!$B$5:$B$89,0))/100)</f>
        <v>6.8814802756537814</v>
      </c>
      <c r="J126" s="269">
        <f>'IEPR Gas Prices Real'!J126*(INDEX('GDP Deflator'!$C$5:$C$89,MATCH('IEPR Gas Prices Nominal'!$B126,'GDP Deflator'!$B$5:$B$89,0))/100)</f>
        <v>2.5949392210858684</v>
      </c>
      <c r="K126" s="269">
        <f>'IEPR Gas Prices Real'!K126*(INDEX('GDP Deflator'!$C$5:$C$89,MATCH('IEPR Gas Prices Nominal'!$B126,'GDP Deflator'!$B$5:$B$89,0))/100)</f>
        <v>9.4764194967396502</v>
      </c>
      <c r="L126" s="268">
        <f>'IEPR Gas Prices Real'!L126*(INDEX('GDP Deflator'!$C$5:$C$89,MATCH('IEPR Gas Prices Nominal'!$B126,'GDP Deflator'!$B$5:$B$89,0))/100)</f>
        <v>7.1309403883444533</v>
      </c>
      <c r="M126" s="269">
        <f>'IEPR Gas Prices Real'!M126*(INDEX('GDP Deflator'!$C$5:$C$89,MATCH('IEPR Gas Prices Nominal'!$B126,'GDP Deflator'!$B$5:$B$89,0))/100)</f>
        <v>1.2254706534140372</v>
      </c>
      <c r="N126" s="270">
        <f>'IEPR Gas Prices Real'!N126*(INDEX('GDP Deflator'!$C$5:$C$89,MATCH('IEPR Gas Prices Nominal'!$B126,'GDP Deflator'!$B$5:$B$89,0))/100)</f>
        <v>8.3564110417584896</v>
      </c>
      <c r="O126" s="1"/>
      <c r="P126" s="274">
        <f t="shared" si="12"/>
        <v>6.854908949297239</v>
      </c>
      <c r="Q126" s="275">
        <f t="shared" si="16"/>
        <v>8.6522147996187115</v>
      </c>
      <c r="R126" s="171"/>
    </row>
    <row r="127" spans="2:18">
      <c r="B127" s="94">
        <f t="shared" si="13"/>
        <v>2032</v>
      </c>
      <c r="C127" s="1">
        <f t="shared" si="14"/>
        <v>2</v>
      </c>
      <c r="D127" s="213">
        <v>48245</v>
      </c>
      <c r="E127" s="1" t="str">
        <f t="shared" si="15"/>
        <v>2-2032</v>
      </c>
      <c r="F127" s="268">
        <f>'IEPR Gas Prices Real'!F127*(INDEX('GDP Deflator'!$C$5:$C$89,MATCH('IEPR Gas Prices Nominal'!$B127,'GDP Deflator'!$B$5:$B$89,0))/100)</f>
        <v>6.4085238810643359</v>
      </c>
      <c r="G127" s="269">
        <f>'IEPR Gas Prices Real'!G127*(INDEX('GDP Deflator'!$C$5:$C$89,MATCH('IEPR Gas Prices Nominal'!$B127,'GDP Deflator'!$B$5:$B$89,0))/100)</f>
        <v>1.5715076764645144</v>
      </c>
      <c r="H127" s="270">
        <f>'IEPR Gas Prices Real'!H127*(INDEX('GDP Deflator'!$C$5:$C$89,MATCH('IEPR Gas Prices Nominal'!$B127,'GDP Deflator'!$B$5:$B$89,0))/100)</f>
        <v>7.980031557528851</v>
      </c>
      <c r="I127" s="269">
        <f>'IEPR Gas Prices Real'!I127*(INDEX('GDP Deflator'!$C$5:$C$89,MATCH('IEPR Gas Prices Nominal'!$B127,'GDP Deflator'!$B$5:$B$89,0))/100)</f>
        <v>6.7305092677052016</v>
      </c>
      <c r="J127" s="269">
        <f>'IEPR Gas Prices Real'!J127*(INDEX('GDP Deflator'!$C$5:$C$89,MATCH('IEPR Gas Prices Nominal'!$B127,'GDP Deflator'!$B$5:$B$89,0))/100)</f>
        <v>2.5949392210858684</v>
      </c>
      <c r="K127" s="269">
        <f>'IEPR Gas Prices Real'!K127*(INDEX('GDP Deflator'!$C$5:$C$89,MATCH('IEPR Gas Prices Nominal'!$B127,'GDP Deflator'!$B$5:$B$89,0))/100)</f>
        <v>9.3254484887910696</v>
      </c>
      <c r="L127" s="268">
        <f>'IEPR Gas Prices Real'!L127*(INDEX('GDP Deflator'!$C$5:$C$89,MATCH('IEPR Gas Prices Nominal'!$B127,'GDP Deflator'!$B$5:$B$89,0))/100)</f>
        <v>6.9747357635691731</v>
      </c>
      <c r="M127" s="269">
        <f>'IEPR Gas Prices Real'!M127*(INDEX('GDP Deflator'!$C$5:$C$89,MATCH('IEPR Gas Prices Nominal'!$B127,'GDP Deflator'!$B$5:$B$89,0))/100)</f>
        <v>1.2254706534140372</v>
      </c>
      <c r="N127" s="270">
        <f>'IEPR Gas Prices Real'!N127*(INDEX('GDP Deflator'!$C$5:$C$89,MATCH('IEPR Gas Prices Nominal'!$B127,'GDP Deflator'!$B$5:$B$89,0))/100)</f>
        <v>8.2002064169832103</v>
      </c>
      <c r="O127" s="1"/>
      <c r="P127" s="274">
        <f t="shared" si="12"/>
        <v>6.7045896374462375</v>
      </c>
      <c r="Q127" s="275">
        <f t="shared" si="16"/>
        <v>8.50189548776771</v>
      </c>
      <c r="R127" s="171"/>
    </row>
    <row r="128" spans="2:18">
      <c r="B128" s="94">
        <f t="shared" si="13"/>
        <v>2032</v>
      </c>
      <c r="C128" s="1">
        <f t="shared" si="14"/>
        <v>3</v>
      </c>
      <c r="D128" s="213">
        <v>48274</v>
      </c>
      <c r="E128" s="1" t="str">
        <f t="shared" si="15"/>
        <v>3-2032</v>
      </c>
      <c r="F128" s="268">
        <f>'IEPR Gas Prices Real'!F128*(INDEX('GDP Deflator'!$C$5:$C$89,MATCH('IEPR Gas Prices Nominal'!$B128,'GDP Deflator'!$B$5:$B$89,0))/100)</f>
        <v>5.8829289621461403</v>
      </c>
      <c r="G128" s="269">
        <f>'IEPR Gas Prices Real'!G128*(INDEX('GDP Deflator'!$C$5:$C$89,MATCH('IEPR Gas Prices Nominal'!$B128,'GDP Deflator'!$B$5:$B$89,0))/100)</f>
        <v>1.5715076764645144</v>
      </c>
      <c r="H128" s="270">
        <f>'IEPR Gas Prices Real'!H128*(INDEX('GDP Deflator'!$C$5:$C$89,MATCH('IEPR Gas Prices Nominal'!$B128,'GDP Deflator'!$B$5:$B$89,0))/100)</f>
        <v>7.4544366386106553</v>
      </c>
      <c r="I128" s="269">
        <f>'IEPR Gas Prices Real'!I128*(INDEX('GDP Deflator'!$C$5:$C$89,MATCH('IEPR Gas Prices Nominal'!$B128,'GDP Deflator'!$B$5:$B$89,0))/100)</f>
        <v>6.178538506158751</v>
      </c>
      <c r="J128" s="269">
        <f>'IEPR Gas Prices Real'!J128*(INDEX('GDP Deflator'!$C$5:$C$89,MATCH('IEPR Gas Prices Nominal'!$B128,'GDP Deflator'!$B$5:$B$89,0))/100)</f>
        <v>2.5949392210858684</v>
      </c>
      <c r="K128" s="269">
        <f>'IEPR Gas Prices Real'!K128*(INDEX('GDP Deflator'!$C$5:$C$89,MATCH('IEPR Gas Prices Nominal'!$B128,'GDP Deflator'!$B$5:$B$89,0))/100)</f>
        <v>8.7734777272446198</v>
      </c>
      <c r="L128" s="268">
        <f>'IEPR Gas Prices Real'!L128*(INDEX('GDP Deflator'!$C$5:$C$89,MATCH('IEPR Gas Prices Nominal'!$B128,'GDP Deflator'!$B$5:$B$89,0))/100)</f>
        <v>6.4029555549604646</v>
      </c>
      <c r="M128" s="269">
        <f>'IEPR Gas Prices Real'!M128*(INDEX('GDP Deflator'!$C$5:$C$89,MATCH('IEPR Gas Prices Nominal'!$B128,'GDP Deflator'!$B$5:$B$89,0))/100)</f>
        <v>1.2254706534140372</v>
      </c>
      <c r="N128" s="270">
        <f>'IEPR Gas Prices Real'!N128*(INDEX('GDP Deflator'!$C$5:$C$89,MATCH('IEPR Gas Prices Nominal'!$B128,'GDP Deflator'!$B$5:$B$89,0))/100)</f>
        <v>7.6284262083745009</v>
      </c>
      <c r="O128" s="1"/>
      <c r="P128" s="274">
        <f t="shared" si="12"/>
        <v>6.154807674421785</v>
      </c>
      <c r="Q128" s="275">
        <f t="shared" si="16"/>
        <v>7.9521135247432584</v>
      </c>
      <c r="R128" s="171"/>
    </row>
    <row r="129" spans="2:18">
      <c r="B129" s="94">
        <f t="shared" si="13"/>
        <v>2032</v>
      </c>
      <c r="C129" s="1">
        <f t="shared" si="14"/>
        <v>4</v>
      </c>
      <c r="D129" s="213">
        <v>48305</v>
      </c>
      <c r="E129" s="1" t="str">
        <f t="shared" si="15"/>
        <v>4-2032</v>
      </c>
      <c r="F129" s="268">
        <f>'IEPR Gas Prices Real'!F129*(INDEX('GDP Deflator'!$C$5:$C$89,MATCH('IEPR Gas Prices Nominal'!$B129,'GDP Deflator'!$B$5:$B$89,0))/100)</f>
        <v>5.7827171131424562</v>
      </c>
      <c r="G129" s="269">
        <f>'IEPR Gas Prices Real'!G129*(INDEX('GDP Deflator'!$C$5:$C$89,MATCH('IEPR Gas Prices Nominal'!$B129,'GDP Deflator'!$B$5:$B$89,0))/100)</f>
        <v>1.5715076764645144</v>
      </c>
      <c r="H129" s="270">
        <f>'IEPR Gas Prices Real'!H129*(INDEX('GDP Deflator'!$C$5:$C$89,MATCH('IEPR Gas Prices Nominal'!$B129,'GDP Deflator'!$B$5:$B$89,0))/100)</f>
        <v>7.3542247896069712</v>
      </c>
      <c r="I129" s="269">
        <f>'IEPR Gas Prices Real'!I129*(INDEX('GDP Deflator'!$C$5:$C$89,MATCH('IEPR Gas Prices Nominal'!$B129,'GDP Deflator'!$B$5:$B$89,0))/100)</f>
        <v>6.0733223847200533</v>
      </c>
      <c r="J129" s="269">
        <f>'IEPR Gas Prices Real'!J129*(INDEX('GDP Deflator'!$C$5:$C$89,MATCH('IEPR Gas Prices Nominal'!$B129,'GDP Deflator'!$B$5:$B$89,0))/100)</f>
        <v>2.5949392210858684</v>
      </c>
      <c r="K129" s="269">
        <f>'IEPR Gas Prices Real'!K129*(INDEX('GDP Deflator'!$C$5:$C$89,MATCH('IEPR Gas Prices Nominal'!$B129,'GDP Deflator'!$B$5:$B$89,0))/100)</f>
        <v>8.6682616058059221</v>
      </c>
      <c r="L129" s="268">
        <f>'IEPR Gas Prices Real'!L129*(INDEX('GDP Deflator'!$C$5:$C$89,MATCH('IEPR Gas Prices Nominal'!$B129,'GDP Deflator'!$B$5:$B$89,0))/100)</f>
        <v>6.2941336839381954</v>
      </c>
      <c r="M129" s="269">
        <f>'IEPR Gas Prices Real'!M129*(INDEX('GDP Deflator'!$C$5:$C$89,MATCH('IEPR Gas Prices Nominal'!$B129,'GDP Deflator'!$B$5:$B$89,0))/100)</f>
        <v>1.2254706534140372</v>
      </c>
      <c r="N129" s="270">
        <f>'IEPR Gas Prices Real'!N129*(INDEX('GDP Deflator'!$C$5:$C$89,MATCH('IEPR Gas Prices Nominal'!$B129,'GDP Deflator'!$B$5:$B$89,0))/100)</f>
        <v>7.5196043373522317</v>
      </c>
      <c r="O129" s="1"/>
      <c r="P129" s="274">
        <f t="shared" si="12"/>
        <v>6.0500577272669007</v>
      </c>
      <c r="Q129" s="275">
        <f t="shared" si="16"/>
        <v>7.847363577588375</v>
      </c>
      <c r="R129" s="171"/>
    </row>
    <row r="130" spans="2:18">
      <c r="B130" s="94">
        <f t="shared" si="13"/>
        <v>2032</v>
      </c>
      <c r="C130" s="1">
        <f t="shared" si="14"/>
        <v>5</v>
      </c>
      <c r="D130" s="213">
        <v>48335</v>
      </c>
      <c r="E130" s="1" t="str">
        <f t="shared" si="15"/>
        <v>5-2032</v>
      </c>
      <c r="F130" s="268">
        <f>'IEPR Gas Prices Real'!F130*(INDEX('GDP Deflator'!$C$5:$C$89,MATCH('IEPR Gas Prices Nominal'!$B130,'GDP Deflator'!$B$5:$B$89,0))/100)</f>
        <v>5.9838576950159421</v>
      </c>
      <c r="G130" s="269">
        <f>'IEPR Gas Prices Real'!G130*(INDEX('GDP Deflator'!$C$5:$C$89,MATCH('IEPR Gas Prices Nominal'!$B130,'GDP Deflator'!$B$5:$B$89,0))/100)</f>
        <v>1.5715076764645144</v>
      </c>
      <c r="H130" s="270">
        <f>'IEPR Gas Prices Real'!H130*(INDEX('GDP Deflator'!$C$5:$C$89,MATCH('IEPR Gas Prices Nominal'!$B130,'GDP Deflator'!$B$5:$B$89,0))/100)</f>
        <v>7.5553653714804572</v>
      </c>
      <c r="I130" s="269">
        <f>'IEPR Gas Prices Real'!I130*(INDEX('GDP Deflator'!$C$5:$C$89,MATCH('IEPR Gas Prices Nominal'!$B130,'GDP Deflator'!$B$5:$B$89,0))/100)</f>
        <v>6.2846034400191986</v>
      </c>
      <c r="J130" s="269">
        <f>'IEPR Gas Prices Real'!J130*(INDEX('GDP Deflator'!$C$5:$C$89,MATCH('IEPR Gas Prices Nominal'!$B130,'GDP Deflator'!$B$5:$B$89,0))/100)</f>
        <v>2.5949392210858684</v>
      </c>
      <c r="K130" s="269">
        <f>'IEPR Gas Prices Real'!K130*(INDEX('GDP Deflator'!$C$5:$C$89,MATCH('IEPR Gas Prices Nominal'!$B130,'GDP Deflator'!$B$5:$B$89,0))/100)</f>
        <v>8.8795426611050665</v>
      </c>
      <c r="L130" s="268">
        <f>'IEPR Gas Prices Real'!L130*(INDEX('GDP Deflator'!$C$5:$C$89,MATCH('IEPR Gas Prices Nominal'!$B130,'GDP Deflator'!$B$5:$B$89,0))/100)</f>
        <v>6.5133198564071995</v>
      </c>
      <c r="M130" s="269">
        <f>'IEPR Gas Prices Real'!M130*(INDEX('GDP Deflator'!$C$5:$C$89,MATCH('IEPR Gas Prices Nominal'!$B130,'GDP Deflator'!$B$5:$B$89,0))/100)</f>
        <v>1.2254706534140372</v>
      </c>
      <c r="N130" s="270">
        <f>'IEPR Gas Prices Real'!N130*(INDEX('GDP Deflator'!$C$5:$C$89,MATCH('IEPR Gas Prices Nominal'!$B130,'GDP Deflator'!$B$5:$B$89,0))/100)</f>
        <v>7.7387905098212366</v>
      </c>
      <c r="O130" s="1"/>
      <c r="P130" s="274">
        <f t="shared" si="12"/>
        <v>6.2605936638141131</v>
      </c>
      <c r="Q130" s="275">
        <f t="shared" si="16"/>
        <v>8.0578995141355865</v>
      </c>
      <c r="R130" s="171"/>
    </row>
    <row r="131" spans="2:18">
      <c r="B131" s="94">
        <f t="shared" si="13"/>
        <v>2032</v>
      </c>
      <c r="C131" s="1">
        <f t="shared" si="14"/>
        <v>6</v>
      </c>
      <c r="D131" s="213">
        <v>48366</v>
      </c>
      <c r="E131" s="1" t="str">
        <f t="shared" si="15"/>
        <v>6-2032</v>
      </c>
      <c r="F131" s="268">
        <f>'IEPR Gas Prices Real'!F131*(INDEX('GDP Deflator'!$C$5:$C$89,MATCH('IEPR Gas Prices Nominal'!$B131,'GDP Deflator'!$B$5:$B$89,0))/100)</f>
        <v>6.1384355597487383</v>
      </c>
      <c r="G131" s="269">
        <f>'IEPR Gas Prices Real'!G131*(INDEX('GDP Deflator'!$C$5:$C$89,MATCH('IEPR Gas Prices Nominal'!$B131,'GDP Deflator'!$B$5:$B$89,0))/100)</f>
        <v>1.5715076764645144</v>
      </c>
      <c r="H131" s="270">
        <f>'IEPR Gas Prices Real'!H131*(INDEX('GDP Deflator'!$C$5:$C$89,MATCH('IEPR Gas Prices Nominal'!$B131,'GDP Deflator'!$B$5:$B$89,0))/100)</f>
        <v>7.7099432362132525</v>
      </c>
      <c r="I131" s="269">
        <f>'IEPR Gas Prices Real'!I131*(INDEX('GDP Deflator'!$C$5:$C$89,MATCH('IEPR Gas Prices Nominal'!$B131,'GDP Deflator'!$B$5:$B$89,0))/100)</f>
        <v>6.4469834850591896</v>
      </c>
      <c r="J131" s="269">
        <f>'IEPR Gas Prices Real'!J131*(INDEX('GDP Deflator'!$C$5:$C$89,MATCH('IEPR Gas Prices Nominal'!$B131,'GDP Deflator'!$B$5:$B$89,0))/100)</f>
        <v>2.5949392210858684</v>
      </c>
      <c r="K131" s="269">
        <f>'IEPR Gas Prices Real'!K131*(INDEX('GDP Deflator'!$C$5:$C$89,MATCH('IEPR Gas Prices Nominal'!$B131,'GDP Deflator'!$B$5:$B$89,0))/100)</f>
        <v>9.0419227061450567</v>
      </c>
      <c r="L131" s="268">
        <f>'IEPR Gas Prices Real'!L131*(INDEX('GDP Deflator'!$C$5:$C$89,MATCH('IEPR Gas Prices Nominal'!$B131,'GDP Deflator'!$B$5:$B$89,0))/100)</f>
        <v>6.6818386686581182</v>
      </c>
      <c r="M131" s="269">
        <f>'IEPR Gas Prices Real'!M131*(INDEX('GDP Deflator'!$C$5:$C$89,MATCH('IEPR Gas Prices Nominal'!$B131,'GDP Deflator'!$B$5:$B$89,0))/100)</f>
        <v>1.2254706534140372</v>
      </c>
      <c r="N131" s="270">
        <f>'IEPR Gas Prices Real'!N131*(INDEX('GDP Deflator'!$C$5:$C$89,MATCH('IEPR Gas Prices Nominal'!$B131,'GDP Deflator'!$B$5:$B$89,0))/100)</f>
        <v>7.9073093220721553</v>
      </c>
      <c r="O131" s="1"/>
      <c r="P131" s="274">
        <f t="shared" si="12"/>
        <v>6.4224192378220151</v>
      </c>
      <c r="Q131" s="275">
        <f t="shared" si="16"/>
        <v>8.2197250881434876</v>
      </c>
      <c r="R131" s="171"/>
    </row>
    <row r="132" spans="2:18">
      <c r="B132" s="94">
        <f t="shared" si="13"/>
        <v>2032</v>
      </c>
      <c r="C132" s="1">
        <f t="shared" si="14"/>
        <v>7</v>
      </c>
      <c r="D132" s="213">
        <v>48396</v>
      </c>
      <c r="E132" s="1" t="str">
        <f t="shared" si="15"/>
        <v>7-2032</v>
      </c>
      <c r="F132" s="268">
        <f>'IEPR Gas Prices Real'!F132*(INDEX('GDP Deflator'!$C$5:$C$89,MATCH('IEPR Gas Prices Nominal'!$B132,'GDP Deflator'!$B$5:$B$89,0))/100)</f>
        <v>6.1870166163014844</v>
      </c>
      <c r="G132" s="269">
        <f>'IEPR Gas Prices Real'!G132*(INDEX('GDP Deflator'!$C$5:$C$89,MATCH('IEPR Gas Prices Nominal'!$B132,'GDP Deflator'!$B$5:$B$89,0))/100)</f>
        <v>1.5715076764645144</v>
      </c>
      <c r="H132" s="270">
        <f>'IEPR Gas Prices Real'!H132*(INDEX('GDP Deflator'!$C$5:$C$89,MATCH('IEPR Gas Prices Nominal'!$B132,'GDP Deflator'!$B$5:$B$89,0))/100)</f>
        <v>7.7585242927659994</v>
      </c>
      <c r="I132" s="269">
        <f>'IEPR Gas Prices Real'!I132*(INDEX('GDP Deflator'!$C$5:$C$89,MATCH('IEPR Gas Prices Nominal'!$B132,'GDP Deflator'!$B$5:$B$89,0))/100)</f>
        <v>6.4980399036105601</v>
      </c>
      <c r="J132" s="269">
        <f>'IEPR Gas Prices Real'!J132*(INDEX('GDP Deflator'!$C$5:$C$89,MATCH('IEPR Gas Prices Nominal'!$B132,'GDP Deflator'!$B$5:$B$89,0))/100)</f>
        <v>2.5949392210858684</v>
      </c>
      <c r="K132" s="269">
        <f>'IEPR Gas Prices Real'!K132*(INDEX('GDP Deflator'!$C$5:$C$89,MATCH('IEPR Gas Prices Nominal'!$B132,'GDP Deflator'!$B$5:$B$89,0))/100)</f>
        <v>9.0929791246964289</v>
      </c>
      <c r="L132" s="268">
        <f>'IEPR Gas Prices Real'!L132*(INDEX('GDP Deflator'!$C$5:$C$89,MATCH('IEPR Gas Prices Nominal'!$B132,'GDP Deflator'!$B$5:$B$89,0))/100)</f>
        <v>6.7349860955065806</v>
      </c>
      <c r="M132" s="269">
        <f>'IEPR Gas Prices Real'!M132*(INDEX('GDP Deflator'!$C$5:$C$89,MATCH('IEPR Gas Prices Nominal'!$B132,'GDP Deflator'!$B$5:$B$89,0))/100)</f>
        <v>1.2254706534140372</v>
      </c>
      <c r="N132" s="270">
        <f>'IEPR Gas Prices Real'!N132*(INDEX('GDP Deflator'!$C$5:$C$89,MATCH('IEPR Gas Prices Nominal'!$B132,'GDP Deflator'!$B$5:$B$89,0))/100)</f>
        <v>7.9604567489206177</v>
      </c>
      <c r="O132" s="1"/>
      <c r="P132" s="274">
        <f t="shared" si="12"/>
        <v>6.4733475384728756</v>
      </c>
      <c r="Q132" s="275">
        <f t="shared" si="16"/>
        <v>8.270653388794349</v>
      </c>
      <c r="R132" s="171"/>
    </row>
    <row r="133" spans="2:18">
      <c r="B133" s="94">
        <f t="shared" si="13"/>
        <v>2032</v>
      </c>
      <c r="C133" s="1">
        <f t="shared" si="14"/>
        <v>8</v>
      </c>
      <c r="D133" s="213">
        <v>48427</v>
      </c>
      <c r="E133" s="1" t="str">
        <f t="shared" si="15"/>
        <v>8-2032</v>
      </c>
      <c r="F133" s="268">
        <f>'IEPR Gas Prices Real'!F133*(INDEX('GDP Deflator'!$C$5:$C$89,MATCH('IEPR Gas Prices Nominal'!$B133,'GDP Deflator'!$B$5:$B$89,0))/100)</f>
        <v>6.1391107174705004</v>
      </c>
      <c r="G133" s="269">
        <f>'IEPR Gas Prices Real'!G133*(INDEX('GDP Deflator'!$C$5:$C$89,MATCH('IEPR Gas Prices Nominal'!$B133,'GDP Deflator'!$B$5:$B$89,0))/100)</f>
        <v>1.5715076764645144</v>
      </c>
      <c r="H133" s="270">
        <f>'IEPR Gas Prices Real'!H133*(INDEX('GDP Deflator'!$C$5:$C$89,MATCH('IEPR Gas Prices Nominal'!$B133,'GDP Deflator'!$B$5:$B$89,0))/100)</f>
        <v>7.7106183939350146</v>
      </c>
      <c r="I133" s="269">
        <f>'IEPR Gas Prices Real'!I133*(INDEX('GDP Deflator'!$C$5:$C$89,MATCH('IEPR Gas Prices Nominal'!$B133,'GDP Deflator'!$B$5:$B$89,0))/100)</f>
        <v>6.4477589446193182</v>
      </c>
      <c r="J133" s="269">
        <f>'IEPR Gas Prices Real'!J133*(INDEX('GDP Deflator'!$C$5:$C$89,MATCH('IEPR Gas Prices Nominal'!$B133,'GDP Deflator'!$B$5:$B$89,0))/100)</f>
        <v>2.5949392210858684</v>
      </c>
      <c r="K133" s="269">
        <f>'IEPR Gas Prices Real'!K133*(INDEX('GDP Deflator'!$C$5:$C$89,MATCH('IEPR Gas Prices Nominal'!$B133,'GDP Deflator'!$B$5:$B$89,0))/100)</f>
        <v>9.0426981657051861</v>
      </c>
      <c r="L133" s="268">
        <f>'IEPR Gas Prices Real'!L133*(INDEX('GDP Deflator'!$C$5:$C$89,MATCH('IEPR Gas Prices Nominal'!$B133,'GDP Deflator'!$B$5:$B$89,0))/100)</f>
        <v>6.6831010058288642</v>
      </c>
      <c r="M133" s="269">
        <f>'IEPR Gas Prices Real'!M133*(INDEX('GDP Deflator'!$C$5:$C$89,MATCH('IEPR Gas Prices Nominal'!$B133,'GDP Deflator'!$B$5:$B$89,0))/100)</f>
        <v>1.2254706534140372</v>
      </c>
      <c r="N133" s="270">
        <f>'IEPR Gas Prices Real'!N133*(INDEX('GDP Deflator'!$C$5:$C$89,MATCH('IEPR Gas Prices Nominal'!$B133,'GDP Deflator'!$B$5:$B$89,0))/100)</f>
        <v>7.9085716592429005</v>
      </c>
      <c r="O133" s="1"/>
      <c r="P133" s="274">
        <f t="shared" si="12"/>
        <v>6.4233235559728934</v>
      </c>
      <c r="Q133" s="275">
        <f t="shared" si="16"/>
        <v>8.2206294062943659</v>
      </c>
      <c r="R133" s="171"/>
    </row>
    <row r="134" spans="2:18">
      <c r="B134" s="94">
        <f t="shared" si="13"/>
        <v>2032</v>
      </c>
      <c r="C134" s="1">
        <f t="shared" si="14"/>
        <v>9</v>
      </c>
      <c r="D134" s="213">
        <v>48458</v>
      </c>
      <c r="E134" s="1" t="str">
        <f t="shared" si="15"/>
        <v>9-2032</v>
      </c>
      <c r="F134" s="268">
        <f>'IEPR Gas Prices Real'!F134*(INDEX('GDP Deflator'!$C$5:$C$89,MATCH('IEPR Gas Prices Nominal'!$B134,'GDP Deflator'!$B$5:$B$89,0))/100)</f>
        <v>6.2253442279673861</v>
      </c>
      <c r="G134" s="269">
        <f>'IEPR Gas Prices Real'!G134*(INDEX('GDP Deflator'!$C$5:$C$89,MATCH('IEPR Gas Prices Nominal'!$B134,'GDP Deflator'!$B$5:$B$89,0))/100)</f>
        <v>1.5715076764645144</v>
      </c>
      <c r="H134" s="270">
        <f>'IEPR Gas Prices Real'!H134*(INDEX('GDP Deflator'!$C$5:$C$89,MATCH('IEPR Gas Prices Nominal'!$B134,'GDP Deflator'!$B$5:$B$89,0))/100)</f>
        <v>7.7968519044319002</v>
      </c>
      <c r="I134" s="269">
        <f>'IEPR Gas Prices Real'!I134*(INDEX('GDP Deflator'!$C$5:$C$89,MATCH('IEPR Gas Prices Nominal'!$B134,'GDP Deflator'!$B$5:$B$89,0))/100)</f>
        <v>6.5383615619543285</v>
      </c>
      <c r="J134" s="269">
        <f>'IEPR Gas Prices Real'!J134*(INDEX('GDP Deflator'!$C$5:$C$89,MATCH('IEPR Gas Prices Nominal'!$B134,'GDP Deflator'!$B$5:$B$89,0))/100)</f>
        <v>2.5949392210858684</v>
      </c>
      <c r="K134" s="269">
        <f>'IEPR Gas Prices Real'!K134*(INDEX('GDP Deflator'!$C$5:$C$89,MATCH('IEPR Gas Prices Nominal'!$B134,'GDP Deflator'!$B$5:$B$89,0))/100)</f>
        <v>9.1333007830401964</v>
      </c>
      <c r="L134" s="268">
        <f>'IEPR Gas Prices Real'!L134*(INDEX('GDP Deflator'!$C$5:$C$89,MATCH('IEPR Gas Prices Nominal'!$B134,'GDP Deflator'!$B$5:$B$89,0))/100)</f>
        <v>6.7772431781167279</v>
      </c>
      <c r="M134" s="269">
        <f>'IEPR Gas Prices Real'!M134*(INDEX('GDP Deflator'!$C$5:$C$89,MATCH('IEPR Gas Prices Nominal'!$B134,'GDP Deflator'!$B$5:$B$89,0))/100)</f>
        <v>1.2254706534140372</v>
      </c>
      <c r="N134" s="270">
        <f>'IEPR Gas Prices Real'!N134*(INDEX('GDP Deflator'!$C$5:$C$89,MATCH('IEPR Gas Prices Nominal'!$B134,'GDP Deflator'!$B$5:$B$89,0))/100)</f>
        <v>8.0027138315307642</v>
      </c>
      <c r="O134" s="1"/>
      <c r="P134" s="274">
        <f t="shared" ref="P134:P197" si="17">AVERAGE(F134,I134,L134)</f>
        <v>6.5136496560128139</v>
      </c>
      <c r="Q134" s="275">
        <f t="shared" si="16"/>
        <v>8.3109555063342864</v>
      </c>
      <c r="R134" s="171"/>
    </row>
    <row r="135" spans="2:18">
      <c r="B135" s="94">
        <f t="shared" ref="B135:B198" si="18">YEAR(D135)</f>
        <v>2032</v>
      </c>
      <c r="C135" s="1">
        <f t="shared" ref="C135:C198" si="19">MONTH(D135)</f>
        <v>10</v>
      </c>
      <c r="D135" s="213">
        <v>48488</v>
      </c>
      <c r="E135" s="1" t="str">
        <f t="shared" ref="E135:E198" si="20">C135&amp;"-"&amp;B135</f>
        <v>10-2032</v>
      </c>
      <c r="F135" s="268">
        <f>'IEPR Gas Prices Real'!F135*(INDEX('GDP Deflator'!$C$5:$C$89,MATCH('IEPR Gas Prices Nominal'!$B135,'GDP Deflator'!$B$5:$B$89,0))/100)</f>
        <v>6.1893528681932919</v>
      </c>
      <c r="G135" s="269">
        <f>'IEPR Gas Prices Real'!G135*(INDEX('GDP Deflator'!$C$5:$C$89,MATCH('IEPR Gas Prices Nominal'!$B135,'GDP Deflator'!$B$5:$B$89,0))/100)</f>
        <v>1.5715076764645144</v>
      </c>
      <c r="H135" s="270">
        <f>'IEPR Gas Prices Real'!H135*(INDEX('GDP Deflator'!$C$5:$C$89,MATCH('IEPR Gas Prices Nominal'!$B135,'GDP Deflator'!$B$5:$B$89,0))/100)</f>
        <v>7.7608605446578069</v>
      </c>
      <c r="I135" s="269">
        <f>'IEPR Gas Prices Real'!I135*(INDEX('GDP Deflator'!$C$5:$C$89,MATCH('IEPR Gas Prices Nominal'!$B135,'GDP Deflator'!$B$5:$B$89,0))/100)</f>
        <v>6.50059398027771</v>
      </c>
      <c r="J135" s="269">
        <f>'IEPR Gas Prices Real'!J135*(INDEX('GDP Deflator'!$C$5:$C$89,MATCH('IEPR Gas Prices Nominal'!$B135,'GDP Deflator'!$B$5:$B$89,0))/100)</f>
        <v>2.5949392210858684</v>
      </c>
      <c r="K135" s="269">
        <f>'IEPR Gas Prices Real'!K135*(INDEX('GDP Deflator'!$C$5:$C$89,MATCH('IEPR Gas Prices Nominal'!$B135,'GDP Deflator'!$B$5:$B$89,0))/100)</f>
        <v>9.0955332013635779</v>
      </c>
      <c r="L135" s="268">
        <f>'IEPR Gas Prices Real'!L135*(INDEX('GDP Deflator'!$C$5:$C$89,MATCH('IEPR Gas Prices Nominal'!$B135,'GDP Deflator'!$B$5:$B$89,0))/100)</f>
        <v>6.7383270007316067</v>
      </c>
      <c r="M135" s="269">
        <f>'IEPR Gas Prices Real'!M135*(INDEX('GDP Deflator'!$C$5:$C$89,MATCH('IEPR Gas Prices Nominal'!$B135,'GDP Deflator'!$B$5:$B$89,0))/100)</f>
        <v>1.2254706534140372</v>
      </c>
      <c r="N135" s="270">
        <f>'IEPR Gas Prices Real'!N135*(INDEX('GDP Deflator'!$C$5:$C$89,MATCH('IEPR Gas Prices Nominal'!$B135,'GDP Deflator'!$B$5:$B$89,0))/100)</f>
        <v>7.9637976541456439</v>
      </c>
      <c r="O135" s="1"/>
      <c r="P135" s="274">
        <f t="shared" si="17"/>
        <v>6.4760912830675368</v>
      </c>
      <c r="Q135" s="275">
        <f t="shared" ref="Q135:Q198" si="21">AVERAGE(H135,K135,N135)</f>
        <v>8.2733971333890093</v>
      </c>
      <c r="R135" s="171"/>
    </row>
    <row r="136" spans="2:18">
      <c r="B136" s="94">
        <f t="shared" si="18"/>
        <v>2032</v>
      </c>
      <c r="C136" s="1">
        <f t="shared" si="19"/>
        <v>11</v>
      </c>
      <c r="D136" s="213">
        <v>48519</v>
      </c>
      <c r="E136" s="1" t="str">
        <f t="shared" si="20"/>
        <v>11-2032</v>
      </c>
      <c r="F136" s="268">
        <f>'IEPR Gas Prices Real'!F136*(INDEX('GDP Deflator'!$C$5:$C$89,MATCH('IEPR Gas Prices Nominal'!$B136,'GDP Deflator'!$B$5:$B$89,0))/100)</f>
        <v>6.4951494404591603</v>
      </c>
      <c r="G136" s="269">
        <f>'IEPR Gas Prices Real'!G136*(INDEX('GDP Deflator'!$C$5:$C$89,MATCH('IEPR Gas Prices Nominal'!$B136,'GDP Deflator'!$B$5:$B$89,0))/100)</f>
        <v>1.5715076764645144</v>
      </c>
      <c r="H136" s="270">
        <f>'IEPR Gas Prices Real'!H136*(INDEX('GDP Deflator'!$C$5:$C$89,MATCH('IEPR Gas Prices Nominal'!$B136,'GDP Deflator'!$B$5:$B$89,0))/100)</f>
        <v>8.0666571169236754</v>
      </c>
      <c r="I136" s="269">
        <f>'IEPR Gas Prices Real'!I136*(INDEX('GDP Deflator'!$C$5:$C$89,MATCH('IEPR Gas Prices Nominal'!$B136,'GDP Deflator'!$B$5:$B$89,0))/100)</f>
        <v>6.8218031246263093</v>
      </c>
      <c r="J136" s="269">
        <f>'IEPR Gas Prices Real'!J136*(INDEX('GDP Deflator'!$C$5:$C$89,MATCH('IEPR Gas Prices Nominal'!$B136,'GDP Deflator'!$B$5:$B$89,0))/100)</f>
        <v>2.5949392210858684</v>
      </c>
      <c r="K136" s="269">
        <f>'IEPR Gas Prices Real'!K136*(INDEX('GDP Deflator'!$C$5:$C$89,MATCH('IEPR Gas Prices Nominal'!$B136,'GDP Deflator'!$B$5:$B$89,0))/100)</f>
        <v>9.4167423457121764</v>
      </c>
      <c r="L136" s="268">
        <f>'IEPR Gas Prices Real'!L136*(INDEX('GDP Deflator'!$C$5:$C$89,MATCH('IEPR Gas Prices Nominal'!$B136,'GDP Deflator'!$B$5:$B$89,0))/100)</f>
        <v>7.0715257864923862</v>
      </c>
      <c r="M136" s="269">
        <f>'IEPR Gas Prices Real'!M136*(INDEX('GDP Deflator'!$C$5:$C$89,MATCH('IEPR Gas Prices Nominal'!$B136,'GDP Deflator'!$B$5:$B$89,0))/100)</f>
        <v>1.2254706534140372</v>
      </c>
      <c r="N136" s="270">
        <f>'IEPR Gas Prices Real'!N136*(INDEX('GDP Deflator'!$C$5:$C$89,MATCH('IEPR Gas Prices Nominal'!$B136,'GDP Deflator'!$B$5:$B$89,0))/100)</f>
        <v>8.2969964399064224</v>
      </c>
      <c r="O136" s="1"/>
      <c r="P136" s="274">
        <f t="shared" si="17"/>
        <v>6.7961594505259519</v>
      </c>
      <c r="Q136" s="275">
        <f t="shared" si="21"/>
        <v>8.5934653008474253</v>
      </c>
      <c r="R136" s="171"/>
    </row>
    <row r="137" spans="2:18">
      <c r="B137" s="94">
        <f t="shared" si="18"/>
        <v>2032</v>
      </c>
      <c r="C137" s="1">
        <f t="shared" si="19"/>
        <v>12</v>
      </c>
      <c r="D137" s="213">
        <v>48549</v>
      </c>
      <c r="E137" s="1" t="str">
        <f t="shared" si="20"/>
        <v>12-2032</v>
      </c>
      <c r="F137" s="268">
        <f>'IEPR Gas Prices Real'!F137*(INDEX('GDP Deflator'!$C$5:$C$89,MATCH('IEPR Gas Prices Nominal'!$B137,'GDP Deflator'!$B$5:$B$89,0))/100)</f>
        <v>6.5472683972496624</v>
      </c>
      <c r="G137" s="269">
        <f>'IEPR Gas Prices Real'!G137*(INDEX('GDP Deflator'!$C$5:$C$89,MATCH('IEPR Gas Prices Nominal'!$B137,'GDP Deflator'!$B$5:$B$89,0))/100)</f>
        <v>1.5715076764645144</v>
      </c>
      <c r="H137" s="270">
        <f>'IEPR Gas Prices Real'!H137*(INDEX('GDP Deflator'!$C$5:$C$89,MATCH('IEPR Gas Prices Nominal'!$B137,'GDP Deflator'!$B$5:$B$89,0))/100)</f>
        <v>8.1187760737141783</v>
      </c>
      <c r="I137" s="269">
        <f>'IEPR Gas Prices Real'!I137*(INDEX('GDP Deflator'!$C$5:$C$89,MATCH('IEPR Gas Prices Nominal'!$B137,'GDP Deflator'!$B$5:$B$89,0))/100)</f>
        <v>6.8765786530751321</v>
      </c>
      <c r="J137" s="269">
        <f>'IEPR Gas Prices Real'!J137*(INDEX('GDP Deflator'!$C$5:$C$89,MATCH('IEPR Gas Prices Nominal'!$B137,'GDP Deflator'!$B$5:$B$89,0))/100)</f>
        <v>2.5949392210858684</v>
      </c>
      <c r="K137" s="269">
        <f>'IEPR Gas Prices Real'!K137*(INDEX('GDP Deflator'!$C$5:$C$89,MATCH('IEPR Gas Prices Nominal'!$B137,'GDP Deflator'!$B$5:$B$89,0))/100)</f>
        <v>9.471517874161</v>
      </c>
      <c r="L137" s="268">
        <f>'IEPR Gas Prices Real'!L137*(INDEX('GDP Deflator'!$C$5:$C$89,MATCH('IEPR Gas Prices Nominal'!$B137,'GDP Deflator'!$B$5:$B$89,0))/100)</f>
        <v>7.1285511458174522</v>
      </c>
      <c r="M137" s="269">
        <f>'IEPR Gas Prices Real'!M137*(INDEX('GDP Deflator'!$C$5:$C$89,MATCH('IEPR Gas Prices Nominal'!$B137,'GDP Deflator'!$B$5:$B$89,0))/100)</f>
        <v>1.2254706534140372</v>
      </c>
      <c r="N137" s="270">
        <f>'IEPR Gas Prices Real'!N137*(INDEX('GDP Deflator'!$C$5:$C$89,MATCH('IEPR Gas Prices Nominal'!$B137,'GDP Deflator'!$B$5:$B$89,0))/100)</f>
        <v>8.3540217992314894</v>
      </c>
      <c r="O137" s="1"/>
      <c r="P137" s="274">
        <f t="shared" si="17"/>
        <v>6.8507993987140834</v>
      </c>
      <c r="Q137" s="275">
        <f t="shared" si="21"/>
        <v>8.6481052490355559</v>
      </c>
      <c r="R137" s="171"/>
    </row>
    <row r="138" spans="2:18">
      <c r="B138" s="94">
        <f t="shared" si="18"/>
        <v>2033</v>
      </c>
      <c r="C138" s="1">
        <f t="shared" si="19"/>
        <v>1</v>
      </c>
      <c r="D138" s="213">
        <v>48580</v>
      </c>
      <c r="E138" s="1" t="str">
        <f t="shared" si="20"/>
        <v>1-2033</v>
      </c>
      <c r="F138" s="268">
        <f>'IEPR Gas Prices Real'!F138*(INDEX('GDP Deflator'!$C$5:$C$89,MATCH('IEPR Gas Prices Nominal'!$B138,'GDP Deflator'!$B$5:$B$89,0))/100)</f>
        <v>6.6880244618991229</v>
      </c>
      <c r="G138" s="269">
        <f>'IEPR Gas Prices Real'!G138*(INDEX('GDP Deflator'!$C$5:$C$89,MATCH('IEPR Gas Prices Nominal'!$B138,'GDP Deflator'!$B$5:$B$89,0))/100)</f>
        <v>1.6695014718248697</v>
      </c>
      <c r="H138" s="270">
        <f>'IEPR Gas Prices Real'!H138*(INDEX('GDP Deflator'!$C$5:$C$89,MATCH('IEPR Gas Prices Nominal'!$B138,'GDP Deflator'!$B$5:$B$89,0))/100)</f>
        <v>8.3575259337239931</v>
      </c>
      <c r="I138" s="269">
        <f>'IEPR Gas Prices Real'!I138*(INDEX('GDP Deflator'!$C$5:$C$89,MATCH('IEPR Gas Prices Nominal'!$B138,'GDP Deflator'!$B$5:$B$89,0))/100)</f>
        <v>7.024329215698554</v>
      </c>
      <c r="J138" s="269">
        <f>'IEPR Gas Prices Real'!J138*(INDEX('GDP Deflator'!$C$5:$C$89,MATCH('IEPR Gas Prices Nominal'!$B138,'GDP Deflator'!$B$5:$B$89,0))/100)</f>
        <v>2.7567506756603248</v>
      </c>
      <c r="K138" s="269">
        <f>'IEPR Gas Prices Real'!K138*(INDEX('GDP Deflator'!$C$5:$C$89,MATCH('IEPR Gas Prices Nominal'!$B138,'GDP Deflator'!$B$5:$B$89,0))/100)</f>
        <v>9.7810798913588783</v>
      </c>
      <c r="L138" s="268">
        <f>'IEPR Gas Prices Real'!L138*(INDEX('GDP Deflator'!$C$5:$C$89,MATCH('IEPR Gas Prices Nominal'!$B138,'GDP Deflator'!$B$5:$B$89,0))/100)</f>
        <v>7.2822988540476556</v>
      </c>
      <c r="M138" s="269">
        <f>'IEPR Gas Prices Real'!M138*(INDEX('GDP Deflator'!$C$5:$C$89,MATCH('IEPR Gas Prices Nominal'!$B138,'GDP Deflator'!$B$5:$B$89,0))/100)</f>
        <v>1.30188677420636</v>
      </c>
      <c r="N138" s="270">
        <f>'IEPR Gas Prices Real'!N138*(INDEX('GDP Deflator'!$C$5:$C$89,MATCH('IEPR Gas Prices Nominal'!$B138,'GDP Deflator'!$B$5:$B$89,0))/100)</f>
        <v>8.5841856282540157</v>
      </c>
      <c r="O138" s="1"/>
      <c r="P138" s="274">
        <f t="shared" si="17"/>
        <v>6.9982175105484439</v>
      </c>
      <c r="Q138" s="275">
        <f t="shared" si="21"/>
        <v>8.9075971511122951</v>
      </c>
      <c r="R138" s="171"/>
    </row>
    <row r="139" spans="2:18">
      <c r="B139" s="94">
        <f t="shared" si="18"/>
        <v>2033</v>
      </c>
      <c r="C139" s="1">
        <f t="shared" si="19"/>
        <v>2</v>
      </c>
      <c r="D139" s="213">
        <v>48611</v>
      </c>
      <c r="E139" s="1" t="str">
        <f t="shared" si="20"/>
        <v>2-2033</v>
      </c>
      <c r="F139" s="268">
        <f>'IEPR Gas Prices Real'!F139*(INDEX('GDP Deflator'!$C$5:$C$89,MATCH('IEPR Gas Prices Nominal'!$B139,'GDP Deflator'!$B$5:$B$89,0))/100)</f>
        <v>6.5410183655750558</v>
      </c>
      <c r="G139" s="269">
        <f>'IEPR Gas Prices Real'!G139*(INDEX('GDP Deflator'!$C$5:$C$89,MATCH('IEPR Gas Prices Nominal'!$B139,'GDP Deflator'!$B$5:$B$89,0))/100)</f>
        <v>1.6695014718248697</v>
      </c>
      <c r="H139" s="270">
        <f>'IEPR Gas Prices Real'!H139*(INDEX('GDP Deflator'!$C$5:$C$89,MATCH('IEPR Gas Prices Nominal'!$B139,'GDP Deflator'!$B$5:$B$89,0))/100)</f>
        <v>8.2105198373999251</v>
      </c>
      <c r="I139" s="269">
        <f>'IEPR Gas Prices Real'!I139*(INDEX('GDP Deflator'!$C$5:$C$89,MATCH('IEPR Gas Prices Nominal'!$B139,'GDP Deflator'!$B$5:$B$89,0))/100)</f>
        <v>6.8698476702685767</v>
      </c>
      <c r="J139" s="269">
        <f>'IEPR Gas Prices Real'!J139*(INDEX('GDP Deflator'!$C$5:$C$89,MATCH('IEPR Gas Prices Nominal'!$B139,'GDP Deflator'!$B$5:$B$89,0))/100)</f>
        <v>2.7567506756603248</v>
      </c>
      <c r="K139" s="269">
        <f>'IEPR Gas Prices Real'!K139*(INDEX('GDP Deflator'!$C$5:$C$89,MATCH('IEPR Gas Prices Nominal'!$B139,'GDP Deflator'!$B$5:$B$89,0))/100)</f>
        <v>9.6265983459289011</v>
      </c>
      <c r="L139" s="268">
        <f>'IEPR Gas Prices Real'!L139*(INDEX('GDP Deflator'!$C$5:$C$89,MATCH('IEPR Gas Prices Nominal'!$B139,'GDP Deflator'!$B$5:$B$89,0))/100)</f>
        <v>7.1227144978248917</v>
      </c>
      <c r="M139" s="269">
        <f>'IEPR Gas Prices Real'!M139*(INDEX('GDP Deflator'!$C$5:$C$89,MATCH('IEPR Gas Prices Nominal'!$B139,'GDP Deflator'!$B$5:$B$89,0))/100)</f>
        <v>1.30188677420636</v>
      </c>
      <c r="N139" s="270">
        <f>'IEPR Gas Prices Real'!N139*(INDEX('GDP Deflator'!$C$5:$C$89,MATCH('IEPR Gas Prices Nominal'!$B139,'GDP Deflator'!$B$5:$B$89,0))/100)</f>
        <v>8.4246012720312518</v>
      </c>
      <c r="O139" s="1"/>
      <c r="P139" s="274">
        <f t="shared" si="17"/>
        <v>6.8445268445561744</v>
      </c>
      <c r="Q139" s="275">
        <f t="shared" si="21"/>
        <v>8.7539064851200266</v>
      </c>
      <c r="R139" s="171"/>
    </row>
    <row r="140" spans="2:18">
      <c r="B140" s="94">
        <f t="shared" si="18"/>
        <v>2033</v>
      </c>
      <c r="C140" s="1">
        <f t="shared" si="19"/>
        <v>3</v>
      </c>
      <c r="D140" s="213">
        <v>48639</v>
      </c>
      <c r="E140" s="1" t="str">
        <f t="shared" si="20"/>
        <v>3-2033</v>
      </c>
      <c r="F140" s="268">
        <f>'IEPR Gas Prices Real'!F140*(INDEX('GDP Deflator'!$C$5:$C$89,MATCH('IEPR Gas Prices Nominal'!$B140,'GDP Deflator'!$B$5:$B$89,0))/100)</f>
        <v>6.0043314095300966</v>
      </c>
      <c r="G140" s="269">
        <f>'IEPR Gas Prices Real'!G140*(INDEX('GDP Deflator'!$C$5:$C$89,MATCH('IEPR Gas Prices Nominal'!$B140,'GDP Deflator'!$B$5:$B$89,0))/100)</f>
        <v>1.6695014718248697</v>
      </c>
      <c r="H140" s="270">
        <f>'IEPR Gas Prices Real'!H140*(INDEX('GDP Deflator'!$C$5:$C$89,MATCH('IEPR Gas Prices Nominal'!$B140,'GDP Deflator'!$B$5:$B$89,0))/100)</f>
        <v>7.6738328813549659</v>
      </c>
      <c r="I140" s="269">
        <f>'IEPR Gas Prices Real'!I140*(INDEX('GDP Deflator'!$C$5:$C$89,MATCH('IEPR Gas Prices Nominal'!$B140,'GDP Deflator'!$B$5:$B$89,0))/100)</f>
        <v>6.3061039670360222</v>
      </c>
      <c r="J140" s="269">
        <f>'IEPR Gas Prices Real'!J140*(INDEX('GDP Deflator'!$C$5:$C$89,MATCH('IEPR Gas Prices Nominal'!$B140,'GDP Deflator'!$B$5:$B$89,0))/100)</f>
        <v>2.7567506756603248</v>
      </c>
      <c r="K140" s="269">
        <f>'IEPR Gas Prices Real'!K140*(INDEX('GDP Deflator'!$C$5:$C$89,MATCH('IEPR Gas Prices Nominal'!$B140,'GDP Deflator'!$B$5:$B$89,0))/100)</f>
        <v>9.0628546426963474</v>
      </c>
      <c r="L140" s="268">
        <f>'IEPR Gas Prices Real'!L140*(INDEX('GDP Deflator'!$C$5:$C$89,MATCH('IEPR Gas Prices Nominal'!$B140,'GDP Deflator'!$B$5:$B$89,0))/100)</f>
        <v>6.5387442407185548</v>
      </c>
      <c r="M140" s="269">
        <f>'IEPR Gas Prices Real'!M140*(INDEX('GDP Deflator'!$C$5:$C$89,MATCH('IEPR Gas Prices Nominal'!$B140,'GDP Deflator'!$B$5:$B$89,0))/100)</f>
        <v>1.30188677420636</v>
      </c>
      <c r="N140" s="270">
        <f>'IEPR Gas Prices Real'!N140*(INDEX('GDP Deflator'!$C$5:$C$89,MATCH('IEPR Gas Prices Nominal'!$B140,'GDP Deflator'!$B$5:$B$89,0))/100)</f>
        <v>7.8406310149249148</v>
      </c>
      <c r="O140" s="1"/>
      <c r="P140" s="274">
        <f t="shared" si="17"/>
        <v>6.2830598724282245</v>
      </c>
      <c r="Q140" s="275">
        <f t="shared" si="21"/>
        <v>8.1924395129920757</v>
      </c>
      <c r="R140" s="171"/>
    </row>
    <row r="141" spans="2:18">
      <c r="B141" s="94">
        <f t="shared" si="18"/>
        <v>2033</v>
      </c>
      <c r="C141" s="1">
        <f t="shared" si="19"/>
        <v>4</v>
      </c>
      <c r="D141" s="213">
        <v>48670</v>
      </c>
      <c r="E141" s="1" t="str">
        <f t="shared" si="20"/>
        <v>4-2033</v>
      </c>
      <c r="F141" s="268">
        <f>'IEPR Gas Prices Real'!F141*(INDEX('GDP Deflator'!$C$5:$C$89,MATCH('IEPR Gas Prices Nominal'!$B141,'GDP Deflator'!$B$5:$B$89,0))/100)</f>
        <v>5.9018298581399309</v>
      </c>
      <c r="G141" s="269">
        <f>'IEPR Gas Prices Real'!G141*(INDEX('GDP Deflator'!$C$5:$C$89,MATCH('IEPR Gas Prices Nominal'!$B141,'GDP Deflator'!$B$5:$B$89,0))/100)</f>
        <v>1.6695014718248697</v>
      </c>
      <c r="H141" s="270">
        <f>'IEPR Gas Prices Real'!H141*(INDEX('GDP Deflator'!$C$5:$C$89,MATCH('IEPR Gas Prices Nominal'!$B141,'GDP Deflator'!$B$5:$B$89,0))/100)</f>
        <v>7.5713313299648002</v>
      </c>
      <c r="I141" s="269">
        <f>'IEPR Gas Prices Real'!I141*(INDEX('GDP Deflator'!$C$5:$C$89,MATCH('IEPR Gas Prices Nominal'!$B141,'GDP Deflator'!$B$5:$B$89,0))/100)</f>
        <v>6.1983755825279943</v>
      </c>
      <c r="J141" s="269">
        <f>'IEPR Gas Prices Real'!J141*(INDEX('GDP Deflator'!$C$5:$C$89,MATCH('IEPR Gas Prices Nominal'!$B141,'GDP Deflator'!$B$5:$B$89,0))/100)</f>
        <v>2.7567506756603248</v>
      </c>
      <c r="K141" s="269">
        <f>'IEPR Gas Prices Real'!K141*(INDEX('GDP Deflator'!$C$5:$C$89,MATCH('IEPR Gas Prices Nominal'!$B141,'GDP Deflator'!$B$5:$B$89,0))/100)</f>
        <v>8.9551262581883186</v>
      </c>
      <c r="L141" s="268">
        <f>'IEPR Gas Prices Real'!L141*(INDEX('GDP Deflator'!$C$5:$C$89,MATCH('IEPR Gas Prices Nominal'!$B141,'GDP Deflator'!$B$5:$B$89,0))/100)</f>
        <v>6.4275566279702838</v>
      </c>
      <c r="M141" s="269">
        <f>'IEPR Gas Prices Real'!M141*(INDEX('GDP Deflator'!$C$5:$C$89,MATCH('IEPR Gas Prices Nominal'!$B141,'GDP Deflator'!$B$5:$B$89,0))/100)</f>
        <v>1.30188677420636</v>
      </c>
      <c r="N141" s="270">
        <f>'IEPR Gas Prices Real'!N141*(INDEX('GDP Deflator'!$C$5:$C$89,MATCH('IEPR Gas Prices Nominal'!$B141,'GDP Deflator'!$B$5:$B$89,0))/100)</f>
        <v>7.7294434021766438</v>
      </c>
      <c r="O141" s="1"/>
      <c r="P141" s="274">
        <f t="shared" si="17"/>
        <v>6.1759206895460688</v>
      </c>
      <c r="Q141" s="275">
        <f t="shared" si="21"/>
        <v>8.0853003301099218</v>
      </c>
      <c r="R141" s="171"/>
    </row>
    <row r="142" spans="2:18">
      <c r="B142" s="94">
        <f t="shared" si="18"/>
        <v>2033</v>
      </c>
      <c r="C142" s="1">
        <f t="shared" si="19"/>
        <v>5</v>
      </c>
      <c r="D142" s="213">
        <v>48700</v>
      </c>
      <c r="E142" s="1" t="str">
        <f t="shared" si="20"/>
        <v>5-2033</v>
      </c>
      <c r="F142" s="268">
        <f>'IEPR Gas Prices Real'!F142*(INDEX('GDP Deflator'!$C$5:$C$89,MATCH('IEPR Gas Prices Nominal'!$B142,'GDP Deflator'!$B$5:$B$89,0))/100)</f>
        <v>6.1068841154145357</v>
      </c>
      <c r="G142" s="269">
        <f>'IEPR Gas Prices Real'!G142*(INDEX('GDP Deflator'!$C$5:$C$89,MATCH('IEPR Gas Prices Nominal'!$B142,'GDP Deflator'!$B$5:$B$89,0))/100)</f>
        <v>1.6695014718248697</v>
      </c>
      <c r="H142" s="270">
        <f>'IEPR Gas Prices Real'!H142*(INDEX('GDP Deflator'!$C$5:$C$89,MATCH('IEPR Gas Prices Nominal'!$B142,'GDP Deflator'!$B$5:$B$89,0))/100)</f>
        <v>7.7763855872394059</v>
      </c>
      <c r="I142" s="269">
        <f>'IEPR Gas Prices Real'!I142*(INDEX('GDP Deflator'!$C$5:$C$89,MATCH('IEPR Gas Prices Nominal'!$B142,'GDP Deflator'!$B$5:$B$89,0))/100)</f>
        <v>6.4136552580487658</v>
      </c>
      <c r="J142" s="269">
        <f>'IEPR Gas Prices Real'!J142*(INDEX('GDP Deflator'!$C$5:$C$89,MATCH('IEPR Gas Prices Nominal'!$B142,'GDP Deflator'!$B$5:$B$89,0))/100)</f>
        <v>2.7567506756603248</v>
      </c>
      <c r="K142" s="269">
        <f>'IEPR Gas Prices Real'!K142*(INDEX('GDP Deflator'!$C$5:$C$89,MATCH('IEPR Gas Prices Nominal'!$B142,'GDP Deflator'!$B$5:$B$89,0))/100)</f>
        <v>9.1704059337090911</v>
      </c>
      <c r="L142" s="268">
        <f>'IEPR Gas Prices Real'!L142*(INDEX('GDP Deflator'!$C$5:$C$89,MATCH('IEPR Gas Prices Nominal'!$B142,'GDP Deflator'!$B$5:$B$89,0))/100)</f>
        <v>6.6513291494787241</v>
      </c>
      <c r="M142" s="269">
        <f>'IEPR Gas Prices Real'!M142*(INDEX('GDP Deflator'!$C$5:$C$89,MATCH('IEPR Gas Prices Nominal'!$B142,'GDP Deflator'!$B$5:$B$89,0))/100)</f>
        <v>1.30188677420636</v>
      </c>
      <c r="N142" s="270">
        <f>'IEPR Gas Prices Real'!N142*(INDEX('GDP Deflator'!$C$5:$C$89,MATCH('IEPR Gas Prices Nominal'!$B142,'GDP Deflator'!$B$5:$B$89,0))/100)</f>
        <v>7.9532159236850841</v>
      </c>
      <c r="O142" s="1"/>
      <c r="P142" s="274">
        <f t="shared" si="17"/>
        <v>6.3906228409806749</v>
      </c>
      <c r="Q142" s="275">
        <f t="shared" si="21"/>
        <v>8.3000024815445261</v>
      </c>
      <c r="R142" s="171"/>
    </row>
    <row r="143" spans="2:18">
      <c r="B143" s="94">
        <f t="shared" si="18"/>
        <v>2033</v>
      </c>
      <c r="C143" s="1">
        <f t="shared" si="19"/>
        <v>6</v>
      </c>
      <c r="D143" s="213">
        <v>48731</v>
      </c>
      <c r="E143" s="1" t="str">
        <f t="shared" si="20"/>
        <v>6-2033</v>
      </c>
      <c r="F143" s="268">
        <f>'IEPR Gas Prices Real'!F143*(INDEX('GDP Deflator'!$C$5:$C$89,MATCH('IEPR Gas Prices Nominal'!$B143,'GDP Deflator'!$B$5:$B$89,0))/100)</f>
        <v>6.2644046718561448</v>
      </c>
      <c r="G143" s="269">
        <f>'IEPR Gas Prices Real'!G143*(INDEX('GDP Deflator'!$C$5:$C$89,MATCH('IEPR Gas Prices Nominal'!$B143,'GDP Deflator'!$B$5:$B$89,0))/100)</f>
        <v>1.6695014718248697</v>
      </c>
      <c r="H143" s="270">
        <f>'IEPR Gas Prices Real'!H143*(INDEX('GDP Deflator'!$C$5:$C$89,MATCH('IEPR Gas Prices Nominal'!$B143,'GDP Deflator'!$B$5:$B$89,0))/100)</f>
        <v>7.933906143681015</v>
      </c>
      <c r="I143" s="269">
        <f>'IEPR Gas Prices Real'!I143*(INDEX('GDP Deflator'!$C$5:$C$89,MATCH('IEPR Gas Prices Nominal'!$B143,'GDP Deflator'!$B$5:$B$89,0))/100)</f>
        <v>6.5790088049108375</v>
      </c>
      <c r="J143" s="269">
        <f>'IEPR Gas Prices Real'!J143*(INDEX('GDP Deflator'!$C$5:$C$89,MATCH('IEPR Gas Prices Nominal'!$B143,'GDP Deflator'!$B$5:$B$89,0))/100)</f>
        <v>2.7567506756603248</v>
      </c>
      <c r="K143" s="269">
        <f>'IEPR Gas Prices Real'!K143*(INDEX('GDP Deflator'!$C$5:$C$89,MATCH('IEPR Gas Prices Nominal'!$B143,'GDP Deflator'!$B$5:$B$89,0))/100)</f>
        <v>9.3357594805711628</v>
      </c>
      <c r="L143" s="268">
        <f>'IEPR Gas Prices Real'!L143*(INDEX('GDP Deflator'!$C$5:$C$89,MATCH('IEPR Gas Prices Nominal'!$B143,'GDP Deflator'!$B$5:$B$89,0))/100)</f>
        <v>6.8233571597860001</v>
      </c>
      <c r="M143" s="269">
        <f>'IEPR Gas Prices Real'!M143*(INDEX('GDP Deflator'!$C$5:$C$89,MATCH('IEPR Gas Prices Nominal'!$B143,'GDP Deflator'!$B$5:$B$89,0))/100)</f>
        <v>1.30188677420636</v>
      </c>
      <c r="N143" s="270">
        <f>'IEPR Gas Prices Real'!N143*(INDEX('GDP Deflator'!$C$5:$C$89,MATCH('IEPR Gas Prices Nominal'!$B143,'GDP Deflator'!$B$5:$B$89,0))/100)</f>
        <v>8.1252439339923601</v>
      </c>
      <c r="O143" s="1"/>
      <c r="P143" s="274">
        <f t="shared" si="17"/>
        <v>6.5555902121843275</v>
      </c>
      <c r="Q143" s="275">
        <f t="shared" si="21"/>
        <v>8.4649698527481778</v>
      </c>
      <c r="R143" s="171"/>
    </row>
    <row r="144" spans="2:18">
      <c r="B144" s="94">
        <f t="shared" si="18"/>
        <v>2033</v>
      </c>
      <c r="C144" s="1">
        <f t="shared" si="19"/>
        <v>7</v>
      </c>
      <c r="D144" s="213">
        <v>48761</v>
      </c>
      <c r="E144" s="1" t="str">
        <f t="shared" si="20"/>
        <v>7-2033</v>
      </c>
      <c r="F144" s="268">
        <f>'IEPR Gas Prices Real'!F144*(INDEX('GDP Deflator'!$C$5:$C$89,MATCH('IEPR Gas Prices Nominal'!$B144,'GDP Deflator'!$B$5:$B$89,0))/100)</f>
        <v>6.3137454010889087</v>
      </c>
      <c r="G144" s="269">
        <f>'IEPR Gas Prices Real'!G144*(INDEX('GDP Deflator'!$C$5:$C$89,MATCH('IEPR Gas Prices Nominal'!$B144,'GDP Deflator'!$B$5:$B$89,0))/100)</f>
        <v>1.6695014718248697</v>
      </c>
      <c r="H144" s="270">
        <f>'IEPR Gas Prices Real'!H144*(INDEX('GDP Deflator'!$C$5:$C$89,MATCH('IEPR Gas Prices Nominal'!$B144,'GDP Deflator'!$B$5:$B$89,0))/100)</f>
        <v>7.9832468729137789</v>
      </c>
      <c r="I144" s="269">
        <f>'IEPR Gas Prices Real'!I144*(INDEX('GDP Deflator'!$C$5:$C$89,MATCH('IEPR Gas Prices Nominal'!$B144,'GDP Deflator'!$B$5:$B$89,0))/100)</f>
        <v>6.6307469822690592</v>
      </c>
      <c r="J144" s="269">
        <f>'IEPR Gas Prices Real'!J144*(INDEX('GDP Deflator'!$C$5:$C$89,MATCH('IEPR Gas Prices Nominal'!$B144,'GDP Deflator'!$B$5:$B$89,0))/100)</f>
        <v>2.7567506756603248</v>
      </c>
      <c r="K144" s="269">
        <f>'IEPR Gas Prices Real'!K144*(INDEX('GDP Deflator'!$C$5:$C$89,MATCH('IEPR Gas Prices Nominal'!$B144,'GDP Deflator'!$B$5:$B$89,0))/100)</f>
        <v>9.3874976579293836</v>
      </c>
      <c r="L144" s="268">
        <f>'IEPR Gas Prices Real'!L144*(INDEX('GDP Deflator'!$C$5:$C$89,MATCH('IEPR Gas Prices Nominal'!$B144,'GDP Deflator'!$B$5:$B$89,0))/100)</f>
        <v>6.8775682247883019</v>
      </c>
      <c r="M144" s="269">
        <f>'IEPR Gas Prices Real'!M144*(INDEX('GDP Deflator'!$C$5:$C$89,MATCH('IEPR Gas Prices Nominal'!$B144,'GDP Deflator'!$B$5:$B$89,0))/100)</f>
        <v>1.30188677420636</v>
      </c>
      <c r="N144" s="270">
        <f>'IEPR Gas Prices Real'!N144*(INDEX('GDP Deflator'!$C$5:$C$89,MATCH('IEPR Gas Prices Nominal'!$B144,'GDP Deflator'!$B$5:$B$89,0))/100)</f>
        <v>8.179454998994661</v>
      </c>
      <c r="O144" s="1"/>
      <c r="P144" s="274">
        <f t="shared" si="17"/>
        <v>6.6073535360487563</v>
      </c>
      <c r="Q144" s="275">
        <f t="shared" si="21"/>
        <v>8.5167331766126075</v>
      </c>
      <c r="R144" s="171"/>
    </row>
    <row r="145" spans="2:18">
      <c r="B145" s="94">
        <f t="shared" si="18"/>
        <v>2033</v>
      </c>
      <c r="C145" s="1">
        <f t="shared" si="19"/>
        <v>8</v>
      </c>
      <c r="D145" s="213">
        <v>48792</v>
      </c>
      <c r="E145" s="1" t="str">
        <f t="shared" si="20"/>
        <v>8-2033</v>
      </c>
      <c r="F145" s="268">
        <f>'IEPR Gas Prices Real'!F145*(INDEX('GDP Deflator'!$C$5:$C$89,MATCH('IEPR Gas Prices Nominal'!$B145,'GDP Deflator'!$B$5:$B$89,0))/100)</f>
        <v>6.2646227761687738</v>
      </c>
      <c r="G145" s="269">
        <f>'IEPR Gas Prices Real'!G145*(INDEX('GDP Deflator'!$C$5:$C$89,MATCH('IEPR Gas Prices Nominal'!$B145,'GDP Deflator'!$B$5:$B$89,0))/100)</f>
        <v>1.6695014718248697</v>
      </c>
      <c r="H145" s="270">
        <f>'IEPR Gas Prices Real'!H145*(INDEX('GDP Deflator'!$C$5:$C$89,MATCH('IEPR Gas Prices Nominal'!$B145,'GDP Deflator'!$B$5:$B$89,0))/100)</f>
        <v>7.9341242479936431</v>
      </c>
      <c r="I145" s="269">
        <f>'IEPR Gas Prices Real'!I145*(INDEX('GDP Deflator'!$C$5:$C$89,MATCH('IEPR Gas Prices Nominal'!$B145,'GDP Deflator'!$B$5:$B$89,0))/100)</f>
        <v>6.5790781224811861</v>
      </c>
      <c r="J145" s="269">
        <f>'IEPR Gas Prices Real'!J145*(INDEX('GDP Deflator'!$C$5:$C$89,MATCH('IEPR Gas Prices Nominal'!$B145,'GDP Deflator'!$B$5:$B$89,0))/100)</f>
        <v>2.7567506756603248</v>
      </c>
      <c r="K145" s="269">
        <f>'IEPR Gas Prices Real'!K145*(INDEX('GDP Deflator'!$C$5:$C$89,MATCH('IEPR Gas Prices Nominal'!$B145,'GDP Deflator'!$B$5:$B$89,0))/100)</f>
        <v>9.3358287981415113</v>
      </c>
      <c r="L145" s="268">
        <f>'IEPR Gas Prices Real'!L145*(INDEX('GDP Deflator'!$C$5:$C$89,MATCH('IEPR Gas Prices Nominal'!$B145,'GDP Deflator'!$B$5:$B$89,0))/100)</f>
        <v>6.8245231820627712</v>
      </c>
      <c r="M145" s="269">
        <f>'IEPR Gas Prices Real'!M145*(INDEX('GDP Deflator'!$C$5:$C$89,MATCH('IEPR Gas Prices Nominal'!$B145,'GDP Deflator'!$B$5:$B$89,0))/100)</f>
        <v>1.30188677420636</v>
      </c>
      <c r="N145" s="270">
        <f>'IEPR Gas Prices Real'!N145*(INDEX('GDP Deflator'!$C$5:$C$89,MATCH('IEPR Gas Prices Nominal'!$B145,'GDP Deflator'!$B$5:$B$89,0))/100)</f>
        <v>8.1264099562691303</v>
      </c>
      <c r="O145" s="1"/>
      <c r="P145" s="274">
        <f t="shared" si="17"/>
        <v>6.5560746935709107</v>
      </c>
      <c r="Q145" s="275">
        <f t="shared" si="21"/>
        <v>8.4654543341347619</v>
      </c>
      <c r="R145" s="171"/>
    </row>
    <row r="146" spans="2:18">
      <c r="B146" s="94">
        <f t="shared" si="18"/>
        <v>2033</v>
      </c>
      <c r="C146" s="1">
        <f t="shared" si="19"/>
        <v>9</v>
      </c>
      <c r="D146" s="213">
        <v>48823</v>
      </c>
      <c r="E146" s="1" t="str">
        <f t="shared" si="20"/>
        <v>9-2033</v>
      </c>
      <c r="F146" s="268">
        <f>'IEPR Gas Prices Real'!F146*(INDEX('GDP Deflator'!$C$5:$C$89,MATCH('IEPR Gas Prices Nominal'!$B146,'GDP Deflator'!$B$5:$B$89,0))/100)</f>
        <v>6.3523804966647823</v>
      </c>
      <c r="G146" s="269">
        <f>'IEPR Gas Prices Real'!G146*(INDEX('GDP Deflator'!$C$5:$C$89,MATCH('IEPR Gas Prices Nominal'!$B146,'GDP Deflator'!$B$5:$B$89,0))/100)</f>
        <v>1.6695014718248697</v>
      </c>
      <c r="H146" s="270">
        <f>'IEPR Gas Prices Real'!H146*(INDEX('GDP Deflator'!$C$5:$C$89,MATCH('IEPR Gas Prices Nominal'!$B146,'GDP Deflator'!$B$5:$B$89,0))/100)</f>
        <v>8.0218819684896516</v>
      </c>
      <c r="I146" s="269">
        <f>'IEPR Gas Prices Real'!I146*(INDEX('GDP Deflator'!$C$5:$C$89,MATCH('IEPR Gas Prices Nominal'!$B146,'GDP Deflator'!$B$5:$B$89,0))/100)</f>
        <v>6.6711598654222346</v>
      </c>
      <c r="J146" s="269">
        <f>'IEPR Gas Prices Real'!J146*(INDEX('GDP Deflator'!$C$5:$C$89,MATCH('IEPR Gas Prices Nominal'!$B146,'GDP Deflator'!$B$5:$B$89,0))/100)</f>
        <v>2.7567506756603248</v>
      </c>
      <c r="K146" s="269">
        <f>'IEPR Gas Prices Real'!K146*(INDEX('GDP Deflator'!$C$5:$C$89,MATCH('IEPR Gas Prices Nominal'!$B146,'GDP Deflator'!$B$5:$B$89,0))/100)</f>
        <v>9.427910541082559</v>
      </c>
      <c r="L146" s="268">
        <f>'IEPR Gas Prices Real'!L146*(INDEX('GDP Deflator'!$C$5:$C$89,MATCH('IEPR Gas Prices Nominal'!$B146,'GDP Deflator'!$B$5:$B$89,0))/100)</f>
        <v>6.9205951160029073</v>
      </c>
      <c r="M146" s="269">
        <f>'IEPR Gas Prices Real'!M146*(INDEX('GDP Deflator'!$C$5:$C$89,MATCH('IEPR Gas Prices Nominal'!$B146,'GDP Deflator'!$B$5:$B$89,0))/100)</f>
        <v>1.30188677420636</v>
      </c>
      <c r="N146" s="270">
        <f>'IEPR Gas Prices Real'!N146*(INDEX('GDP Deflator'!$C$5:$C$89,MATCH('IEPR Gas Prices Nominal'!$B146,'GDP Deflator'!$B$5:$B$89,0))/100)</f>
        <v>8.2224818902092665</v>
      </c>
      <c r="O146" s="1"/>
      <c r="P146" s="274">
        <f t="shared" si="17"/>
        <v>6.648045159363309</v>
      </c>
      <c r="Q146" s="275">
        <f t="shared" si="21"/>
        <v>8.5574247999271602</v>
      </c>
      <c r="R146" s="171"/>
    </row>
    <row r="147" spans="2:18">
      <c r="B147" s="94">
        <f t="shared" si="18"/>
        <v>2033</v>
      </c>
      <c r="C147" s="1">
        <f t="shared" si="19"/>
        <v>10</v>
      </c>
      <c r="D147" s="213">
        <v>48853</v>
      </c>
      <c r="E147" s="1" t="str">
        <f t="shared" si="20"/>
        <v>10-2033</v>
      </c>
      <c r="F147" s="268">
        <f>'IEPR Gas Prices Real'!F147*(INDEX('GDP Deflator'!$C$5:$C$89,MATCH('IEPR Gas Prices Nominal'!$B147,'GDP Deflator'!$B$5:$B$89,0))/100)</f>
        <v>6.3154172328078522</v>
      </c>
      <c r="G147" s="269">
        <f>'IEPR Gas Prices Real'!G147*(INDEX('GDP Deflator'!$C$5:$C$89,MATCH('IEPR Gas Prices Nominal'!$B147,'GDP Deflator'!$B$5:$B$89,0))/100)</f>
        <v>1.6695014718248697</v>
      </c>
      <c r="H147" s="270">
        <f>'IEPR Gas Prices Real'!H147*(INDEX('GDP Deflator'!$C$5:$C$89,MATCH('IEPR Gas Prices Nominal'!$B147,'GDP Deflator'!$B$5:$B$89,0))/100)</f>
        <v>7.9849187046327224</v>
      </c>
      <c r="I147" s="269">
        <f>'IEPR Gas Prices Real'!I147*(INDEX('GDP Deflator'!$C$5:$C$89,MATCH('IEPR Gas Prices Nominal'!$B147,'GDP Deflator'!$B$5:$B$89,0))/100)</f>
        <v>6.6322611292561158</v>
      </c>
      <c r="J147" s="269">
        <f>'IEPR Gas Prices Real'!J147*(INDEX('GDP Deflator'!$C$5:$C$89,MATCH('IEPR Gas Prices Nominal'!$B147,'GDP Deflator'!$B$5:$B$89,0))/100)</f>
        <v>2.7567506756603248</v>
      </c>
      <c r="K147" s="269">
        <f>'IEPR Gas Prices Real'!K147*(INDEX('GDP Deflator'!$C$5:$C$89,MATCH('IEPR Gas Prices Nominal'!$B147,'GDP Deflator'!$B$5:$B$89,0))/100)</f>
        <v>9.3890118049164411</v>
      </c>
      <c r="L147" s="268">
        <f>'IEPR Gas Prices Real'!L147*(INDEX('GDP Deflator'!$C$5:$C$89,MATCH('IEPR Gas Prices Nominal'!$B147,'GDP Deflator'!$B$5:$B$89,0))/100)</f>
        <v>6.8807937450402292</v>
      </c>
      <c r="M147" s="269">
        <f>'IEPR Gas Prices Real'!M147*(INDEX('GDP Deflator'!$C$5:$C$89,MATCH('IEPR Gas Prices Nominal'!$B147,'GDP Deflator'!$B$5:$B$89,0))/100)</f>
        <v>1.30188677420636</v>
      </c>
      <c r="N147" s="270">
        <f>'IEPR Gas Prices Real'!N147*(INDEX('GDP Deflator'!$C$5:$C$89,MATCH('IEPR Gas Prices Nominal'!$B147,'GDP Deflator'!$B$5:$B$89,0))/100)</f>
        <v>8.1826805192465901</v>
      </c>
      <c r="O147" s="1"/>
      <c r="P147" s="274">
        <f t="shared" si="17"/>
        <v>6.609490702368066</v>
      </c>
      <c r="Q147" s="275">
        <f t="shared" si="21"/>
        <v>8.5188703429319172</v>
      </c>
      <c r="R147" s="171"/>
    </row>
    <row r="148" spans="2:18">
      <c r="B148" s="94">
        <f t="shared" si="18"/>
        <v>2033</v>
      </c>
      <c r="C148" s="1">
        <f t="shared" si="19"/>
        <v>11</v>
      </c>
      <c r="D148" s="213">
        <v>48884</v>
      </c>
      <c r="E148" s="1" t="str">
        <f t="shared" si="20"/>
        <v>11-2033</v>
      </c>
      <c r="F148" s="268">
        <f>'IEPR Gas Prices Real'!F148*(INDEX('GDP Deflator'!$C$5:$C$89,MATCH('IEPR Gas Prices Nominal'!$B148,'GDP Deflator'!$B$5:$B$89,0))/100)</f>
        <v>6.6271930355523487</v>
      </c>
      <c r="G148" s="269">
        <f>'IEPR Gas Prices Real'!G148*(INDEX('GDP Deflator'!$C$5:$C$89,MATCH('IEPR Gas Prices Nominal'!$B148,'GDP Deflator'!$B$5:$B$89,0))/100)</f>
        <v>1.6695014718248697</v>
      </c>
      <c r="H148" s="270">
        <f>'IEPR Gas Prices Real'!H148*(INDEX('GDP Deflator'!$C$5:$C$89,MATCH('IEPR Gas Prices Nominal'!$B148,'GDP Deflator'!$B$5:$B$89,0))/100)</f>
        <v>8.296694507377218</v>
      </c>
      <c r="I148" s="269">
        <f>'IEPR Gas Prices Real'!I148*(INDEX('GDP Deflator'!$C$5:$C$89,MATCH('IEPR Gas Prices Nominal'!$B148,'GDP Deflator'!$B$5:$B$89,0))/100)</f>
        <v>6.9595941442375864</v>
      </c>
      <c r="J148" s="269">
        <f>'IEPR Gas Prices Real'!J148*(INDEX('GDP Deflator'!$C$5:$C$89,MATCH('IEPR Gas Prices Nominal'!$B148,'GDP Deflator'!$B$5:$B$89,0))/100)</f>
        <v>2.7567506756603248</v>
      </c>
      <c r="K148" s="269">
        <f>'IEPR Gas Prices Real'!K148*(INDEX('GDP Deflator'!$C$5:$C$89,MATCH('IEPR Gas Prices Nominal'!$B148,'GDP Deflator'!$B$5:$B$89,0))/100)</f>
        <v>9.7163448198979125</v>
      </c>
      <c r="L148" s="268">
        <f>'IEPR Gas Prices Real'!L148*(INDEX('GDP Deflator'!$C$5:$C$89,MATCH('IEPR Gas Prices Nominal'!$B148,'GDP Deflator'!$B$5:$B$89,0))/100)</f>
        <v>7.2209721575489274</v>
      </c>
      <c r="M148" s="269">
        <f>'IEPR Gas Prices Real'!M148*(INDEX('GDP Deflator'!$C$5:$C$89,MATCH('IEPR Gas Prices Nominal'!$B148,'GDP Deflator'!$B$5:$B$89,0))/100)</f>
        <v>1.30188677420636</v>
      </c>
      <c r="N148" s="270">
        <f>'IEPR Gas Prices Real'!N148*(INDEX('GDP Deflator'!$C$5:$C$89,MATCH('IEPR Gas Prices Nominal'!$B148,'GDP Deflator'!$B$5:$B$89,0))/100)</f>
        <v>8.5228589317552874</v>
      </c>
      <c r="O148" s="1"/>
      <c r="P148" s="274">
        <f t="shared" si="17"/>
        <v>6.9359197791129539</v>
      </c>
      <c r="Q148" s="275">
        <f t="shared" si="21"/>
        <v>8.845299419676806</v>
      </c>
      <c r="R148" s="171"/>
    </row>
    <row r="149" spans="2:18">
      <c r="B149" s="94">
        <f t="shared" si="18"/>
        <v>2033</v>
      </c>
      <c r="C149" s="1">
        <f t="shared" si="19"/>
        <v>12</v>
      </c>
      <c r="D149" s="213">
        <v>48914</v>
      </c>
      <c r="E149" s="1" t="str">
        <f t="shared" si="20"/>
        <v>12-2033</v>
      </c>
      <c r="F149" s="268">
        <f>'IEPR Gas Prices Real'!F149*(INDEX('GDP Deflator'!$C$5:$C$89,MATCH('IEPR Gas Prices Nominal'!$B149,'GDP Deflator'!$B$5:$B$89,0))/100)</f>
        <v>6.6801203023761708</v>
      </c>
      <c r="G149" s="269">
        <f>'IEPR Gas Prices Real'!G149*(INDEX('GDP Deflator'!$C$5:$C$89,MATCH('IEPR Gas Prices Nominal'!$B149,'GDP Deflator'!$B$5:$B$89,0))/100)</f>
        <v>1.6695014718248697</v>
      </c>
      <c r="H149" s="270">
        <f>'IEPR Gas Prices Real'!H149*(INDEX('GDP Deflator'!$C$5:$C$89,MATCH('IEPR Gas Prices Nominal'!$B149,'GDP Deflator'!$B$5:$B$89,0))/100)</f>
        <v>8.3496217742010401</v>
      </c>
      <c r="I149" s="269">
        <f>'IEPR Gas Prices Real'!I149*(INDEX('GDP Deflator'!$C$5:$C$89,MATCH('IEPR Gas Prices Nominal'!$B149,'GDP Deflator'!$B$5:$B$89,0))/100)</f>
        <v>7.0150908489817967</v>
      </c>
      <c r="J149" s="269">
        <f>'IEPR Gas Prices Real'!J149*(INDEX('GDP Deflator'!$C$5:$C$89,MATCH('IEPR Gas Prices Nominal'!$B149,'GDP Deflator'!$B$5:$B$89,0))/100)</f>
        <v>2.7567506756603248</v>
      </c>
      <c r="K149" s="269">
        <f>'IEPR Gas Prices Real'!K149*(INDEX('GDP Deflator'!$C$5:$C$89,MATCH('IEPR Gas Prices Nominal'!$B149,'GDP Deflator'!$B$5:$B$89,0))/100)</f>
        <v>9.771841524642122</v>
      </c>
      <c r="L149" s="268">
        <f>'IEPR Gas Prices Real'!L149*(INDEX('GDP Deflator'!$C$5:$C$89,MATCH('IEPR Gas Prices Nominal'!$B149,'GDP Deflator'!$B$5:$B$89,0))/100)</f>
        <v>7.2791370257590247</v>
      </c>
      <c r="M149" s="269">
        <f>'IEPR Gas Prices Real'!M149*(INDEX('GDP Deflator'!$C$5:$C$89,MATCH('IEPR Gas Prices Nominal'!$B149,'GDP Deflator'!$B$5:$B$89,0))/100)</f>
        <v>1.30188677420636</v>
      </c>
      <c r="N149" s="270">
        <f>'IEPR Gas Prices Real'!N149*(INDEX('GDP Deflator'!$C$5:$C$89,MATCH('IEPR Gas Prices Nominal'!$B149,'GDP Deflator'!$B$5:$B$89,0))/100)</f>
        <v>8.5810237999653847</v>
      </c>
      <c r="O149" s="1"/>
      <c r="P149" s="274">
        <f t="shared" si="17"/>
        <v>6.9914493923723304</v>
      </c>
      <c r="Q149" s="275">
        <f t="shared" si="21"/>
        <v>8.9008290329361817</v>
      </c>
      <c r="R149" s="171"/>
    </row>
    <row r="150" spans="2:18">
      <c r="B150" s="94">
        <f t="shared" si="18"/>
        <v>2034</v>
      </c>
      <c r="C150" s="1">
        <f t="shared" si="19"/>
        <v>1</v>
      </c>
      <c r="D150" s="213">
        <v>48945</v>
      </c>
      <c r="E150" s="1" t="str">
        <f t="shared" si="20"/>
        <v>1-2034</v>
      </c>
      <c r="F150" s="268">
        <f>'IEPR Gas Prices Real'!F150*(INDEX('GDP Deflator'!$C$5:$C$89,MATCH('IEPR Gas Prices Nominal'!$B150,'GDP Deflator'!$B$5:$B$89,0))/100)</f>
        <v>6.82541091611124</v>
      </c>
      <c r="G150" s="269">
        <f>'IEPR Gas Prices Real'!G150*(INDEX('GDP Deflator'!$C$5:$C$89,MATCH('IEPR Gas Prices Nominal'!$B150,'GDP Deflator'!$B$5:$B$89,0))/100)</f>
        <v>1.7740178598062744</v>
      </c>
      <c r="H150" s="270">
        <f>'IEPR Gas Prices Real'!H150*(INDEX('GDP Deflator'!$C$5:$C$89,MATCH('IEPR Gas Prices Nominal'!$B150,'GDP Deflator'!$B$5:$B$89,0))/100)</f>
        <v>8.599428775917513</v>
      </c>
      <c r="I150" s="269">
        <f>'IEPR Gas Prices Real'!I150*(INDEX('GDP Deflator'!$C$5:$C$89,MATCH('IEPR Gas Prices Nominal'!$B150,'GDP Deflator'!$B$5:$B$89,0))/100)</f>
        <v>7.1675977358493936</v>
      </c>
      <c r="J150" s="269">
        <f>'IEPR Gas Prices Real'!J150*(INDEX('GDP Deflator'!$C$5:$C$89,MATCH('IEPR Gas Prices Nominal'!$B150,'GDP Deflator'!$B$5:$B$89,0))/100)</f>
        <v>2.9293325080503103</v>
      </c>
      <c r="K150" s="269">
        <f>'IEPR Gas Prices Real'!K150*(INDEX('GDP Deflator'!$C$5:$C$89,MATCH('IEPR Gas Prices Nominal'!$B150,'GDP Deflator'!$B$5:$B$89,0))/100)</f>
        <v>10.096930243899704</v>
      </c>
      <c r="L150" s="268">
        <f>'IEPR Gas Prices Real'!L150*(INDEX('GDP Deflator'!$C$5:$C$89,MATCH('IEPR Gas Prices Nominal'!$B150,'GDP Deflator'!$B$5:$B$89,0))/100)</f>
        <v>7.4385273529618416</v>
      </c>
      <c r="M150" s="269">
        <f>'IEPR Gas Prices Real'!M150*(INDEX('GDP Deflator'!$C$5:$C$89,MATCH('IEPR Gas Prices Nominal'!$B150,'GDP Deflator'!$B$5:$B$89,0))/100)</f>
        <v>1.3833892499436711</v>
      </c>
      <c r="N150" s="270">
        <f>'IEPR Gas Prices Real'!N150*(INDEX('GDP Deflator'!$C$5:$C$89,MATCH('IEPR Gas Prices Nominal'!$B150,'GDP Deflator'!$B$5:$B$89,0))/100)</f>
        <v>8.8219166029055121</v>
      </c>
      <c r="O150" s="1"/>
      <c r="P150" s="274">
        <f t="shared" si="17"/>
        <v>7.1438453349741584</v>
      </c>
      <c r="Q150" s="275">
        <f t="shared" si="21"/>
        <v>9.1727585409075747</v>
      </c>
      <c r="R150" s="171"/>
    </row>
    <row r="151" spans="2:18">
      <c r="B151" s="94">
        <f t="shared" si="18"/>
        <v>2034</v>
      </c>
      <c r="C151" s="1">
        <f t="shared" si="19"/>
        <v>2</v>
      </c>
      <c r="D151" s="213">
        <v>48976</v>
      </c>
      <c r="E151" s="1" t="str">
        <f t="shared" si="20"/>
        <v>2-2034</v>
      </c>
      <c r="F151" s="268">
        <f>'IEPR Gas Prices Real'!F151*(INDEX('GDP Deflator'!$C$5:$C$89,MATCH('IEPR Gas Prices Nominal'!$B151,'GDP Deflator'!$B$5:$B$89,0))/100)</f>
        <v>6.675476142477569</v>
      </c>
      <c r="G151" s="269">
        <f>'IEPR Gas Prices Real'!G151*(INDEX('GDP Deflator'!$C$5:$C$89,MATCH('IEPR Gas Prices Nominal'!$B151,'GDP Deflator'!$B$5:$B$89,0))/100)</f>
        <v>1.7740178598062744</v>
      </c>
      <c r="H151" s="270">
        <f>'IEPR Gas Prices Real'!H151*(INDEX('GDP Deflator'!$C$5:$C$89,MATCH('IEPR Gas Prices Nominal'!$B151,'GDP Deflator'!$B$5:$B$89,0))/100)</f>
        <v>8.4494940022838438</v>
      </c>
      <c r="I151" s="269">
        <f>'IEPR Gas Prices Real'!I151*(INDEX('GDP Deflator'!$C$5:$C$89,MATCH('IEPR Gas Prices Nominal'!$B151,'GDP Deflator'!$B$5:$B$89,0))/100)</f>
        <v>7.0100783692305146</v>
      </c>
      <c r="J151" s="269">
        <f>'IEPR Gas Prices Real'!J151*(INDEX('GDP Deflator'!$C$5:$C$89,MATCH('IEPR Gas Prices Nominal'!$B151,'GDP Deflator'!$B$5:$B$89,0))/100)</f>
        <v>2.9293325080503103</v>
      </c>
      <c r="K151" s="269">
        <f>'IEPR Gas Prices Real'!K151*(INDEX('GDP Deflator'!$C$5:$C$89,MATCH('IEPR Gas Prices Nominal'!$B151,'GDP Deflator'!$B$5:$B$89,0))/100)</f>
        <v>9.9394108772808245</v>
      </c>
      <c r="L151" s="268">
        <f>'IEPR Gas Prices Real'!L151*(INDEX('GDP Deflator'!$C$5:$C$89,MATCH('IEPR Gas Prices Nominal'!$B151,'GDP Deflator'!$B$5:$B$89,0))/100)</f>
        <v>7.2761720871331557</v>
      </c>
      <c r="M151" s="269">
        <f>'IEPR Gas Prices Real'!M151*(INDEX('GDP Deflator'!$C$5:$C$89,MATCH('IEPR Gas Prices Nominal'!$B151,'GDP Deflator'!$B$5:$B$89,0))/100)</f>
        <v>1.3833892499436711</v>
      </c>
      <c r="N151" s="270">
        <f>'IEPR Gas Prices Real'!N151*(INDEX('GDP Deflator'!$C$5:$C$89,MATCH('IEPR Gas Prices Nominal'!$B151,'GDP Deflator'!$B$5:$B$89,0))/100)</f>
        <v>8.659561337076827</v>
      </c>
      <c r="O151" s="1"/>
      <c r="P151" s="274">
        <f t="shared" si="17"/>
        <v>6.9872421996137462</v>
      </c>
      <c r="Q151" s="275">
        <f t="shared" si="21"/>
        <v>9.0161554055471651</v>
      </c>
      <c r="R151" s="171"/>
    </row>
    <row r="152" spans="2:18">
      <c r="B152" s="94">
        <f t="shared" si="18"/>
        <v>2034</v>
      </c>
      <c r="C152" s="1">
        <f t="shared" si="19"/>
        <v>3</v>
      </c>
      <c r="D152" s="213">
        <v>49004</v>
      </c>
      <c r="E152" s="1" t="str">
        <f t="shared" si="20"/>
        <v>3-2034</v>
      </c>
      <c r="F152" s="268">
        <f>'IEPR Gas Prices Real'!F152*(INDEX('GDP Deflator'!$C$5:$C$89,MATCH('IEPR Gas Prices Nominal'!$B152,'GDP Deflator'!$B$5:$B$89,0))/100)</f>
        <v>6.1278406830369292</v>
      </c>
      <c r="G152" s="269">
        <f>'IEPR Gas Prices Real'!G152*(INDEX('GDP Deflator'!$C$5:$C$89,MATCH('IEPR Gas Prices Nominal'!$B152,'GDP Deflator'!$B$5:$B$89,0))/100)</f>
        <v>1.7740178598062744</v>
      </c>
      <c r="H152" s="270">
        <f>'IEPR Gas Prices Real'!H152*(INDEX('GDP Deflator'!$C$5:$C$89,MATCH('IEPR Gas Prices Nominal'!$B152,'GDP Deflator'!$B$5:$B$89,0))/100)</f>
        <v>7.901858542843204</v>
      </c>
      <c r="I152" s="269">
        <f>'IEPR Gas Prices Real'!I152*(INDEX('GDP Deflator'!$C$5:$C$89,MATCH('IEPR Gas Prices Nominal'!$B152,'GDP Deflator'!$B$5:$B$89,0))/100)</f>
        <v>6.4349309949747768</v>
      </c>
      <c r="J152" s="269">
        <f>'IEPR Gas Prices Real'!J152*(INDEX('GDP Deflator'!$C$5:$C$89,MATCH('IEPR Gas Prices Nominal'!$B152,'GDP Deflator'!$B$5:$B$89,0))/100)</f>
        <v>2.9293325080503103</v>
      </c>
      <c r="K152" s="269">
        <f>'IEPR Gas Prices Real'!K152*(INDEX('GDP Deflator'!$C$5:$C$89,MATCH('IEPR Gas Prices Nominal'!$B152,'GDP Deflator'!$B$5:$B$89,0))/100)</f>
        <v>9.3642635030250876</v>
      </c>
      <c r="L152" s="268">
        <f>'IEPR Gas Prices Real'!L152*(INDEX('GDP Deflator'!$C$5:$C$89,MATCH('IEPR Gas Prices Nominal'!$B152,'GDP Deflator'!$B$5:$B$89,0))/100)</f>
        <v>6.6802195048215864</v>
      </c>
      <c r="M152" s="269">
        <f>'IEPR Gas Prices Real'!M152*(INDEX('GDP Deflator'!$C$5:$C$89,MATCH('IEPR Gas Prices Nominal'!$B152,'GDP Deflator'!$B$5:$B$89,0))/100)</f>
        <v>1.3833892499436711</v>
      </c>
      <c r="N152" s="270">
        <f>'IEPR Gas Prices Real'!N152*(INDEX('GDP Deflator'!$C$5:$C$89,MATCH('IEPR Gas Prices Nominal'!$B152,'GDP Deflator'!$B$5:$B$89,0))/100)</f>
        <v>8.0636087547652586</v>
      </c>
      <c r="O152" s="1"/>
      <c r="P152" s="274">
        <f t="shared" si="17"/>
        <v>6.4143303942777647</v>
      </c>
      <c r="Q152" s="275">
        <f t="shared" si="21"/>
        <v>8.4432436002111846</v>
      </c>
      <c r="R152" s="171"/>
    </row>
    <row r="153" spans="2:18">
      <c r="B153" s="94">
        <f t="shared" si="18"/>
        <v>2034</v>
      </c>
      <c r="C153" s="1">
        <f t="shared" si="19"/>
        <v>4</v>
      </c>
      <c r="D153" s="213">
        <v>49035</v>
      </c>
      <c r="E153" s="1" t="str">
        <f t="shared" si="20"/>
        <v>4-2034</v>
      </c>
      <c r="F153" s="268">
        <f>'IEPR Gas Prices Real'!F153*(INDEX('GDP Deflator'!$C$5:$C$89,MATCH('IEPR Gas Prices Nominal'!$B153,'GDP Deflator'!$B$5:$B$89,0))/100)</f>
        <v>6.0233129425095475</v>
      </c>
      <c r="G153" s="269">
        <f>'IEPR Gas Prices Real'!G153*(INDEX('GDP Deflator'!$C$5:$C$89,MATCH('IEPR Gas Prices Nominal'!$B153,'GDP Deflator'!$B$5:$B$89,0))/100)</f>
        <v>1.7740178598062744</v>
      </c>
      <c r="H153" s="270">
        <f>'IEPR Gas Prices Real'!H153*(INDEX('GDP Deflator'!$C$5:$C$89,MATCH('IEPR Gas Prices Nominal'!$B153,'GDP Deflator'!$B$5:$B$89,0))/100)</f>
        <v>7.7973308023158232</v>
      </c>
      <c r="I153" s="269">
        <f>'IEPR Gas Prices Real'!I153*(INDEX('GDP Deflator'!$C$5:$C$89,MATCH('IEPR Gas Prices Nominal'!$B153,'GDP Deflator'!$B$5:$B$89,0))/100)</f>
        <v>6.3251038257698502</v>
      </c>
      <c r="J153" s="269">
        <f>'IEPR Gas Prices Real'!J153*(INDEX('GDP Deflator'!$C$5:$C$89,MATCH('IEPR Gas Prices Nominal'!$B153,'GDP Deflator'!$B$5:$B$89,0))/100)</f>
        <v>2.9293325080503103</v>
      </c>
      <c r="K153" s="269">
        <f>'IEPR Gas Prices Real'!K153*(INDEX('GDP Deflator'!$C$5:$C$89,MATCH('IEPR Gas Prices Nominal'!$B153,'GDP Deflator'!$B$5:$B$89,0))/100)</f>
        <v>9.254436333820161</v>
      </c>
      <c r="L153" s="268">
        <f>'IEPR Gas Prices Real'!L153*(INDEX('GDP Deflator'!$C$5:$C$89,MATCH('IEPR Gas Prices Nominal'!$B153,'GDP Deflator'!$B$5:$B$89,0))/100)</f>
        <v>6.5672152404268171</v>
      </c>
      <c r="M153" s="269">
        <f>'IEPR Gas Prices Real'!M153*(INDEX('GDP Deflator'!$C$5:$C$89,MATCH('IEPR Gas Prices Nominal'!$B153,'GDP Deflator'!$B$5:$B$89,0))/100)</f>
        <v>1.3833892499436711</v>
      </c>
      <c r="N153" s="270">
        <f>'IEPR Gas Prices Real'!N153*(INDEX('GDP Deflator'!$C$5:$C$89,MATCH('IEPR Gas Prices Nominal'!$B153,'GDP Deflator'!$B$5:$B$89,0))/100)</f>
        <v>7.9506044903704884</v>
      </c>
      <c r="O153" s="1"/>
      <c r="P153" s="274">
        <f t="shared" si="17"/>
        <v>6.305210669568738</v>
      </c>
      <c r="Q153" s="275">
        <f t="shared" si="21"/>
        <v>8.3341238755021578</v>
      </c>
      <c r="R153" s="171"/>
    </row>
    <row r="154" spans="2:18">
      <c r="B154" s="94">
        <f t="shared" si="18"/>
        <v>2034</v>
      </c>
      <c r="C154" s="1">
        <f t="shared" si="19"/>
        <v>5</v>
      </c>
      <c r="D154" s="213">
        <v>49065</v>
      </c>
      <c r="E154" s="1" t="str">
        <f t="shared" si="20"/>
        <v>5-2034</v>
      </c>
      <c r="F154" s="268">
        <f>'IEPR Gas Prices Real'!F154*(INDEX('GDP Deflator'!$C$5:$C$89,MATCH('IEPR Gas Prices Nominal'!$B154,'GDP Deflator'!$B$5:$B$89,0))/100)</f>
        <v>6.2326731762819652</v>
      </c>
      <c r="G154" s="269">
        <f>'IEPR Gas Prices Real'!G154*(INDEX('GDP Deflator'!$C$5:$C$89,MATCH('IEPR Gas Prices Nominal'!$B154,'GDP Deflator'!$B$5:$B$89,0))/100)</f>
        <v>1.7740178598062744</v>
      </c>
      <c r="H154" s="270">
        <f>'IEPR Gas Prices Real'!H154*(INDEX('GDP Deflator'!$C$5:$C$89,MATCH('IEPR Gas Prices Nominal'!$B154,'GDP Deflator'!$B$5:$B$89,0))/100)</f>
        <v>8.00669103608824</v>
      </c>
      <c r="I154" s="269">
        <f>'IEPR Gas Prices Real'!I154*(INDEX('GDP Deflator'!$C$5:$C$89,MATCH('IEPR Gas Prices Nominal'!$B154,'GDP Deflator'!$B$5:$B$89,0))/100)</f>
        <v>6.5448905373353741</v>
      </c>
      <c r="J154" s="269">
        <f>'IEPR Gas Prices Real'!J154*(INDEX('GDP Deflator'!$C$5:$C$89,MATCH('IEPR Gas Prices Nominal'!$B154,'GDP Deflator'!$B$5:$B$89,0))/100)</f>
        <v>2.9293325080503103</v>
      </c>
      <c r="K154" s="269">
        <f>'IEPR Gas Prices Real'!K154*(INDEX('GDP Deflator'!$C$5:$C$89,MATCH('IEPR Gas Prices Nominal'!$B154,'GDP Deflator'!$B$5:$B$89,0))/100)</f>
        <v>9.4742230453856848</v>
      </c>
      <c r="L154" s="268">
        <f>'IEPR Gas Prices Real'!L154*(INDEX('GDP Deflator'!$C$5:$C$89,MATCH('IEPR Gas Prices Nominal'!$B154,'GDP Deflator'!$B$5:$B$89,0))/100)</f>
        <v>6.7964595134868935</v>
      </c>
      <c r="M154" s="269">
        <f>'IEPR Gas Prices Real'!M154*(INDEX('GDP Deflator'!$C$5:$C$89,MATCH('IEPR Gas Prices Nominal'!$B154,'GDP Deflator'!$B$5:$B$89,0))/100)</f>
        <v>1.3833892499436711</v>
      </c>
      <c r="N154" s="270">
        <f>'IEPR Gas Prices Real'!N154*(INDEX('GDP Deflator'!$C$5:$C$89,MATCH('IEPR Gas Prices Nominal'!$B154,'GDP Deflator'!$B$5:$B$89,0))/100)</f>
        <v>8.1798487634305648</v>
      </c>
      <c r="O154" s="1"/>
      <c r="P154" s="274">
        <f t="shared" si="17"/>
        <v>6.5246744090347448</v>
      </c>
      <c r="Q154" s="275">
        <f t="shared" si="21"/>
        <v>8.5535876149681638</v>
      </c>
      <c r="R154" s="171"/>
    </row>
    <row r="155" spans="2:18">
      <c r="B155" s="94">
        <f t="shared" si="18"/>
        <v>2034</v>
      </c>
      <c r="C155" s="1">
        <f t="shared" si="19"/>
        <v>6</v>
      </c>
      <c r="D155" s="213">
        <v>49096</v>
      </c>
      <c r="E155" s="1" t="str">
        <f t="shared" si="20"/>
        <v>6-2034</v>
      </c>
      <c r="F155" s="268">
        <f>'IEPR Gas Prices Real'!F155*(INDEX('GDP Deflator'!$C$5:$C$89,MATCH('IEPR Gas Prices Nominal'!$B155,'GDP Deflator'!$B$5:$B$89,0))/100)</f>
        <v>6.3935256866726293</v>
      </c>
      <c r="G155" s="269">
        <f>'IEPR Gas Prices Real'!G155*(INDEX('GDP Deflator'!$C$5:$C$89,MATCH('IEPR Gas Prices Nominal'!$B155,'GDP Deflator'!$B$5:$B$89,0))/100)</f>
        <v>1.7740178598062744</v>
      </c>
      <c r="H155" s="270">
        <f>'IEPR Gas Prices Real'!H155*(INDEX('GDP Deflator'!$C$5:$C$89,MATCH('IEPR Gas Prices Nominal'!$B155,'GDP Deflator'!$B$5:$B$89,0))/100)</f>
        <v>8.167543546478905</v>
      </c>
      <c r="I155" s="269">
        <f>'IEPR Gas Prices Real'!I155*(INDEX('GDP Deflator'!$C$5:$C$89,MATCH('IEPR Gas Prices Nominal'!$B155,'GDP Deflator'!$B$5:$B$89,0))/100)</f>
        <v>6.7137358275848511</v>
      </c>
      <c r="J155" s="269">
        <f>'IEPR Gas Prices Real'!J155*(INDEX('GDP Deflator'!$C$5:$C$89,MATCH('IEPR Gas Prices Nominal'!$B155,'GDP Deflator'!$B$5:$B$89,0))/100)</f>
        <v>2.9293325080503103</v>
      </c>
      <c r="K155" s="269">
        <f>'IEPR Gas Prices Real'!K155*(INDEX('GDP Deflator'!$C$5:$C$89,MATCH('IEPR Gas Prices Nominal'!$B155,'GDP Deflator'!$B$5:$B$89,0))/100)</f>
        <v>9.6430683356351619</v>
      </c>
      <c r="L155" s="268">
        <f>'IEPR Gas Prices Real'!L155*(INDEX('GDP Deflator'!$C$5:$C$89,MATCH('IEPR Gas Prices Nominal'!$B155,'GDP Deflator'!$B$5:$B$89,0))/100)</f>
        <v>6.9728665362606428</v>
      </c>
      <c r="M155" s="269">
        <f>'IEPR Gas Prices Real'!M155*(INDEX('GDP Deflator'!$C$5:$C$89,MATCH('IEPR Gas Prices Nominal'!$B155,'GDP Deflator'!$B$5:$B$89,0))/100)</f>
        <v>1.3833892499436711</v>
      </c>
      <c r="N155" s="270">
        <f>'IEPR Gas Prices Real'!N155*(INDEX('GDP Deflator'!$C$5:$C$89,MATCH('IEPR Gas Prices Nominal'!$B155,'GDP Deflator'!$B$5:$B$89,0))/100)</f>
        <v>8.356255786204315</v>
      </c>
      <c r="O155" s="1"/>
      <c r="P155" s="274">
        <f t="shared" si="17"/>
        <v>6.6933760168393741</v>
      </c>
      <c r="Q155" s="275">
        <f t="shared" si="21"/>
        <v>8.7222892227727939</v>
      </c>
      <c r="R155" s="171"/>
    </row>
    <row r="156" spans="2:18">
      <c r="B156" s="94">
        <f t="shared" si="18"/>
        <v>2034</v>
      </c>
      <c r="C156" s="1">
        <f t="shared" si="19"/>
        <v>7</v>
      </c>
      <c r="D156" s="213">
        <v>49126</v>
      </c>
      <c r="E156" s="1" t="str">
        <f t="shared" si="20"/>
        <v>7-2034</v>
      </c>
      <c r="F156" s="268">
        <f>'IEPR Gas Prices Real'!F156*(INDEX('GDP Deflator'!$C$5:$C$89,MATCH('IEPR Gas Prices Nominal'!$B156,'GDP Deflator'!$B$5:$B$89,0))/100)</f>
        <v>6.4439714847850516</v>
      </c>
      <c r="G156" s="269">
        <f>'IEPR Gas Prices Real'!G156*(INDEX('GDP Deflator'!$C$5:$C$89,MATCH('IEPR Gas Prices Nominal'!$B156,'GDP Deflator'!$B$5:$B$89,0))/100)</f>
        <v>1.7740178598062744</v>
      </c>
      <c r="H156" s="270">
        <f>'IEPR Gas Prices Real'!H156*(INDEX('GDP Deflator'!$C$5:$C$89,MATCH('IEPR Gas Prices Nominal'!$B156,'GDP Deflator'!$B$5:$B$89,0))/100)</f>
        <v>8.2179893445913272</v>
      </c>
      <c r="I156" s="269">
        <f>'IEPR Gas Prices Real'!I156*(INDEX('GDP Deflator'!$C$5:$C$89,MATCH('IEPR Gas Prices Nominal'!$B156,'GDP Deflator'!$B$5:$B$89,0))/100)</f>
        <v>6.7666426947510239</v>
      </c>
      <c r="J156" s="269">
        <f>'IEPR Gas Prices Real'!J156*(INDEX('GDP Deflator'!$C$5:$C$89,MATCH('IEPR Gas Prices Nominal'!$B156,'GDP Deflator'!$B$5:$B$89,0))/100)</f>
        <v>2.9293325080503103</v>
      </c>
      <c r="K156" s="269">
        <f>'IEPR Gas Prices Real'!K156*(INDEX('GDP Deflator'!$C$5:$C$89,MATCH('IEPR Gas Prices Nominal'!$B156,'GDP Deflator'!$B$5:$B$89,0))/100)</f>
        <v>9.6959752028013337</v>
      </c>
      <c r="L156" s="268">
        <f>'IEPR Gas Prices Real'!L156*(INDEX('GDP Deflator'!$C$5:$C$89,MATCH('IEPR Gas Prices Nominal'!$B156,'GDP Deflator'!$B$5:$B$89,0))/100)</f>
        <v>7.0288958528734691</v>
      </c>
      <c r="M156" s="269">
        <f>'IEPR Gas Prices Real'!M156*(INDEX('GDP Deflator'!$C$5:$C$89,MATCH('IEPR Gas Prices Nominal'!$B156,'GDP Deflator'!$B$5:$B$89,0))/100)</f>
        <v>1.3833892499436711</v>
      </c>
      <c r="N156" s="270">
        <f>'IEPR Gas Prices Real'!N156*(INDEX('GDP Deflator'!$C$5:$C$89,MATCH('IEPR Gas Prices Nominal'!$B156,'GDP Deflator'!$B$5:$B$89,0))/100)</f>
        <v>8.4122851028171404</v>
      </c>
      <c r="O156" s="1"/>
      <c r="P156" s="274">
        <f t="shared" si="17"/>
        <v>6.7465033441365145</v>
      </c>
      <c r="Q156" s="275">
        <f t="shared" si="21"/>
        <v>8.7754165500699326</v>
      </c>
      <c r="R156" s="171"/>
    </row>
    <row r="157" spans="2:18">
      <c r="B157" s="94">
        <f t="shared" si="18"/>
        <v>2034</v>
      </c>
      <c r="C157" s="1">
        <f t="shared" si="19"/>
        <v>8</v>
      </c>
      <c r="D157" s="213">
        <v>49157</v>
      </c>
      <c r="E157" s="1" t="str">
        <f t="shared" si="20"/>
        <v>8-2034</v>
      </c>
      <c r="F157" s="268">
        <f>'IEPR Gas Prices Real'!F157*(INDEX('GDP Deflator'!$C$5:$C$89,MATCH('IEPR Gas Prices Nominal'!$B157,'GDP Deflator'!$B$5:$B$89,0))/100)</f>
        <v>6.393923063009388</v>
      </c>
      <c r="G157" s="269">
        <f>'IEPR Gas Prices Real'!G157*(INDEX('GDP Deflator'!$C$5:$C$89,MATCH('IEPR Gas Prices Nominal'!$B157,'GDP Deflator'!$B$5:$B$89,0))/100)</f>
        <v>1.7740178598062744</v>
      </c>
      <c r="H157" s="270">
        <f>'IEPR Gas Prices Real'!H157*(INDEX('GDP Deflator'!$C$5:$C$89,MATCH('IEPR Gas Prices Nominal'!$B157,'GDP Deflator'!$B$5:$B$89,0))/100)</f>
        <v>8.1679409228156619</v>
      </c>
      <c r="I157" s="269">
        <f>'IEPR Gas Prices Real'!I157*(INDEX('GDP Deflator'!$C$5:$C$89,MATCH('IEPR Gas Prices Nominal'!$B157,'GDP Deflator'!$B$5:$B$89,0))/100)</f>
        <v>6.7140232452051656</v>
      </c>
      <c r="J157" s="269">
        <f>'IEPR Gas Prices Real'!J157*(INDEX('GDP Deflator'!$C$5:$C$89,MATCH('IEPR Gas Prices Nominal'!$B157,'GDP Deflator'!$B$5:$B$89,0))/100)</f>
        <v>2.9293325080503103</v>
      </c>
      <c r="K157" s="269">
        <f>'IEPR Gas Prices Real'!K157*(INDEX('GDP Deflator'!$C$5:$C$89,MATCH('IEPR Gas Prices Nominal'!$B157,'GDP Deflator'!$B$5:$B$89,0))/100)</f>
        <v>9.6433557532554754</v>
      </c>
      <c r="L157" s="268">
        <f>'IEPR Gas Prices Real'!L157*(INDEX('GDP Deflator'!$C$5:$C$89,MATCH('IEPR Gas Prices Nominal'!$B157,'GDP Deflator'!$B$5:$B$89,0))/100)</f>
        <v>6.9753092428019281</v>
      </c>
      <c r="M157" s="269">
        <f>'IEPR Gas Prices Real'!M157*(INDEX('GDP Deflator'!$C$5:$C$89,MATCH('IEPR Gas Prices Nominal'!$B157,'GDP Deflator'!$B$5:$B$89,0))/100)</f>
        <v>1.3833892499436711</v>
      </c>
      <c r="N157" s="270">
        <f>'IEPR Gas Prices Real'!N157*(INDEX('GDP Deflator'!$C$5:$C$89,MATCH('IEPR Gas Prices Nominal'!$B157,'GDP Deflator'!$B$5:$B$89,0))/100)</f>
        <v>8.3586984927455994</v>
      </c>
      <c r="O157" s="1"/>
      <c r="P157" s="274">
        <f t="shared" si="17"/>
        <v>6.6944185170054942</v>
      </c>
      <c r="Q157" s="275">
        <f t="shared" si="21"/>
        <v>8.7233317229389122</v>
      </c>
      <c r="R157" s="171"/>
    </row>
    <row r="158" spans="2:18">
      <c r="B158" s="94">
        <f t="shared" si="18"/>
        <v>2034</v>
      </c>
      <c r="C158" s="1">
        <f t="shared" si="19"/>
        <v>9</v>
      </c>
      <c r="D158" s="213">
        <v>49188</v>
      </c>
      <c r="E158" s="1" t="str">
        <f t="shared" si="20"/>
        <v>9-2034</v>
      </c>
      <c r="F158" s="268">
        <f>'IEPR Gas Prices Real'!F158*(INDEX('GDP Deflator'!$C$5:$C$89,MATCH('IEPR Gas Prices Nominal'!$B158,'GDP Deflator'!$B$5:$B$89,0))/100)</f>
        <v>6.4835807200476578</v>
      </c>
      <c r="G158" s="269">
        <f>'IEPR Gas Prices Real'!G158*(INDEX('GDP Deflator'!$C$5:$C$89,MATCH('IEPR Gas Prices Nominal'!$B158,'GDP Deflator'!$B$5:$B$89,0))/100)</f>
        <v>1.7740178598062744</v>
      </c>
      <c r="H158" s="270">
        <f>'IEPR Gas Prices Real'!H158*(INDEX('GDP Deflator'!$C$5:$C$89,MATCH('IEPR Gas Prices Nominal'!$B158,'GDP Deflator'!$B$5:$B$89,0))/100)</f>
        <v>8.2575985798539318</v>
      </c>
      <c r="I158" s="269">
        <f>'IEPR Gas Prices Real'!I158*(INDEX('GDP Deflator'!$C$5:$C$89,MATCH('IEPR Gas Prices Nominal'!$B158,'GDP Deflator'!$B$5:$B$89,0))/100)</f>
        <v>6.8081035929482656</v>
      </c>
      <c r="J158" s="269">
        <f>'IEPR Gas Prices Real'!J158*(INDEX('GDP Deflator'!$C$5:$C$89,MATCH('IEPR Gas Prices Nominal'!$B158,'GDP Deflator'!$B$5:$B$89,0))/100)</f>
        <v>2.9293325080503103</v>
      </c>
      <c r="K158" s="269">
        <f>'IEPR Gas Prices Real'!K158*(INDEX('GDP Deflator'!$C$5:$C$89,MATCH('IEPR Gas Prices Nominal'!$B158,'GDP Deflator'!$B$5:$B$89,0))/100)</f>
        <v>9.7374361009985755</v>
      </c>
      <c r="L158" s="268">
        <f>'IEPR Gas Prices Real'!L158*(INDEX('GDP Deflator'!$C$5:$C$89,MATCH('IEPR Gas Prices Nominal'!$B158,'GDP Deflator'!$B$5:$B$89,0))/100)</f>
        <v>7.0741382928409298</v>
      </c>
      <c r="M158" s="269">
        <f>'IEPR Gas Prices Real'!M158*(INDEX('GDP Deflator'!$C$5:$C$89,MATCH('IEPR Gas Prices Nominal'!$B158,'GDP Deflator'!$B$5:$B$89,0))/100)</f>
        <v>1.3833892499436711</v>
      </c>
      <c r="N158" s="270">
        <f>'IEPR Gas Prices Real'!N158*(INDEX('GDP Deflator'!$C$5:$C$89,MATCH('IEPR Gas Prices Nominal'!$B158,'GDP Deflator'!$B$5:$B$89,0))/100)</f>
        <v>8.4575275427846002</v>
      </c>
      <c r="O158" s="1"/>
      <c r="P158" s="274">
        <f t="shared" si="17"/>
        <v>6.7886075352789517</v>
      </c>
      <c r="Q158" s="275">
        <f t="shared" si="21"/>
        <v>8.817520741212368</v>
      </c>
      <c r="R158" s="171"/>
    </row>
    <row r="159" spans="2:18">
      <c r="B159" s="94">
        <f t="shared" si="18"/>
        <v>2034</v>
      </c>
      <c r="C159" s="1">
        <f t="shared" si="19"/>
        <v>10</v>
      </c>
      <c r="D159" s="213">
        <v>49218</v>
      </c>
      <c r="E159" s="1" t="str">
        <f t="shared" si="20"/>
        <v>10-2034</v>
      </c>
      <c r="F159" s="268">
        <f>'IEPR Gas Prices Real'!F159*(INDEX('GDP Deflator'!$C$5:$C$89,MATCH('IEPR Gas Prices Nominal'!$B159,'GDP Deflator'!$B$5:$B$89,0))/100)</f>
        <v>6.4459421678301156</v>
      </c>
      <c r="G159" s="269">
        <f>'IEPR Gas Prices Real'!G159*(INDEX('GDP Deflator'!$C$5:$C$89,MATCH('IEPR Gas Prices Nominal'!$B159,'GDP Deflator'!$B$5:$B$89,0))/100)</f>
        <v>1.7740178598062744</v>
      </c>
      <c r="H159" s="270">
        <f>'IEPR Gas Prices Real'!H159*(INDEX('GDP Deflator'!$C$5:$C$89,MATCH('IEPR Gas Prices Nominal'!$B159,'GDP Deflator'!$B$5:$B$89,0))/100)</f>
        <v>8.2199600276363896</v>
      </c>
      <c r="I159" s="269">
        <f>'IEPR Gas Prices Real'!I159*(INDEX('GDP Deflator'!$C$5:$C$89,MATCH('IEPR Gas Prices Nominal'!$B159,'GDP Deflator'!$B$5:$B$89,0))/100)</f>
        <v>6.7685156307182721</v>
      </c>
      <c r="J159" s="269">
        <f>'IEPR Gas Prices Real'!J159*(INDEX('GDP Deflator'!$C$5:$C$89,MATCH('IEPR Gas Prices Nominal'!$B159,'GDP Deflator'!$B$5:$B$89,0))/100)</f>
        <v>2.9293325080503103</v>
      </c>
      <c r="K159" s="269">
        <f>'IEPR Gas Prices Real'!K159*(INDEX('GDP Deflator'!$C$5:$C$89,MATCH('IEPR Gas Prices Nominal'!$B159,'GDP Deflator'!$B$5:$B$89,0))/100)</f>
        <v>9.6978481387685829</v>
      </c>
      <c r="L159" s="268">
        <f>'IEPR Gas Prices Real'!L159*(INDEX('GDP Deflator'!$C$5:$C$89,MATCH('IEPR Gas Prices Nominal'!$B159,'GDP Deflator'!$B$5:$B$89,0))/100)</f>
        <v>7.0340846936342833</v>
      </c>
      <c r="M159" s="269">
        <f>'IEPR Gas Prices Real'!M159*(INDEX('GDP Deflator'!$C$5:$C$89,MATCH('IEPR Gas Prices Nominal'!$B159,'GDP Deflator'!$B$5:$B$89,0))/100)</f>
        <v>1.3833892499436711</v>
      </c>
      <c r="N159" s="270">
        <f>'IEPR Gas Prices Real'!N159*(INDEX('GDP Deflator'!$C$5:$C$89,MATCH('IEPR Gas Prices Nominal'!$B159,'GDP Deflator'!$B$5:$B$89,0))/100)</f>
        <v>8.4174739435779529</v>
      </c>
      <c r="O159" s="1"/>
      <c r="P159" s="274">
        <f t="shared" si="17"/>
        <v>6.7495141640608907</v>
      </c>
      <c r="Q159" s="275">
        <f t="shared" si="21"/>
        <v>8.7784273699943096</v>
      </c>
      <c r="R159" s="171"/>
    </row>
    <row r="160" spans="2:18">
      <c r="B160" s="94">
        <f t="shared" si="18"/>
        <v>2034</v>
      </c>
      <c r="C160" s="1">
        <f t="shared" si="19"/>
        <v>11</v>
      </c>
      <c r="D160" s="213">
        <v>49249</v>
      </c>
      <c r="E160" s="1" t="str">
        <f t="shared" si="20"/>
        <v>11-2034</v>
      </c>
      <c r="F160" s="268">
        <f>'IEPR Gas Prices Real'!F160*(INDEX('GDP Deflator'!$C$5:$C$89,MATCH('IEPR Gas Prices Nominal'!$B160,'GDP Deflator'!$B$5:$B$89,0))/100)</f>
        <v>6.7642541584101981</v>
      </c>
      <c r="G160" s="269">
        <f>'IEPR Gas Prices Real'!G160*(INDEX('GDP Deflator'!$C$5:$C$89,MATCH('IEPR Gas Prices Nominal'!$B160,'GDP Deflator'!$B$5:$B$89,0))/100)</f>
        <v>1.7740178598062744</v>
      </c>
      <c r="H160" s="270">
        <f>'IEPR Gas Prices Real'!H160*(INDEX('GDP Deflator'!$C$5:$C$89,MATCH('IEPR Gas Prices Nominal'!$B160,'GDP Deflator'!$B$5:$B$89,0))/100)</f>
        <v>8.5382720182164711</v>
      </c>
      <c r="I160" s="269">
        <f>'IEPR Gas Prices Real'!I160*(INDEX('GDP Deflator'!$C$5:$C$89,MATCH('IEPR Gas Prices Nominal'!$B160,'GDP Deflator'!$B$5:$B$89,0))/100)</f>
        <v>7.1026881358609515</v>
      </c>
      <c r="J160" s="269">
        <f>'IEPR Gas Prices Real'!J160*(INDEX('GDP Deflator'!$C$5:$C$89,MATCH('IEPR Gas Prices Nominal'!$B160,'GDP Deflator'!$B$5:$B$89,0))/100)</f>
        <v>2.9293325080503103</v>
      </c>
      <c r="K160" s="269">
        <f>'IEPR Gas Prices Real'!K160*(INDEX('GDP Deflator'!$C$5:$C$89,MATCH('IEPR Gas Prices Nominal'!$B160,'GDP Deflator'!$B$5:$B$89,0))/100)</f>
        <v>10.032020643911261</v>
      </c>
      <c r="L160" s="268">
        <f>'IEPR Gas Prices Real'!L160*(INDEX('GDP Deflator'!$C$5:$C$89,MATCH('IEPR Gas Prices Nominal'!$B160,'GDP Deflator'!$B$5:$B$89,0))/100)</f>
        <v>7.382503680431582</v>
      </c>
      <c r="M160" s="269">
        <f>'IEPR Gas Prices Real'!M160*(INDEX('GDP Deflator'!$C$5:$C$89,MATCH('IEPR Gas Prices Nominal'!$B160,'GDP Deflator'!$B$5:$B$89,0))/100)</f>
        <v>1.3833892499436711</v>
      </c>
      <c r="N160" s="270">
        <f>'IEPR Gas Prices Real'!N160*(INDEX('GDP Deflator'!$C$5:$C$89,MATCH('IEPR Gas Prices Nominal'!$B160,'GDP Deflator'!$B$5:$B$89,0))/100)</f>
        <v>8.7658929303752533</v>
      </c>
      <c r="O160" s="1"/>
      <c r="P160" s="274">
        <f t="shared" si="17"/>
        <v>7.0831486582342436</v>
      </c>
      <c r="Q160" s="275">
        <f t="shared" si="21"/>
        <v>9.1120618641676625</v>
      </c>
      <c r="R160" s="171"/>
    </row>
    <row r="161" spans="2:18">
      <c r="B161" s="94">
        <f t="shared" si="18"/>
        <v>2034</v>
      </c>
      <c r="C161" s="1">
        <f t="shared" si="19"/>
        <v>12</v>
      </c>
      <c r="D161" s="213">
        <v>49279</v>
      </c>
      <c r="E161" s="1" t="str">
        <f t="shared" si="20"/>
        <v>12-2034</v>
      </c>
      <c r="F161" s="268">
        <f>'IEPR Gas Prices Real'!F161*(INDEX('GDP Deflator'!$C$5:$C$89,MATCH('IEPR Gas Prices Nominal'!$B161,'GDP Deflator'!$B$5:$B$89,0))/100)</f>
        <v>6.8183693139394768</v>
      </c>
      <c r="G161" s="269">
        <f>'IEPR Gas Prices Real'!G161*(INDEX('GDP Deflator'!$C$5:$C$89,MATCH('IEPR Gas Prices Nominal'!$B161,'GDP Deflator'!$B$5:$B$89,0))/100)</f>
        <v>1.7740178598062744</v>
      </c>
      <c r="H161" s="270">
        <f>'IEPR Gas Prices Real'!H161*(INDEX('GDP Deflator'!$C$5:$C$89,MATCH('IEPR Gas Prices Nominal'!$B161,'GDP Deflator'!$B$5:$B$89,0))/100)</f>
        <v>8.5923871737457507</v>
      </c>
      <c r="I161" s="269">
        <f>'IEPR Gas Prices Real'!I161*(INDEX('GDP Deflator'!$C$5:$C$89,MATCH('IEPR Gas Prices Nominal'!$B161,'GDP Deflator'!$B$5:$B$89,0))/100)</f>
        <v>7.1594415259074831</v>
      </c>
      <c r="J161" s="269">
        <f>'IEPR Gas Prices Real'!J161*(INDEX('GDP Deflator'!$C$5:$C$89,MATCH('IEPR Gas Prices Nominal'!$B161,'GDP Deflator'!$B$5:$B$89,0))/100)</f>
        <v>2.9293325080503103</v>
      </c>
      <c r="K161" s="269">
        <f>'IEPR Gas Prices Real'!K161*(INDEX('GDP Deflator'!$C$5:$C$89,MATCH('IEPR Gas Prices Nominal'!$B161,'GDP Deflator'!$B$5:$B$89,0))/100)</f>
        <v>10.088774033957792</v>
      </c>
      <c r="L161" s="268">
        <f>'IEPR Gas Prices Real'!L161*(INDEX('GDP Deflator'!$C$5:$C$89,MATCH('IEPR Gas Prices Nominal'!$B161,'GDP Deflator'!$B$5:$B$89,0))/100)</f>
        <v>7.4426371057048515</v>
      </c>
      <c r="M161" s="269">
        <f>'IEPR Gas Prices Real'!M161*(INDEX('GDP Deflator'!$C$5:$C$89,MATCH('IEPR Gas Prices Nominal'!$B161,'GDP Deflator'!$B$5:$B$89,0))/100)</f>
        <v>1.3833892499436711</v>
      </c>
      <c r="N161" s="270">
        <f>'IEPR Gas Prices Real'!N161*(INDEX('GDP Deflator'!$C$5:$C$89,MATCH('IEPR Gas Prices Nominal'!$B161,'GDP Deflator'!$B$5:$B$89,0))/100)</f>
        <v>8.8260263556485228</v>
      </c>
      <c r="O161" s="1"/>
      <c r="P161" s="274">
        <f t="shared" si="17"/>
        <v>7.1401493151839368</v>
      </c>
      <c r="Q161" s="275">
        <f t="shared" si="21"/>
        <v>9.1690625211173558</v>
      </c>
      <c r="R161" s="171"/>
    </row>
    <row r="162" spans="2:18">
      <c r="B162" s="94">
        <f t="shared" si="18"/>
        <v>2035</v>
      </c>
      <c r="C162" s="1">
        <f t="shared" si="19"/>
        <v>1</v>
      </c>
      <c r="D162" s="213">
        <v>49310</v>
      </c>
      <c r="E162" s="1" t="str">
        <f t="shared" si="20"/>
        <v>1-2035</v>
      </c>
      <c r="F162" s="268">
        <f>'IEPR Gas Prices Real'!F162*(INDEX('GDP Deflator'!$C$5:$C$89,MATCH('IEPR Gas Prices Nominal'!$B162,'GDP Deflator'!$B$5:$B$89,0))/100)</f>
        <v>6.9675617618809786</v>
      </c>
      <c r="G162" s="269">
        <f>'IEPR Gas Prices Real'!G162*(INDEX('GDP Deflator'!$C$5:$C$89,MATCH('IEPR Gas Prices Nominal'!$B162,'GDP Deflator'!$B$5:$B$89,0))/100)</f>
        <v>1.8853479244291285</v>
      </c>
      <c r="H162" s="270">
        <f>'IEPR Gas Prices Real'!H162*(INDEX('GDP Deflator'!$C$5:$C$89,MATCH('IEPR Gas Prices Nominal'!$B162,'GDP Deflator'!$B$5:$B$89,0))/100)</f>
        <v>8.852909686310106</v>
      </c>
      <c r="I162" s="269">
        <f>'IEPR Gas Prices Real'!I162*(INDEX('GDP Deflator'!$C$5:$C$89,MATCH('IEPR Gas Prices Nominal'!$B162,'GDP Deflator'!$B$5:$B$89,0))/100)</f>
        <v>7.3159991107181348</v>
      </c>
      <c r="J162" s="269">
        <f>'IEPR Gas Prices Real'!J162*(INDEX('GDP Deflator'!$C$5:$C$89,MATCH('IEPR Gas Prices Nominal'!$B162,'GDP Deflator'!$B$5:$B$89,0))/100)</f>
        <v>3.1131653683681209</v>
      </c>
      <c r="K162" s="269">
        <f>'IEPR Gas Prices Real'!K162*(INDEX('GDP Deflator'!$C$5:$C$89,MATCH('IEPR Gas Prices Nominal'!$B162,'GDP Deflator'!$B$5:$B$89,0))/100)</f>
        <v>10.429164479086255</v>
      </c>
      <c r="L162" s="268">
        <f>'IEPR Gas Prices Real'!L162*(INDEX('GDP Deflator'!$C$5:$C$89,MATCH('IEPR Gas Prices Nominal'!$B162,'GDP Deflator'!$B$5:$B$89,0))/100)</f>
        <v>7.6054166442171152</v>
      </c>
      <c r="M162" s="269">
        <f>'IEPR Gas Prices Real'!M162*(INDEX('GDP Deflator'!$C$5:$C$89,MATCH('IEPR Gas Prices Nominal'!$B162,'GDP Deflator'!$B$5:$B$89,0))/100)</f>
        <v>1.4702050696060556</v>
      </c>
      <c r="N162" s="270">
        <f>'IEPR Gas Prices Real'!N162*(INDEX('GDP Deflator'!$C$5:$C$89,MATCH('IEPR Gas Prices Nominal'!$B162,'GDP Deflator'!$B$5:$B$89,0))/100)</f>
        <v>9.0756217138231712</v>
      </c>
      <c r="O162" s="1"/>
      <c r="P162" s="274">
        <f t="shared" si="17"/>
        <v>7.2963258389387429</v>
      </c>
      <c r="Q162" s="275">
        <f t="shared" si="21"/>
        <v>9.4525652930731763</v>
      </c>
      <c r="R162" s="171"/>
    </row>
    <row r="163" spans="2:18">
      <c r="B163" s="94">
        <f t="shared" si="18"/>
        <v>2035</v>
      </c>
      <c r="C163" s="1">
        <f t="shared" si="19"/>
        <v>2</v>
      </c>
      <c r="D163" s="213">
        <v>49341</v>
      </c>
      <c r="E163" s="1" t="str">
        <f t="shared" si="20"/>
        <v>2-2035</v>
      </c>
      <c r="F163" s="268">
        <f>'IEPR Gas Prices Real'!F163*(INDEX('GDP Deflator'!$C$5:$C$89,MATCH('IEPR Gas Prices Nominal'!$B163,'GDP Deflator'!$B$5:$B$89,0))/100)</f>
        <v>6.8144015351880869</v>
      </c>
      <c r="G163" s="269">
        <f>'IEPR Gas Prices Real'!G163*(INDEX('GDP Deflator'!$C$5:$C$89,MATCH('IEPR Gas Prices Nominal'!$B163,'GDP Deflator'!$B$5:$B$89,0))/100)</f>
        <v>1.8853479244291285</v>
      </c>
      <c r="H163" s="270">
        <f>'IEPR Gas Prices Real'!H163*(INDEX('GDP Deflator'!$C$5:$C$89,MATCH('IEPR Gas Prices Nominal'!$B163,'GDP Deflator'!$B$5:$B$89,0))/100)</f>
        <v>8.699749459617216</v>
      </c>
      <c r="I163" s="269">
        <f>'IEPR Gas Prices Real'!I163*(INDEX('GDP Deflator'!$C$5:$C$89,MATCH('IEPR Gas Prices Nominal'!$B163,'GDP Deflator'!$B$5:$B$89,0))/100)</f>
        <v>7.1550838522037967</v>
      </c>
      <c r="J163" s="269">
        <f>'IEPR Gas Prices Real'!J163*(INDEX('GDP Deflator'!$C$5:$C$89,MATCH('IEPR Gas Prices Nominal'!$B163,'GDP Deflator'!$B$5:$B$89,0))/100)</f>
        <v>3.1131653683681209</v>
      </c>
      <c r="K163" s="269">
        <f>'IEPR Gas Prices Real'!K163*(INDEX('GDP Deflator'!$C$5:$C$89,MATCH('IEPR Gas Prices Nominal'!$B163,'GDP Deflator'!$B$5:$B$89,0))/100)</f>
        <v>10.268249220571917</v>
      </c>
      <c r="L163" s="268">
        <f>'IEPR Gas Prices Real'!L163*(INDEX('GDP Deflator'!$C$5:$C$89,MATCH('IEPR Gas Prices Nominal'!$B163,'GDP Deflator'!$B$5:$B$89,0))/100)</f>
        <v>7.4381642499453022</v>
      </c>
      <c r="M163" s="269">
        <f>'IEPR Gas Prices Real'!M163*(INDEX('GDP Deflator'!$C$5:$C$89,MATCH('IEPR Gas Prices Nominal'!$B163,'GDP Deflator'!$B$5:$B$89,0))/100)</f>
        <v>1.4702050696060556</v>
      </c>
      <c r="N163" s="270">
        <f>'IEPR Gas Prices Real'!N163*(INDEX('GDP Deflator'!$C$5:$C$89,MATCH('IEPR Gas Prices Nominal'!$B163,'GDP Deflator'!$B$5:$B$89,0))/100)</f>
        <v>8.9083693195513582</v>
      </c>
      <c r="O163" s="1"/>
      <c r="P163" s="274">
        <f t="shared" si="17"/>
        <v>7.1358832124457292</v>
      </c>
      <c r="Q163" s="275">
        <f t="shared" si="21"/>
        <v>9.2921226665801644</v>
      </c>
      <c r="R163" s="171"/>
    </row>
    <row r="164" spans="2:18">
      <c r="B164" s="94">
        <f t="shared" si="18"/>
        <v>2035</v>
      </c>
      <c r="C164" s="1">
        <f t="shared" si="19"/>
        <v>3</v>
      </c>
      <c r="D164" s="213">
        <v>49369</v>
      </c>
      <c r="E164" s="1" t="str">
        <f t="shared" si="20"/>
        <v>3-2035</v>
      </c>
      <c r="F164" s="268">
        <f>'IEPR Gas Prices Real'!F164*(INDEX('GDP Deflator'!$C$5:$C$89,MATCH('IEPR Gas Prices Nominal'!$B164,'GDP Deflator'!$B$5:$B$89,0))/100)</f>
        <v>6.2552746779559385</v>
      </c>
      <c r="G164" s="269">
        <f>'IEPR Gas Prices Real'!G164*(INDEX('GDP Deflator'!$C$5:$C$89,MATCH('IEPR Gas Prices Nominal'!$B164,'GDP Deflator'!$B$5:$B$89,0))/100)</f>
        <v>1.8853479244291285</v>
      </c>
      <c r="H164" s="270">
        <f>'IEPR Gas Prices Real'!H164*(INDEX('GDP Deflator'!$C$5:$C$89,MATCH('IEPR Gas Prices Nominal'!$B164,'GDP Deflator'!$B$5:$B$89,0))/100)</f>
        <v>8.1406226023850667</v>
      </c>
      <c r="I164" s="269">
        <f>'IEPR Gas Prices Real'!I164*(INDEX('GDP Deflator'!$C$5:$C$89,MATCH('IEPR Gas Prices Nominal'!$B164,'GDP Deflator'!$B$5:$B$89,0))/100)</f>
        <v>6.5679158686846755</v>
      </c>
      <c r="J164" s="269">
        <f>'IEPR Gas Prices Real'!J164*(INDEX('GDP Deflator'!$C$5:$C$89,MATCH('IEPR Gas Prices Nominal'!$B164,'GDP Deflator'!$B$5:$B$89,0))/100)</f>
        <v>3.1131653683681209</v>
      </c>
      <c r="K164" s="269">
        <f>'IEPR Gas Prices Real'!K164*(INDEX('GDP Deflator'!$C$5:$C$89,MATCH('IEPR Gas Prices Nominal'!$B164,'GDP Deflator'!$B$5:$B$89,0))/100)</f>
        <v>9.6810812370527977</v>
      </c>
      <c r="L164" s="268">
        <f>'IEPR Gas Prices Real'!L164*(INDEX('GDP Deflator'!$C$5:$C$89,MATCH('IEPR Gas Prices Nominal'!$B164,'GDP Deflator'!$B$5:$B$89,0))/100)</f>
        <v>6.8277920828393555</v>
      </c>
      <c r="M164" s="269">
        <f>'IEPR Gas Prices Real'!M164*(INDEX('GDP Deflator'!$C$5:$C$89,MATCH('IEPR Gas Prices Nominal'!$B164,'GDP Deflator'!$B$5:$B$89,0))/100)</f>
        <v>1.4702050696060556</v>
      </c>
      <c r="N164" s="270">
        <f>'IEPR Gas Prices Real'!N164*(INDEX('GDP Deflator'!$C$5:$C$89,MATCH('IEPR Gas Prices Nominal'!$B164,'GDP Deflator'!$B$5:$B$89,0))/100)</f>
        <v>8.2979971524454097</v>
      </c>
      <c r="O164" s="1"/>
      <c r="P164" s="274">
        <f t="shared" si="17"/>
        <v>6.5503275431599901</v>
      </c>
      <c r="Q164" s="275">
        <f t="shared" si="21"/>
        <v>8.7065669972944253</v>
      </c>
      <c r="R164" s="171"/>
    </row>
    <row r="165" spans="2:18">
      <c r="B165" s="94">
        <f t="shared" si="18"/>
        <v>2035</v>
      </c>
      <c r="C165" s="1">
        <f t="shared" si="19"/>
        <v>4</v>
      </c>
      <c r="D165" s="213">
        <v>49400</v>
      </c>
      <c r="E165" s="1" t="str">
        <f t="shared" si="20"/>
        <v>4-2035</v>
      </c>
      <c r="F165" s="268">
        <f>'IEPR Gas Prices Real'!F165*(INDEX('GDP Deflator'!$C$5:$C$89,MATCH('IEPR Gas Prices Nominal'!$B165,'GDP Deflator'!$B$5:$B$89,0))/100)</f>
        <v>6.1484803953980149</v>
      </c>
      <c r="G165" s="269">
        <f>'IEPR Gas Prices Real'!G165*(INDEX('GDP Deflator'!$C$5:$C$89,MATCH('IEPR Gas Prices Nominal'!$B165,'GDP Deflator'!$B$5:$B$89,0))/100)</f>
        <v>1.8853479244291285</v>
      </c>
      <c r="H165" s="270">
        <f>'IEPR Gas Prices Real'!H165*(INDEX('GDP Deflator'!$C$5:$C$89,MATCH('IEPR Gas Prices Nominal'!$B165,'GDP Deflator'!$B$5:$B$89,0))/100)</f>
        <v>8.0338283198271423</v>
      </c>
      <c r="I165" s="269">
        <f>'IEPR Gas Prices Real'!I165*(INDEX('GDP Deflator'!$C$5:$C$89,MATCH('IEPR Gas Prices Nominal'!$B165,'GDP Deflator'!$B$5:$B$89,0))/100)</f>
        <v>6.4556975656281121</v>
      </c>
      <c r="J165" s="269">
        <f>'IEPR Gas Prices Real'!J165*(INDEX('GDP Deflator'!$C$5:$C$89,MATCH('IEPR Gas Prices Nominal'!$B165,'GDP Deflator'!$B$5:$B$89,0))/100)</f>
        <v>3.1131653683681209</v>
      </c>
      <c r="K165" s="269">
        <f>'IEPR Gas Prices Real'!K165*(INDEX('GDP Deflator'!$C$5:$C$89,MATCH('IEPR Gas Prices Nominal'!$B165,'GDP Deflator'!$B$5:$B$89,0))/100)</f>
        <v>9.5688629339962343</v>
      </c>
      <c r="L165" s="268">
        <f>'IEPR Gas Prices Real'!L165*(INDEX('GDP Deflator'!$C$5:$C$89,MATCH('IEPR Gas Prices Nominal'!$B165,'GDP Deflator'!$B$5:$B$89,0))/100)</f>
        <v>6.7111593922776143</v>
      </c>
      <c r="M165" s="269">
        <f>'IEPR Gas Prices Real'!M165*(INDEX('GDP Deflator'!$C$5:$C$89,MATCH('IEPR Gas Prices Nominal'!$B165,'GDP Deflator'!$B$5:$B$89,0))/100)</f>
        <v>1.4702050696060556</v>
      </c>
      <c r="N165" s="270">
        <f>'IEPR Gas Prices Real'!N165*(INDEX('GDP Deflator'!$C$5:$C$89,MATCH('IEPR Gas Prices Nominal'!$B165,'GDP Deflator'!$B$5:$B$89,0))/100)</f>
        <v>8.1813644618836694</v>
      </c>
      <c r="O165" s="1"/>
      <c r="P165" s="274">
        <f t="shared" si="17"/>
        <v>6.438445784434581</v>
      </c>
      <c r="Q165" s="275">
        <f t="shared" si="21"/>
        <v>8.5946852385690153</v>
      </c>
      <c r="R165" s="171"/>
    </row>
    <row r="166" spans="2:18">
      <c r="B166" s="94">
        <f t="shared" si="18"/>
        <v>2035</v>
      </c>
      <c r="C166" s="1">
        <f t="shared" si="19"/>
        <v>5</v>
      </c>
      <c r="D166" s="213">
        <v>49430</v>
      </c>
      <c r="E166" s="1" t="str">
        <f t="shared" si="20"/>
        <v>5-2035</v>
      </c>
      <c r="F166" s="268">
        <f>'IEPR Gas Prices Real'!F166*(INDEX('GDP Deflator'!$C$5:$C$89,MATCH('IEPR Gas Prices Nominal'!$B166,'GDP Deflator'!$B$5:$B$89,0))/100)</f>
        <v>6.3620952048171304</v>
      </c>
      <c r="G166" s="269">
        <f>'IEPR Gas Prices Real'!G166*(INDEX('GDP Deflator'!$C$5:$C$89,MATCH('IEPR Gas Prices Nominal'!$B166,'GDP Deflator'!$B$5:$B$89,0))/100)</f>
        <v>1.8853479244291285</v>
      </c>
      <c r="H166" s="270">
        <f>'IEPR Gas Prices Real'!H166*(INDEX('GDP Deflator'!$C$5:$C$89,MATCH('IEPR Gas Prices Nominal'!$B166,'GDP Deflator'!$B$5:$B$89,0))/100)</f>
        <v>8.2474431292462587</v>
      </c>
      <c r="I166" s="269">
        <f>'IEPR Gas Prices Real'!I166*(INDEX('GDP Deflator'!$C$5:$C$89,MATCH('IEPR Gas Prices Nominal'!$B166,'GDP Deflator'!$B$5:$B$89,0))/100)</f>
        <v>6.6798965109297468</v>
      </c>
      <c r="J166" s="269">
        <f>'IEPR Gas Prices Real'!J166*(INDEX('GDP Deflator'!$C$5:$C$89,MATCH('IEPR Gas Prices Nominal'!$B166,'GDP Deflator'!$B$5:$B$89,0))/100)</f>
        <v>3.1131653683681209</v>
      </c>
      <c r="K166" s="269">
        <f>'IEPR Gas Prices Real'!K166*(INDEX('GDP Deflator'!$C$5:$C$89,MATCH('IEPR Gas Prices Nominal'!$B166,'GDP Deflator'!$B$5:$B$89,0))/100)</f>
        <v>9.7930618792978681</v>
      </c>
      <c r="L166" s="268">
        <f>'IEPR Gas Prices Real'!L166*(INDEX('GDP Deflator'!$C$5:$C$89,MATCH('IEPR Gas Prices Nominal'!$B166,'GDP Deflator'!$B$5:$B$89,0))/100)</f>
        <v>6.944256948953381</v>
      </c>
      <c r="M166" s="269">
        <f>'IEPR Gas Prices Real'!M166*(INDEX('GDP Deflator'!$C$5:$C$89,MATCH('IEPR Gas Prices Nominal'!$B166,'GDP Deflator'!$B$5:$B$89,0))/100)</f>
        <v>1.4702050696060556</v>
      </c>
      <c r="N166" s="270">
        <f>'IEPR Gas Prices Real'!N166*(INDEX('GDP Deflator'!$C$5:$C$89,MATCH('IEPR Gas Prices Nominal'!$B166,'GDP Deflator'!$B$5:$B$89,0))/100)</f>
        <v>8.414462018559437</v>
      </c>
      <c r="O166" s="1"/>
      <c r="P166" s="274">
        <f t="shared" si="17"/>
        <v>6.66208288823342</v>
      </c>
      <c r="Q166" s="275">
        <f t="shared" si="21"/>
        <v>8.8183223423678552</v>
      </c>
      <c r="R166" s="171"/>
    </row>
    <row r="167" spans="2:18">
      <c r="B167" s="94">
        <f t="shared" si="18"/>
        <v>2035</v>
      </c>
      <c r="C167" s="1">
        <f t="shared" si="19"/>
        <v>6</v>
      </c>
      <c r="D167" s="213">
        <v>49461</v>
      </c>
      <c r="E167" s="1" t="str">
        <f t="shared" si="20"/>
        <v>6-2035</v>
      </c>
      <c r="F167" s="268">
        <f>'IEPR Gas Prices Real'!F167*(INDEX('GDP Deflator'!$C$5:$C$89,MATCH('IEPR Gas Prices Nominal'!$B167,'GDP Deflator'!$B$5:$B$89,0))/100)</f>
        <v>6.5261893025136102</v>
      </c>
      <c r="G167" s="269">
        <f>'IEPR Gas Prices Real'!G167*(INDEX('GDP Deflator'!$C$5:$C$89,MATCH('IEPR Gas Prices Nominal'!$B167,'GDP Deflator'!$B$5:$B$89,0))/100)</f>
        <v>1.8853479244291285</v>
      </c>
      <c r="H167" s="270">
        <f>'IEPR Gas Prices Real'!H167*(INDEX('GDP Deflator'!$C$5:$C$89,MATCH('IEPR Gas Prices Nominal'!$B167,'GDP Deflator'!$B$5:$B$89,0))/100)</f>
        <v>8.4115372269427375</v>
      </c>
      <c r="I167" s="269">
        <f>'IEPR Gas Prices Real'!I167*(INDEX('GDP Deflator'!$C$5:$C$89,MATCH('IEPR Gas Prices Nominal'!$B167,'GDP Deflator'!$B$5:$B$89,0))/100)</f>
        <v>6.8520957439781478</v>
      </c>
      <c r="J167" s="269">
        <f>'IEPR Gas Prices Real'!J167*(INDEX('GDP Deflator'!$C$5:$C$89,MATCH('IEPR Gas Prices Nominal'!$B167,'GDP Deflator'!$B$5:$B$89,0))/100)</f>
        <v>3.1131653683681209</v>
      </c>
      <c r="K167" s="269">
        <f>'IEPR Gas Prices Real'!K167*(INDEX('GDP Deflator'!$C$5:$C$89,MATCH('IEPR Gas Prices Nominal'!$B167,'GDP Deflator'!$B$5:$B$89,0))/100)</f>
        <v>9.9652611123462673</v>
      </c>
      <c r="L167" s="268">
        <f>'IEPR Gas Prices Real'!L167*(INDEX('GDP Deflator'!$C$5:$C$89,MATCH('IEPR Gas Prices Nominal'!$B167,'GDP Deflator'!$B$5:$B$89,0))/100)</f>
        <v>7.1232984688535623</v>
      </c>
      <c r="M167" s="269">
        <f>'IEPR Gas Prices Real'!M167*(INDEX('GDP Deflator'!$C$5:$C$89,MATCH('IEPR Gas Prices Nominal'!$B167,'GDP Deflator'!$B$5:$B$89,0))/100)</f>
        <v>1.4702050696060556</v>
      </c>
      <c r="N167" s="270">
        <f>'IEPR Gas Prices Real'!N167*(INDEX('GDP Deflator'!$C$5:$C$89,MATCH('IEPR Gas Prices Nominal'!$B167,'GDP Deflator'!$B$5:$B$89,0))/100)</f>
        <v>8.5935035384596183</v>
      </c>
      <c r="O167" s="1"/>
      <c r="P167" s="274">
        <f t="shared" si="17"/>
        <v>6.8338611717817734</v>
      </c>
      <c r="Q167" s="275">
        <f t="shared" si="21"/>
        <v>8.9901006259162077</v>
      </c>
      <c r="R167" s="171"/>
    </row>
    <row r="168" spans="2:18">
      <c r="B168" s="94">
        <f t="shared" si="18"/>
        <v>2035</v>
      </c>
      <c r="C168" s="1">
        <f t="shared" si="19"/>
        <v>7</v>
      </c>
      <c r="D168" s="213">
        <v>49491</v>
      </c>
      <c r="E168" s="1" t="str">
        <f t="shared" si="20"/>
        <v>7-2035</v>
      </c>
      <c r="F168" s="268">
        <f>'IEPR Gas Prices Real'!F168*(INDEX('GDP Deflator'!$C$5:$C$89,MATCH('IEPR Gas Prices Nominal'!$B168,'GDP Deflator'!$B$5:$B$89,0))/100)</f>
        <v>6.5775825107954216</v>
      </c>
      <c r="G168" s="269">
        <f>'IEPR Gas Prices Real'!G168*(INDEX('GDP Deflator'!$C$5:$C$89,MATCH('IEPR Gas Prices Nominal'!$B168,'GDP Deflator'!$B$5:$B$89,0))/100)</f>
        <v>1.8853479244291285</v>
      </c>
      <c r="H168" s="270">
        <f>'IEPR Gas Prices Real'!H168*(INDEX('GDP Deflator'!$C$5:$C$89,MATCH('IEPR Gas Prices Nominal'!$B168,'GDP Deflator'!$B$5:$B$89,0))/100)</f>
        <v>8.4629304352245498</v>
      </c>
      <c r="I168" s="269">
        <f>'IEPR Gas Prices Real'!I168*(INDEX('GDP Deflator'!$C$5:$C$89,MATCH('IEPR Gas Prices Nominal'!$B168,'GDP Deflator'!$B$5:$B$89,0))/100)</f>
        <v>6.9059629552610531</v>
      </c>
      <c r="J168" s="269">
        <f>'IEPR Gas Prices Real'!J168*(INDEX('GDP Deflator'!$C$5:$C$89,MATCH('IEPR Gas Prices Nominal'!$B168,'GDP Deflator'!$B$5:$B$89,0))/100)</f>
        <v>3.1131653683681209</v>
      </c>
      <c r="K168" s="269">
        <f>'IEPR Gas Prices Real'!K168*(INDEX('GDP Deflator'!$C$5:$C$89,MATCH('IEPR Gas Prices Nominal'!$B168,'GDP Deflator'!$B$5:$B$89,0))/100)</f>
        <v>10.019128323629173</v>
      </c>
      <c r="L168" s="268">
        <f>'IEPR Gas Prices Real'!L168*(INDEX('GDP Deflator'!$C$5:$C$89,MATCH('IEPR Gas Prices Nominal'!$B168,'GDP Deflator'!$B$5:$B$89,0))/100)</f>
        <v>7.1793253518677016</v>
      </c>
      <c r="M168" s="269">
        <f>'IEPR Gas Prices Real'!M168*(INDEX('GDP Deflator'!$C$5:$C$89,MATCH('IEPR Gas Prices Nominal'!$B168,'GDP Deflator'!$B$5:$B$89,0))/100)</f>
        <v>1.4702050696060556</v>
      </c>
      <c r="N168" s="270">
        <f>'IEPR Gas Prices Real'!N168*(INDEX('GDP Deflator'!$C$5:$C$89,MATCH('IEPR Gas Prices Nominal'!$B168,'GDP Deflator'!$B$5:$B$89,0))/100)</f>
        <v>8.6495304214737576</v>
      </c>
      <c r="O168" s="1"/>
      <c r="P168" s="274">
        <f t="shared" si="17"/>
        <v>6.8876236059747251</v>
      </c>
      <c r="Q168" s="275">
        <f t="shared" si="21"/>
        <v>9.0438630601091603</v>
      </c>
      <c r="R168" s="171"/>
    </row>
    <row r="169" spans="2:18">
      <c r="B169" s="94">
        <f t="shared" si="18"/>
        <v>2035</v>
      </c>
      <c r="C169" s="1">
        <f t="shared" si="19"/>
        <v>8</v>
      </c>
      <c r="D169" s="213">
        <v>49522</v>
      </c>
      <c r="E169" s="1" t="str">
        <f t="shared" si="20"/>
        <v>8-2035</v>
      </c>
      <c r="F169" s="268">
        <f>'IEPR Gas Prices Real'!F169*(INDEX('GDP Deflator'!$C$5:$C$89,MATCH('IEPR Gas Prices Nominal'!$B169,'GDP Deflator'!$B$5:$B$89,0))/100)</f>
        <v>6.5263978023613332</v>
      </c>
      <c r="G169" s="269">
        <f>'IEPR Gas Prices Real'!G169*(INDEX('GDP Deflator'!$C$5:$C$89,MATCH('IEPR Gas Prices Nominal'!$B169,'GDP Deflator'!$B$5:$B$89,0))/100)</f>
        <v>1.8853479244291285</v>
      </c>
      <c r="H169" s="270">
        <f>'IEPR Gas Prices Real'!H169*(INDEX('GDP Deflator'!$C$5:$C$89,MATCH('IEPR Gas Prices Nominal'!$B169,'GDP Deflator'!$B$5:$B$89,0))/100)</f>
        <v>8.4117457267904623</v>
      </c>
      <c r="I169" s="269">
        <f>'IEPR Gas Prices Real'!I169*(INDEX('GDP Deflator'!$C$5:$C$89,MATCH('IEPR Gas Prices Nominal'!$B169,'GDP Deflator'!$B$5:$B$89,0))/100)</f>
        <v>6.8521311097050868</v>
      </c>
      <c r="J169" s="269">
        <f>'IEPR Gas Prices Real'!J169*(INDEX('GDP Deflator'!$C$5:$C$89,MATCH('IEPR Gas Prices Nominal'!$B169,'GDP Deflator'!$B$5:$B$89,0))/100)</f>
        <v>3.1131653683681209</v>
      </c>
      <c r="K169" s="269">
        <f>'IEPR Gas Prices Real'!K169*(INDEX('GDP Deflator'!$C$5:$C$89,MATCH('IEPR Gas Prices Nominal'!$B169,'GDP Deflator'!$B$5:$B$89,0))/100)</f>
        <v>9.9652964780732081</v>
      </c>
      <c r="L169" s="268">
        <f>'IEPR Gas Prices Real'!L169*(INDEX('GDP Deflator'!$C$5:$C$89,MATCH('IEPR Gas Prices Nominal'!$B169,'GDP Deflator'!$B$5:$B$89,0))/100)</f>
        <v>7.1233900754725576</v>
      </c>
      <c r="M169" s="269">
        <f>'IEPR Gas Prices Real'!M169*(INDEX('GDP Deflator'!$C$5:$C$89,MATCH('IEPR Gas Prices Nominal'!$B169,'GDP Deflator'!$B$5:$B$89,0))/100)</f>
        <v>1.4702050696060556</v>
      </c>
      <c r="N169" s="270">
        <f>'IEPR Gas Prices Real'!N169*(INDEX('GDP Deflator'!$C$5:$C$89,MATCH('IEPR Gas Prices Nominal'!$B169,'GDP Deflator'!$B$5:$B$89,0))/100)</f>
        <v>8.5935951450786146</v>
      </c>
      <c r="O169" s="1"/>
      <c r="P169" s="274">
        <f t="shared" si="17"/>
        <v>6.8339729958463264</v>
      </c>
      <c r="Q169" s="275">
        <f t="shared" si="21"/>
        <v>8.9902124499807616</v>
      </c>
      <c r="R169" s="171"/>
    </row>
    <row r="170" spans="2:18">
      <c r="B170" s="94">
        <f t="shared" si="18"/>
        <v>2035</v>
      </c>
      <c r="C170" s="1">
        <f t="shared" si="19"/>
        <v>9</v>
      </c>
      <c r="D170" s="213">
        <v>49553</v>
      </c>
      <c r="E170" s="1" t="str">
        <f t="shared" si="20"/>
        <v>9-2035</v>
      </c>
      <c r="F170" s="268">
        <f>'IEPR Gas Prices Real'!F170*(INDEX('GDP Deflator'!$C$5:$C$89,MATCH('IEPR Gas Prices Nominal'!$B170,'GDP Deflator'!$B$5:$B$89,0))/100)</f>
        <v>6.6178130946112308</v>
      </c>
      <c r="G170" s="269">
        <f>'IEPR Gas Prices Real'!G170*(INDEX('GDP Deflator'!$C$5:$C$89,MATCH('IEPR Gas Prices Nominal'!$B170,'GDP Deflator'!$B$5:$B$89,0))/100)</f>
        <v>1.8853479244291285</v>
      </c>
      <c r="H170" s="270">
        <f>'IEPR Gas Prices Real'!H170*(INDEX('GDP Deflator'!$C$5:$C$89,MATCH('IEPR Gas Prices Nominal'!$B170,'GDP Deflator'!$B$5:$B$89,0))/100)</f>
        <v>8.503161019040359</v>
      </c>
      <c r="I170" s="269">
        <f>'IEPR Gas Prices Real'!I170*(INDEX('GDP Deflator'!$C$5:$C$89,MATCH('IEPR Gas Prices Nominal'!$B170,'GDP Deflator'!$B$5:$B$89,0))/100)</f>
        <v>6.9480158638340077</v>
      </c>
      <c r="J170" s="269">
        <f>'IEPR Gas Prices Real'!J170*(INDEX('GDP Deflator'!$C$5:$C$89,MATCH('IEPR Gas Prices Nominal'!$B170,'GDP Deflator'!$B$5:$B$89,0))/100)</f>
        <v>3.1131653683681209</v>
      </c>
      <c r="K170" s="269">
        <f>'IEPR Gas Prices Real'!K170*(INDEX('GDP Deflator'!$C$5:$C$89,MATCH('IEPR Gas Prices Nominal'!$B170,'GDP Deflator'!$B$5:$B$89,0))/100)</f>
        <v>10.061181232202129</v>
      </c>
      <c r="L170" s="268">
        <f>'IEPR Gas Prices Real'!L170*(INDEX('GDP Deflator'!$C$5:$C$89,MATCH('IEPR Gas Prices Nominal'!$B170,'GDP Deflator'!$B$5:$B$89,0))/100)</f>
        <v>7.2230984841823371</v>
      </c>
      <c r="M170" s="269">
        <f>'IEPR Gas Prices Real'!M170*(INDEX('GDP Deflator'!$C$5:$C$89,MATCH('IEPR Gas Prices Nominal'!$B170,'GDP Deflator'!$B$5:$B$89,0))/100)</f>
        <v>1.4702050696060556</v>
      </c>
      <c r="N170" s="270">
        <f>'IEPR Gas Prices Real'!N170*(INDEX('GDP Deflator'!$C$5:$C$89,MATCH('IEPR Gas Prices Nominal'!$B170,'GDP Deflator'!$B$5:$B$89,0))/100)</f>
        <v>8.6933035537883931</v>
      </c>
      <c r="O170" s="1"/>
      <c r="P170" s="274">
        <f t="shared" si="17"/>
        <v>6.9296424808758585</v>
      </c>
      <c r="Q170" s="275">
        <f t="shared" si="21"/>
        <v>9.0858819350102937</v>
      </c>
      <c r="R170" s="171"/>
    </row>
    <row r="171" spans="2:18">
      <c r="B171" s="94">
        <f t="shared" si="18"/>
        <v>2035</v>
      </c>
      <c r="C171" s="1">
        <f t="shared" si="19"/>
        <v>10</v>
      </c>
      <c r="D171" s="213">
        <v>49583</v>
      </c>
      <c r="E171" s="1" t="str">
        <f t="shared" si="20"/>
        <v>10-2035</v>
      </c>
      <c r="F171" s="268">
        <f>'IEPR Gas Prices Real'!F171*(INDEX('GDP Deflator'!$C$5:$C$89,MATCH('IEPR Gas Prices Nominal'!$B171,'GDP Deflator'!$B$5:$B$89,0))/100)</f>
        <v>6.5792958902371499</v>
      </c>
      <c r="G171" s="269">
        <f>'IEPR Gas Prices Real'!G171*(INDEX('GDP Deflator'!$C$5:$C$89,MATCH('IEPR Gas Prices Nominal'!$B171,'GDP Deflator'!$B$5:$B$89,0))/100)</f>
        <v>1.8853479244291285</v>
      </c>
      <c r="H171" s="270">
        <f>'IEPR Gas Prices Real'!H171*(INDEX('GDP Deflator'!$C$5:$C$89,MATCH('IEPR Gas Prices Nominal'!$B171,'GDP Deflator'!$B$5:$B$89,0))/100)</f>
        <v>8.4646438146662781</v>
      </c>
      <c r="I171" s="269">
        <f>'IEPR Gas Prices Real'!I171*(INDEX('GDP Deflator'!$C$5:$C$89,MATCH('IEPR Gas Prices Nominal'!$B171,'GDP Deflator'!$B$5:$B$89,0))/100)</f>
        <v>6.9074842397280261</v>
      </c>
      <c r="J171" s="269">
        <f>'IEPR Gas Prices Real'!J171*(INDEX('GDP Deflator'!$C$5:$C$89,MATCH('IEPR Gas Prices Nominal'!$B171,'GDP Deflator'!$B$5:$B$89,0))/100)</f>
        <v>3.1131653683681209</v>
      </c>
      <c r="K171" s="269">
        <f>'IEPR Gas Prices Real'!K171*(INDEX('GDP Deflator'!$C$5:$C$89,MATCH('IEPR Gas Prices Nominal'!$B171,'GDP Deflator'!$B$5:$B$89,0))/100)</f>
        <v>10.020649608096146</v>
      </c>
      <c r="L171" s="268">
        <f>'IEPR Gas Prices Real'!L171*(INDEX('GDP Deflator'!$C$5:$C$89,MATCH('IEPR Gas Prices Nominal'!$B171,'GDP Deflator'!$B$5:$B$89,0))/100)</f>
        <v>7.1809898085540507</v>
      </c>
      <c r="M171" s="269">
        <f>'IEPR Gas Prices Real'!M171*(INDEX('GDP Deflator'!$C$5:$C$89,MATCH('IEPR Gas Prices Nominal'!$B171,'GDP Deflator'!$B$5:$B$89,0))/100)</f>
        <v>1.4702050696060556</v>
      </c>
      <c r="N171" s="270">
        <f>'IEPR Gas Prices Real'!N171*(INDEX('GDP Deflator'!$C$5:$C$89,MATCH('IEPR Gas Prices Nominal'!$B171,'GDP Deflator'!$B$5:$B$89,0))/100)</f>
        <v>8.6511948781601067</v>
      </c>
      <c r="O171" s="1"/>
      <c r="P171" s="274">
        <f t="shared" si="17"/>
        <v>6.8892566461730764</v>
      </c>
      <c r="Q171" s="275">
        <f t="shared" si="21"/>
        <v>9.0454961003075098</v>
      </c>
      <c r="R171" s="171"/>
    </row>
    <row r="172" spans="2:18">
      <c r="B172" s="94">
        <f t="shared" si="18"/>
        <v>2035</v>
      </c>
      <c r="C172" s="1">
        <f t="shared" si="19"/>
        <v>11</v>
      </c>
      <c r="D172" s="213">
        <v>49614</v>
      </c>
      <c r="E172" s="1" t="str">
        <f t="shared" si="20"/>
        <v>11-2035</v>
      </c>
      <c r="F172" s="268">
        <f>'IEPR Gas Prices Real'!F172*(INDEX('GDP Deflator'!$C$5:$C$89,MATCH('IEPR Gas Prices Nominal'!$B172,'GDP Deflator'!$B$5:$B$89,0))/100)</f>
        <v>6.9040887913611337</v>
      </c>
      <c r="G172" s="269">
        <f>'IEPR Gas Prices Real'!G172*(INDEX('GDP Deflator'!$C$5:$C$89,MATCH('IEPR Gas Prices Nominal'!$B172,'GDP Deflator'!$B$5:$B$89,0))/100)</f>
        <v>1.8853479244291285</v>
      </c>
      <c r="H172" s="270">
        <f>'IEPR Gas Prices Real'!H172*(INDEX('GDP Deflator'!$C$5:$C$89,MATCH('IEPR Gas Prices Nominal'!$B172,'GDP Deflator'!$B$5:$B$89,0))/100)</f>
        <v>8.7894367157902611</v>
      </c>
      <c r="I172" s="269">
        <f>'IEPR Gas Prices Real'!I172*(INDEX('GDP Deflator'!$C$5:$C$89,MATCH('IEPR Gas Prices Nominal'!$B172,'GDP Deflator'!$B$5:$B$89,0))/100)</f>
        <v>7.2483813039616471</v>
      </c>
      <c r="J172" s="269">
        <f>'IEPR Gas Prices Real'!J172*(INDEX('GDP Deflator'!$C$5:$C$89,MATCH('IEPR Gas Prices Nominal'!$B172,'GDP Deflator'!$B$5:$B$89,0))/100)</f>
        <v>3.1131653683681209</v>
      </c>
      <c r="K172" s="269">
        <f>'IEPR Gas Prices Real'!K172*(INDEX('GDP Deflator'!$C$5:$C$89,MATCH('IEPR Gas Prices Nominal'!$B172,'GDP Deflator'!$B$5:$B$89,0))/100)</f>
        <v>10.361546672329769</v>
      </c>
      <c r="L172" s="268">
        <f>'IEPR Gas Prices Real'!L172*(INDEX('GDP Deflator'!$C$5:$C$89,MATCH('IEPR Gas Prices Nominal'!$B172,'GDP Deflator'!$B$5:$B$89,0))/100)</f>
        <v>7.5354139054153171</v>
      </c>
      <c r="M172" s="269">
        <f>'IEPR Gas Prices Real'!M172*(INDEX('GDP Deflator'!$C$5:$C$89,MATCH('IEPR Gas Prices Nominal'!$B172,'GDP Deflator'!$B$5:$B$89,0))/100)</f>
        <v>1.4702050696060556</v>
      </c>
      <c r="N172" s="270">
        <f>'IEPR Gas Prices Real'!N172*(INDEX('GDP Deflator'!$C$5:$C$89,MATCH('IEPR Gas Prices Nominal'!$B172,'GDP Deflator'!$B$5:$B$89,0))/100)</f>
        <v>9.005618975021374</v>
      </c>
      <c r="O172" s="1"/>
      <c r="P172" s="274">
        <f t="shared" si="17"/>
        <v>7.2292946669126996</v>
      </c>
      <c r="Q172" s="275">
        <f t="shared" si="21"/>
        <v>9.3855341210471348</v>
      </c>
      <c r="R172" s="171"/>
    </row>
    <row r="173" spans="2:18">
      <c r="B173" s="94">
        <f t="shared" si="18"/>
        <v>2035</v>
      </c>
      <c r="C173" s="1">
        <f t="shared" si="19"/>
        <v>12</v>
      </c>
      <c r="D173" s="213">
        <v>49644</v>
      </c>
      <c r="E173" s="1" t="str">
        <f t="shared" si="20"/>
        <v>12-2035</v>
      </c>
      <c r="F173" s="268">
        <f>'IEPR Gas Prices Real'!F173*(INDEX('GDP Deflator'!$C$5:$C$89,MATCH('IEPR Gas Prices Nominal'!$B173,'GDP Deflator'!$B$5:$B$89,0))/100)</f>
        <v>6.9592174632382813</v>
      </c>
      <c r="G173" s="269">
        <f>'IEPR Gas Prices Real'!G173*(INDEX('GDP Deflator'!$C$5:$C$89,MATCH('IEPR Gas Prices Nominal'!$B173,'GDP Deflator'!$B$5:$B$89,0))/100)</f>
        <v>1.8853479244291285</v>
      </c>
      <c r="H173" s="270">
        <f>'IEPR Gas Prices Real'!H173*(INDEX('GDP Deflator'!$C$5:$C$89,MATCH('IEPR Gas Prices Nominal'!$B173,'GDP Deflator'!$B$5:$B$89,0))/100)</f>
        <v>8.8445653876674086</v>
      </c>
      <c r="I173" s="269">
        <f>'IEPR Gas Prices Real'!I173*(INDEX('GDP Deflator'!$C$5:$C$89,MATCH('IEPR Gas Prices Nominal'!$B173,'GDP Deflator'!$B$5:$B$89,0))/100)</f>
        <v>7.3061611804067965</v>
      </c>
      <c r="J173" s="269">
        <f>'IEPR Gas Prices Real'!J173*(INDEX('GDP Deflator'!$C$5:$C$89,MATCH('IEPR Gas Prices Nominal'!$B173,'GDP Deflator'!$B$5:$B$89,0))/100)</f>
        <v>3.1131653683681209</v>
      </c>
      <c r="K173" s="269">
        <f>'IEPR Gas Prices Real'!K173*(INDEX('GDP Deflator'!$C$5:$C$89,MATCH('IEPR Gas Prices Nominal'!$B173,'GDP Deflator'!$B$5:$B$89,0))/100)</f>
        <v>10.419326548774919</v>
      </c>
      <c r="L173" s="268">
        <f>'IEPR Gas Prices Real'!L173*(INDEX('GDP Deflator'!$C$5:$C$89,MATCH('IEPR Gas Prices Nominal'!$B173,'GDP Deflator'!$B$5:$B$89,0))/100)</f>
        <v>7.5955111059810161</v>
      </c>
      <c r="M173" s="269">
        <f>'IEPR Gas Prices Real'!M173*(INDEX('GDP Deflator'!$C$5:$C$89,MATCH('IEPR Gas Prices Nominal'!$B173,'GDP Deflator'!$B$5:$B$89,0))/100)</f>
        <v>1.4702050696060556</v>
      </c>
      <c r="N173" s="270">
        <f>'IEPR Gas Prices Real'!N173*(INDEX('GDP Deflator'!$C$5:$C$89,MATCH('IEPR Gas Prices Nominal'!$B173,'GDP Deflator'!$B$5:$B$89,0))/100)</f>
        <v>9.0657161755870721</v>
      </c>
      <c r="O173" s="1"/>
      <c r="P173" s="274">
        <f t="shared" si="17"/>
        <v>7.2869632498753658</v>
      </c>
      <c r="Q173" s="275">
        <f t="shared" si="21"/>
        <v>9.4432027040097992</v>
      </c>
      <c r="R173" s="171"/>
    </row>
    <row r="174" spans="2:18">
      <c r="B174" s="94">
        <f t="shared" si="18"/>
        <v>2036</v>
      </c>
      <c r="C174" s="1">
        <f t="shared" si="19"/>
        <v>1</v>
      </c>
      <c r="D174" s="213">
        <v>49675</v>
      </c>
      <c r="E174" s="1" t="str">
        <f t="shared" si="20"/>
        <v>1-2036</v>
      </c>
      <c r="F174" s="268">
        <f>'IEPR Gas Prices Real'!F174*(INDEX('GDP Deflator'!$C$5:$C$89,MATCH('IEPR Gas Prices Nominal'!$B174,'GDP Deflator'!$B$5:$B$89,0))/100)</f>
        <v>7.1129033877380765</v>
      </c>
      <c r="G174" s="269">
        <f>'IEPR Gas Prices Real'!G174*(INDEX('GDP Deflator'!$C$5:$C$89,MATCH('IEPR Gas Prices Nominal'!$B174,'GDP Deflator'!$B$5:$B$89,0))/100)</f>
        <v>2.0040542113407214</v>
      </c>
      <c r="H174" s="270">
        <f>'IEPR Gas Prices Real'!H174*(INDEX('GDP Deflator'!$C$5:$C$89,MATCH('IEPR Gas Prices Nominal'!$B174,'GDP Deflator'!$B$5:$B$89,0))/100)</f>
        <v>9.1169575990787965</v>
      </c>
      <c r="I174" s="269">
        <f>'IEPR Gas Prices Real'!I174*(INDEX('GDP Deflator'!$C$5:$C$89,MATCH('IEPR Gas Prices Nominal'!$B174,'GDP Deflator'!$B$5:$B$89,0))/100)</f>
        <v>7.4674040238506647</v>
      </c>
      <c r="J174" s="269">
        <f>'IEPR Gas Prices Real'!J174*(INDEX('GDP Deflator'!$C$5:$C$89,MATCH('IEPR Gas Prices Nominal'!$B174,'GDP Deflator'!$B$5:$B$89,0))/100)</f>
        <v>3.3091781555212609</v>
      </c>
      <c r="K174" s="269">
        <f>'IEPR Gas Prices Real'!K174*(INDEX('GDP Deflator'!$C$5:$C$89,MATCH('IEPR Gas Prices Nominal'!$B174,'GDP Deflator'!$B$5:$B$89,0))/100)</f>
        <v>10.776582179371925</v>
      </c>
      <c r="L174" s="268">
        <f>'IEPR Gas Prices Real'!L174*(INDEX('GDP Deflator'!$C$5:$C$89,MATCH('IEPR Gas Prices Nominal'!$B174,'GDP Deflator'!$B$5:$B$89,0))/100)</f>
        <v>7.7632742963125088</v>
      </c>
      <c r="M174" s="269">
        <f>'IEPR Gas Prices Real'!M174*(INDEX('GDP Deflator'!$C$5:$C$89,MATCH('IEPR Gas Prices Nominal'!$B174,'GDP Deflator'!$B$5:$B$89,0))/100)</f>
        <v>1.5627729094992571</v>
      </c>
      <c r="N174" s="270">
        <f>'IEPR Gas Prices Real'!N174*(INDEX('GDP Deflator'!$C$5:$C$89,MATCH('IEPR Gas Prices Nominal'!$B174,'GDP Deflator'!$B$5:$B$89,0))/100)</f>
        <v>9.3260472058117667</v>
      </c>
      <c r="O174" s="1"/>
      <c r="P174" s="274">
        <f t="shared" si="17"/>
        <v>7.447860569300417</v>
      </c>
      <c r="Q174" s="275">
        <f t="shared" si="21"/>
        <v>9.7398623280874972</v>
      </c>
      <c r="R174" s="171"/>
    </row>
    <row r="175" spans="2:18">
      <c r="B175" s="94">
        <f t="shared" si="18"/>
        <v>2036</v>
      </c>
      <c r="C175" s="1">
        <f t="shared" si="19"/>
        <v>2</v>
      </c>
      <c r="D175" s="213">
        <v>49706</v>
      </c>
      <c r="E175" s="1" t="str">
        <f t="shared" si="20"/>
        <v>2-2036</v>
      </c>
      <c r="F175" s="268">
        <f>'IEPR Gas Prices Real'!F175*(INDEX('GDP Deflator'!$C$5:$C$89,MATCH('IEPR Gas Prices Nominal'!$B175,'GDP Deflator'!$B$5:$B$89,0))/100)</f>
        <v>6.9565764297542465</v>
      </c>
      <c r="G175" s="269">
        <f>'IEPR Gas Prices Real'!G175*(INDEX('GDP Deflator'!$C$5:$C$89,MATCH('IEPR Gas Prices Nominal'!$B175,'GDP Deflator'!$B$5:$B$89,0))/100)</f>
        <v>2.0040542113407214</v>
      </c>
      <c r="H175" s="270">
        <f>'IEPR Gas Prices Real'!H175*(INDEX('GDP Deflator'!$C$5:$C$89,MATCH('IEPR Gas Prices Nominal'!$B175,'GDP Deflator'!$B$5:$B$89,0))/100)</f>
        <v>8.9606306410949674</v>
      </c>
      <c r="I175" s="269">
        <f>'IEPR Gas Prices Real'!I175*(INDEX('GDP Deflator'!$C$5:$C$89,MATCH('IEPR Gas Prices Nominal'!$B175,'GDP Deflator'!$B$5:$B$89,0))/100)</f>
        <v>7.3031832439907483</v>
      </c>
      <c r="J175" s="269">
        <f>'IEPR Gas Prices Real'!J175*(INDEX('GDP Deflator'!$C$5:$C$89,MATCH('IEPR Gas Prices Nominal'!$B175,'GDP Deflator'!$B$5:$B$89,0))/100)</f>
        <v>3.3091781555212609</v>
      </c>
      <c r="K175" s="269">
        <f>'IEPR Gas Prices Real'!K175*(INDEX('GDP Deflator'!$C$5:$C$89,MATCH('IEPR Gas Prices Nominal'!$B175,'GDP Deflator'!$B$5:$B$89,0))/100)</f>
        <v>10.612361399512009</v>
      </c>
      <c r="L175" s="268">
        <f>'IEPR Gas Prices Real'!L175*(INDEX('GDP Deflator'!$C$5:$C$89,MATCH('IEPR Gas Prices Nominal'!$B175,'GDP Deflator'!$B$5:$B$89,0))/100)</f>
        <v>7.5926784587931886</v>
      </c>
      <c r="M175" s="269">
        <f>'IEPR Gas Prices Real'!M175*(INDEX('GDP Deflator'!$C$5:$C$89,MATCH('IEPR Gas Prices Nominal'!$B175,'GDP Deflator'!$B$5:$B$89,0))/100)</f>
        <v>1.5627729094992571</v>
      </c>
      <c r="N175" s="270">
        <f>'IEPR Gas Prices Real'!N175*(INDEX('GDP Deflator'!$C$5:$C$89,MATCH('IEPR Gas Prices Nominal'!$B175,'GDP Deflator'!$B$5:$B$89,0))/100)</f>
        <v>9.1554513682924465</v>
      </c>
      <c r="O175" s="1"/>
      <c r="P175" s="274">
        <f t="shared" si="17"/>
        <v>7.2841460441793942</v>
      </c>
      <c r="Q175" s="275">
        <f t="shared" si="21"/>
        <v>9.5761478029664744</v>
      </c>
      <c r="R175" s="171"/>
    </row>
    <row r="176" spans="2:18">
      <c r="B176" s="94">
        <f t="shared" si="18"/>
        <v>2036</v>
      </c>
      <c r="C176" s="1">
        <f t="shared" si="19"/>
        <v>3</v>
      </c>
      <c r="D176" s="213">
        <v>49735</v>
      </c>
      <c r="E176" s="1" t="str">
        <f t="shared" si="20"/>
        <v>3-2036</v>
      </c>
      <c r="F176" s="268">
        <f>'IEPR Gas Prices Real'!F176*(INDEX('GDP Deflator'!$C$5:$C$89,MATCH('IEPR Gas Prices Nominal'!$B176,'GDP Deflator'!$B$5:$B$89,0))/100)</f>
        <v>6.3858098622406674</v>
      </c>
      <c r="G176" s="269">
        <f>'IEPR Gas Prices Real'!G176*(INDEX('GDP Deflator'!$C$5:$C$89,MATCH('IEPR Gas Prices Nominal'!$B176,'GDP Deflator'!$B$5:$B$89,0))/100)</f>
        <v>2.0040542113407214</v>
      </c>
      <c r="H176" s="270">
        <f>'IEPR Gas Prices Real'!H176*(INDEX('GDP Deflator'!$C$5:$C$89,MATCH('IEPR Gas Prices Nominal'!$B176,'GDP Deflator'!$B$5:$B$89,0))/100)</f>
        <v>8.3898640735813874</v>
      </c>
      <c r="I176" s="269">
        <f>'IEPR Gas Prices Real'!I176*(INDEX('GDP Deflator'!$C$5:$C$89,MATCH('IEPR Gas Prices Nominal'!$B176,'GDP Deflator'!$B$5:$B$89,0))/100)</f>
        <v>6.7038843840508981</v>
      </c>
      <c r="J176" s="269">
        <f>'IEPR Gas Prices Real'!J176*(INDEX('GDP Deflator'!$C$5:$C$89,MATCH('IEPR Gas Prices Nominal'!$B176,'GDP Deflator'!$B$5:$B$89,0))/100)</f>
        <v>3.3091781555212609</v>
      </c>
      <c r="K176" s="269">
        <f>'IEPR Gas Prices Real'!K176*(INDEX('GDP Deflator'!$C$5:$C$89,MATCH('IEPR Gas Prices Nominal'!$B176,'GDP Deflator'!$B$5:$B$89,0))/100)</f>
        <v>10.013062539572159</v>
      </c>
      <c r="L176" s="268">
        <f>'IEPR Gas Prices Real'!L176*(INDEX('GDP Deflator'!$C$5:$C$89,MATCH('IEPR Gas Prices Nominal'!$B176,'GDP Deflator'!$B$5:$B$89,0))/100)</f>
        <v>6.9697444883635509</v>
      </c>
      <c r="M176" s="269">
        <f>'IEPR Gas Prices Real'!M176*(INDEX('GDP Deflator'!$C$5:$C$89,MATCH('IEPR Gas Prices Nominal'!$B176,'GDP Deflator'!$B$5:$B$89,0))/100)</f>
        <v>1.5627729094992571</v>
      </c>
      <c r="N176" s="270">
        <f>'IEPR Gas Prices Real'!N176*(INDEX('GDP Deflator'!$C$5:$C$89,MATCH('IEPR Gas Prices Nominal'!$B176,'GDP Deflator'!$B$5:$B$89,0))/100)</f>
        <v>8.5325173978628079</v>
      </c>
      <c r="O176" s="1"/>
      <c r="P176" s="274">
        <f t="shared" si="17"/>
        <v>6.6864795782183721</v>
      </c>
      <c r="Q176" s="275">
        <f t="shared" si="21"/>
        <v>8.9784813370054515</v>
      </c>
      <c r="R176" s="171"/>
    </row>
    <row r="177" spans="2:18">
      <c r="B177" s="94">
        <f t="shared" si="18"/>
        <v>2036</v>
      </c>
      <c r="C177" s="1">
        <f t="shared" si="19"/>
        <v>4</v>
      </c>
      <c r="D177" s="213">
        <v>49766</v>
      </c>
      <c r="E177" s="1" t="str">
        <f t="shared" si="20"/>
        <v>4-2036</v>
      </c>
      <c r="F177" s="268">
        <f>'IEPR Gas Prices Real'!F177*(INDEX('GDP Deflator'!$C$5:$C$89,MATCH('IEPR Gas Prices Nominal'!$B177,'GDP Deflator'!$B$5:$B$89,0))/100)</f>
        <v>6.2768124069902349</v>
      </c>
      <c r="G177" s="269">
        <f>'IEPR Gas Prices Real'!G177*(INDEX('GDP Deflator'!$C$5:$C$89,MATCH('IEPR Gas Prices Nominal'!$B177,'GDP Deflator'!$B$5:$B$89,0))/100)</f>
        <v>2.0040542113407214</v>
      </c>
      <c r="H177" s="270">
        <f>'IEPR Gas Prices Real'!H177*(INDEX('GDP Deflator'!$C$5:$C$89,MATCH('IEPR Gas Prices Nominal'!$B177,'GDP Deflator'!$B$5:$B$89,0))/100)</f>
        <v>8.2808666183309558</v>
      </c>
      <c r="I177" s="269">
        <f>'IEPR Gas Prices Real'!I177*(INDEX('GDP Deflator'!$C$5:$C$89,MATCH('IEPR Gas Prices Nominal'!$B177,'GDP Deflator'!$B$5:$B$89,0))/100)</f>
        <v>6.589365175522663</v>
      </c>
      <c r="J177" s="269">
        <f>'IEPR Gas Prices Real'!J177*(INDEX('GDP Deflator'!$C$5:$C$89,MATCH('IEPR Gas Prices Nominal'!$B177,'GDP Deflator'!$B$5:$B$89,0))/100)</f>
        <v>3.3091781555212609</v>
      </c>
      <c r="K177" s="269">
        <f>'IEPR Gas Prices Real'!K177*(INDEX('GDP Deflator'!$C$5:$C$89,MATCH('IEPR Gas Prices Nominal'!$B177,'GDP Deflator'!$B$5:$B$89,0))/100)</f>
        <v>9.8985433310439248</v>
      </c>
      <c r="L177" s="268">
        <f>'IEPR Gas Prices Real'!L177*(INDEX('GDP Deflator'!$C$5:$C$89,MATCH('IEPR Gas Prices Nominal'!$B177,'GDP Deflator'!$B$5:$B$89,0))/100)</f>
        <v>6.8508025348046226</v>
      </c>
      <c r="M177" s="269">
        <f>'IEPR Gas Prices Real'!M177*(INDEX('GDP Deflator'!$C$5:$C$89,MATCH('IEPR Gas Prices Nominal'!$B177,'GDP Deflator'!$B$5:$B$89,0))/100)</f>
        <v>1.5627729094992571</v>
      </c>
      <c r="N177" s="270">
        <f>'IEPR Gas Prices Real'!N177*(INDEX('GDP Deflator'!$C$5:$C$89,MATCH('IEPR Gas Prices Nominal'!$B177,'GDP Deflator'!$B$5:$B$89,0))/100)</f>
        <v>8.4135754443038806</v>
      </c>
      <c r="O177" s="1"/>
      <c r="P177" s="274">
        <f t="shared" si="17"/>
        <v>6.5723267057725065</v>
      </c>
      <c r="Q177" s="275">
        <f t="shared" si="21"/>
        <v>8.8643284645595859</v>
      </c>
      <c r="R177" s="171"/>
    </row>
    <row r="178" spans="2:18">
      <c r="B178" s="94">
        <f t="shared" si="18"/>
        <v>2036</v>
      </c>
      <c r="C178" s="1">
        <f t="shared" si="19"/>
        <v>5</v>
      </c>
      <c r="D178" s="213">
        <v>49796</v>
      </c>
      <c r="E178" s="1" t="str">
        <f t="shared" si="20"/>
        <v>5-2036</v>
      </c>
      <c r="F178" s="268">
        <f>'IEPR Gas Prices Real'!F178*(INDEX('GDP Deflator'!$C$5:$C$89,MATCH('IEPR Gas Prices Nominal'!$B178,'GDP Deflator'!$B$5:$B$89,0))/100)</f>
        <v>6.4949121174353257</v>
      </c>
      <c r="G178" s="269">
        <f>'IEPR Gas Prices Real'!G178*(INDEX('GDP Deflator'!$C$5:$C$89,MATCH('IEPR Gas Prices Nominal'!$B178,'GDP Deflator'!$B$5:$B$89,0))/100)</f>
        <v>2.0040542113407214</v>
      </c>
      <c r="H178" s="270">
        <f>'IEPR Gas Prices Real'!H178*(INDEX('GDP Deflator'!$C$5:$C$89,MATCH('IEPR Gas Prices Nominal'!$B178,'GDP Deflator'!$B$5:$B$89,0))/100)</f>
        <v>8.4989663287760457</v>
      </c>
      <c r="I178" s="269">
        <f>'IEPR Gas Prices Real'!I178*(INDEX('GDP Deflator'!$C$5:$C$89,MATCH('IEPR Gas Prices Nominal'!$B178,'GDP Deflator'!$B$5:$B$89,0))/100)</f>
        <v>6.8182292499246406</v>
      </c>
      <c r="J178" s="269">
        <f>'IEPR Gas Prices Real'!J178*(INDEX('GDP Deflator'!$C$5:$C$89,MATCH('IEPR Gas Prices Nominal'!$B178,'GDP Deflator'!$B$5:$B$89,0))/100)</f>
        <v>3.3091781555212609</v>
      </c>
      <c r="K178" s="269">
        <f>'IEPR Gas Prices Real'!K178*(INDEX('GDP Deflator'!$C$5:$C$89,MATCH('IEPR Gas Prices Nominal'!$B178,'GDP Deflator'!$B$5:$B$89,0))/100)</f>
        <v>10.127407405445901</v>
      </c>
      <c r="L178" s="268">
        <f>'IEPR Gas Prices Real'!L178*(INDEX('GDP Deflator'!$C$5:$C$89,MATCH('IEPR Gas Prices Nominal'!$B178,'GDP Deflator'!$B$5:$B$89,0))/100)</f>
        <v>7.0888699085800466</v>
      </c>
      <c r="M178" s="269">
        <f>'IEPR Gas Prices Real'!M178*(INDEX('GDP Deflator'!$C$5:$C$89,MATCH('IEPR Gas Prices Nominal'!$B178,'GDP Deflator'!$B$5:$B$89,0))/100)</f>
        <v>1.5627729094992571</v>
      </c>
      <c r="N178" s="270">
        <f>'IEPR Gas Prices Real'!N178*(INDEX('GDP Deflator'!$C$5:$C$89,MATCH('IEPR Gas Prices Nominal'!$B178,'GDP Deflator'!$B$5:$B$89,0))/100)</f>
        <v>8.6516428180793028</v>
      </c>
      <c r="O178" s="1"/>
      <c r="P178" s="274">
        <f t="shared" si="17"/>
        <v>6.8006704253133377</v>
      </c>
      <c r="Q178" s="275">
        <f t="shared" si="21"/>
        <v>9.092672184100417</v>
      </c>
      <c r="R178" s="171"/>
    </row>
    <row r="179" spans="2:18">
      <c r="B179" s="94">
        <f t="shared" si="18"/>
        <v>2036</v>
      </c>
      <c r="C179" s="1">
        <f t="shared" si="19"/>
        <v>6</v>
      </c>
      <c r="D179" s="213">
        <v>49827</v>
      </c>
      <c r="E179" s="1" t="str">
        <f t="shared" si="20"/>
        <v>6-2036</v>
      </c>
      <c r="F179" s="268">
        <f>'IEPR Gas Prices Real'!F179*(INDEX('GDP Deflator'!$C$5:$C$89,MATCH('IEPR Gas Prices Nominal'!$B179,'GDP Deflator'!$B$5:$B$89,0))/100)</f>
        <v>6.6624588744760285</v>
      </c>
      <c r="G179" s="269">
        <f>'IEPR Gas Prices Real'!G179*(INDEX('GDP Deflator'!$C$5:$C$89,MATCH('IEPR Gas Prices Nominal'!$B179,'GDP Deflator'!$B$5:$B$89,0))/100)</f>
        <v>2.0040542113407214</v>
      </c>
      <c r="H179" s="270">
        <f>'IEPR Gas Prices Real'!H179*(INDEX('GDP Deflator'!$C$5:$C$89,MATCH('IEPR Gas Prices Nominal'!$B179,'GDP Deflator'!$B$5:$B$89,0))/100)</f>
        <v>8.6665130858167494</v>
      </c>
      <c r="I179" s="269">
        <f>'IEPR Gas Prices Real'!I179*(INDEX('GDP Deflator'!$C$5:$C$89,MATCH('IEPR Gas Prices Nominal'!$B179,'GDP Deflator'!$B$5:$B$89,0))/100)</f>
        <v>6.9940181302856681</v>
      </c>
      <c r="J179" s="269">
        <f>'IEPR Gas Prices Real'!J179*(INDEX('GDP Deflator'!$C$5:$C$89,MATCH('IEPR Gas Prices Nominal'!$B179,'GDP Deflator'!$B$5:$B$89,0))/100)</f>
        <v>3.3091781555212609</v>
      </c>
      <c r="K179" s="269">
        <f>'IEPR Gas Prices Real'!K179*(INDEX('GDP Deflator'!$C$5:$C$89,MATCH('IEPR Gas Prices Nominal'!$B179,'GDP Deflator'!$B$5:$B$89,0))/100)</f>
        <v>10.30319628580693</v>
      </c>
      <c r="L179" s="268">
        <f>'IEPR Gas Prices Real'!L179*(INDEX('GDP Deflator'!$C$5:$C$89,MATCH('IEPR Gas Prices Nominal'!$B179,'GDP Deflator'!$B$5:$B$89,0))/100)</f>
        <v>7.271762663870402</v>
      </c>
      <c r="M179" s="269">
        <f>'IEPR Gas Prices Real'!M179*(INDEX('GDP Deflator'!$C$5:$C$89,MATCH('IEPR Gas Prices Nominal'!$B179,'GDP Deflator'!$B$5:$B$89,0))/100)</f>
        <v>1.5627729094992571</v>
      </c>
      <c r="N179" s="270">
        <f>'IEPR Gas Prices Real'!N179*(INDEX('GDP Deflator'!$C$5:$C$89,MATCH('IEPR Gas Prices Nominal'!$B179,'GDP Deflator'!$B$5:$B$89,0))/100)</f>
        <v>8.83453557336966</v>
      </c>
      <c r="O179" s="1"/>
      <c r="P179" s="274">
        <f t="shared" si="17"/>
        <v>6.9760798895440326</v>
      </c>
      <c r="Q179" s="275">
        <f t="shared" si="21"/>
        <v>9.2680816483311137</v>
      </c>
      <c r="R179" s="171"/>
    </row>
    <row r="180" spans="2:18">
      <c r="B180" s="94">
        <f t="shared" si="18"/>
        <v>2036</v>
      </c>
      <c r="C180" s="1">
        <f t="shared" si="19"/>
        <v>7</v>
      </c>
      <c r="D180" s="213">
        <v>49857</v>
      </c>
      <c r="E180" s="1" t="str">
        <f t="shared" si="20"/>
        <v>7-2036</v>
      </c>
      <c r="F180" s="268">
        <f>'IEPR Gas Prices Real'!F180*(INDEX('GDP Deflator'!$C$5:$C$89,MATCH('IEPR Gas Prices Nominal'!$B180,'GDP Deflator'!$B$5:$B$89,0))/100)</f>
        <v>6.7149523966438025</v>
      </c>
      <c r="G180" s="269">
        <f>'IEPR Gas Prices Real'!G180*(INDEX('GDP Deflator'!$C$5:$C$89,MATCH('IEPR Gas Prices Nominal'!$B180,'GDP Deflator'!$B$5:$B$89,0))/100)</f>
        <v>2.0040542113407214</v>
      </c>
      <c r="H180" s="270">
        <f>'IEPR Gas Prices Real'!H180*(INDEX('GDP Deflator'!$C$5:$C$89,MATCH('IEPR Gas Prices Nominal'!$B180,'GDP Deflator'!$B$5:$B$89,0))/100)</f>
        <v>8.7190066079845234</v>
      </c>
      <c r="I180" s="269">
        <f>'IEPR Gas Prices Real'!I180*(INDEX('GDP Deflator'!$C$5:$C$89,MATCH('IEPR Gas Prices Nominal'!$B180,'GDP Deflator'!$B$5:$B$89,0))/100)</f>
        <v>7.0490248495011087</v>
      </c>
      <c r="J180" s="269">
        <f>'IEPR Gas Prices Real'!J180*(INDEX('GDP Deflator'!$C$5:$C$89,MATCH('IEPR Gas Prices Nominal'!$B180,'GDP Deflator'!$B$5:$B$89,0))/100)</f>
        <v>3.3091781555212609</v>
      </c>
      <c r="K180" s="269">
        <f>'IEPR Gas Prices Real'!K180*(INDEX('GDP Deflator'!$C$5:$C$89,MATCH('IEPR Gas Prices Nominal'!$B180,'GDP Deflator'!$B$5:$B$89,0))/100)</f>
        <v>10.35820300502237</v>
      </c>
      <c r="L180" s="268">
        <f>'IEPR Gas Prices Real'!L180*(INDEX('GDP Deflator'!$C$5:$C$89,MATCH('IEPR Gas Prices Nominal'!$B180,'GDP Deflator'!$B$5:$B$89,0))/100)</f>
        <v>7.3290809811874214</v>
      </c>
      <c r="M180" s="269">
        <f>'IEPR Gas Prices Real'!M180*(INDEX('GDP Deflator'!$C$5:$C$89,MATCH('IEPR Gas Prices Nominal'!$B180,'GDP Deflator'!$B$5:$B$89,0))/100)</f>
        <v>1.5627729094992571</v>
      </c>
      <c r="N180" s="270">
        <f>'IEPR Gas Prices Real'!N180*(INDEX('GDP Deflator'!$C$5:$C$89,MATCH('IEPR Gas Prices Nominal'!$B180,'GDP Deflator'!$B$5:$B$89,0))/100)</f>
        <v>8.8918538906866775</v>
      </c>
      <c r="O180" s="1"/>
      <c r="P180" s="274">
        <f t="shared" si="17"/>
        <v>7.0310194091107769</v>
      </c>
      <c r="Q180" s="275">
        <f t="shared" si="21"/>
        <v>9.3230211678978563</v>
      </c>
      <c r="R180" s="171"/>
    </row>
    <row r="181" spans="2:18">
      <c r="B181" s="94">
        <f t="shared" si="18"/>
        <v>2036</v>
      </c>
      <c r="C181" s="1">
        <f t="shared" si="19"/>
        <v>8</v>
      </c>
      <c r="D181" s="213">
        <v>49888</v>
      </c>
      <c r="E181" s="1" t="str">
        <f t="shared" si="20"/>
        <v>8-2036</v>
      </c>
      <c r="F181" s="268">
        <f>'IEPR Gas Prices Real'!F181*(INDEX('GDP Deflator'!$C$5:$C$89,MATCH('IEPR Gas Prices Nominal'!$B181,'GDP Deflator'!$B$5:$B$89,0))/100)</f>
        <v>6.6627257141714722</v>
      </c>
      <c r="G181" s="269">
        <f>'IEPR Gas Prices Real'!G181*(INDEX('GDP Deflator'!$C$5:$C$89,MATCH('IEPR Gas Prices Nominal'!$B181,'GDP Deflator'!$B$5:$B$89,0))/100)</f>
        <v>2.0040542113407214</v>
      </c>
      <c r="H181" s="270">
        <f>'IEPR Gas Prices Real'!H181*(INDEX('GDP Deflator'!$C$5:$C$89,MATCH('IEPR Gas Prices Nominal'!$B181,'GDP Deflator'!$B$5:$B$89,0))/100)</f>
        <v>8.6667799255121931</v>
      </c>
      <c r="I181" s="269">
        <f>'IEPR Gas Prices Real'!I181*(INDEX('GDP Deflator'!$C$5:$C$89,MATCH('IEPR Gas Prices Nominal'!$B181,'GDP Deflator'!$B$5:$B$89,0))/100)</f>
        <v>6.9941014554116663</v>
      </c>
      <c r="J181" s="269">
        <f>'IEPR Gas Prices Real'!J181*(INDEX('GDP Deflator'!$C$5:$C$89,MATCH('IEPR Gas Prices Nominal'!$B181,'GDP Deflator'!$B$5:$B$89,0))/100)</f>
        <v>3.3091781555212609</v>
      </c>
      <c r="K181" s="269">
        <f>'IEPR Gas Prices Real'!K181*(INDEX('GDP Deflator'!$C$5:$C$89,MATCH('IEPR Gas Prices Nominal'!$B181,'GDP Deflator'!$B$5:$B$89,0))/100)</f>
        <v>10.303279610932927</v>
      </c>
      <c r="L181" s="268">
        <f>'IEPR Gas Prices Real'!L181*(INDEX('GDP Deflator'!$C$5:$C$89,MATCH('IEPR Gas Prices Nominal'!$B181,'GDP Deflator'!$B$5:$B$89,0))/100)</f>
        <v>7.2721017163836894</v>
      </c>
      <c r="M181" s="269">
        <f>'IEPR Gas Prices Real'!M181*(INDEX('GDP Deflator'!$C$5:$C$89,MATCH('IEPR Gas Prices Nominal'!$B181,'GDP Deflator'!$B$5:$B$89,0))/100)</f>
        <v>1.5627729094992571</v>
      </c>
      <c r="N181" s="270">
        <f>'IEPR Gas Prices Real'!N181*(INDEX('GDP Deflator'!$C$5:$C$89,MATCH('IEPR Gas Prices Nominal'!$B181,'GDP Deflator'!$B$5:$B$89,0))/100)</f>
        <v>8.8348746258829465</v>
      </c>
      <c r="O181" s="1"/>
      <c r="P181" s="274">
        <f t="shared" si="17"/>
        <v>6.976309628655609</v>
      </c>
      <c r="Q181" s="275">
        <f t="shared" si="21"/>
        <v>9.2683113874426883</v>
      </c>
      <c r="R181" s="171"/>
    </row>
    <row r="182" spans="2:18">
      <c r="B182" s="94">
        <f t="shared" si="18"/>
        <v>2036</v>
      </c>
      <c r="C182" s="1">
        <f t="shared" si="19"/>
        <v>9</v>
      </c>
      <c r="D182" s="213">
        <v>49919</v>
      </c>
      <c r="E182" s="1" t="str">
        <f t="shared" si="20"/>
        <v>9-2036</v>
      </c>
      <c r="F182" s="268">
        <f>'IEPR Gas Prices Real'!F182*(INDEX('GDP Deflator'!$C$5:$C$89,MATCH('IEPR Gas Prices Nominal'!$B182,'GDP Deflator'!$B$5:$B$89,0))/100)</f>
        <v>6.7560779317157769</v>
      </c>
      <c r="G182" s="269">
        <f>'IEPR Gas Prices Real'!G182*(INDEX('GDP Deflator'!$C$5:$C$89,MATCH('IEPR Gas Prices Nominal'!$B182,'GDP Deflator'!$B$5:$B$89,0))/100)</f>
        <v>2.0040542113407214</v>
      </c>
      <c r="H182" s="270">
        <f>'IEPR Gas Prices Real'!H182*(INDEX('GDP Deflator'!$C$5:$C$89,MATCH('IEPR Gas Prices Nominal'!$B182,'GDP Deflator'!$B$5:$B$89,0))/100)</f>
        <v>8.7601321430564969</v>
      </c>
      <c r="I182" s="269">
        <f>'IEPR Gas Prices Real'!I182*(INDEX('GDP Deflator'!$C$5:$C$89,MATCH('IEPR Gas Prices Nominal'!$B182,'GDP Deflator'!$B$5:$B$89,0))/100)</f>
        <v>7.0919968123482597</v>
      </c>
      <c r="J182" s="269">
        <f>'IEPR Gas Prices Real'!J182*(INDEX('GDP Deflator'!$C$5:$C$89,MATCH('IEPR Gas Prices Nominal'!$B182,'GDP Deflator'!$B$5:$B$89,0))/100)</f>
        <v>3.3091781555212609</v>
      </c>
      <c r="K182" s="269">
        <f>'IEPR Gas Prices Real'!K182*(INDEX('GDP Deflator'!$C$5:$C$89,MATCH('IEPR Gas Prices Nominal'!$B182,'GDP Deflator'!$B$5:$B$89,0))/100)</f>
        <v>10.401174967869521</v>
      </c>
      <c r="L182" s="268">
        <f>'IEPR Gas Prices Real'!L182*(INDEX('GDP Deflator'!$C$5:$C$89,MATCH('IEPR Gas Prices Nominal'!$B182,'GDP Deflator'!$B$5:$B$89,0))/100)</f>
        <v>7.374016217920639</v>
      </c>
      <c r="M182" s="269">
        <f>'IEPR Gas Prices Real'!M182*(INDEX('GDP Deflator'!$C$5:$C$89,MATCH('IEPR Gas Prices Nominal'!$B182,'GDP Deflator'!$B$5:$B$89,0))/100)</f>
        <v>1.5627729094992571</v>
      </c>
      <c r="N182" s="270">
        <f>'IEPR Gas Prices Real'!N182*(INDEX('GDP Deflator'!$C$5:$C$89,MATCH('IEPR Gas Prices Nominal'!$B182,'GDP Deflator'!$B$5:$B$89,0))/100)</f>
        <v>8.9367891274198961</v>
      </c>
      <c r="O182" s="1"/>
      <c r="P182" s="274">
        <f t="shared" si="17"/>
        <v>7.0740303206615591</v>
      </c>
      <c r="Q182" s="275">
        <f t="shared" si="21"/>
        <v>9.3660320794486385</v>
      </c>
      <c r="R182" s="171"/>
    </row>
    <row r="183" spans="2:18">
      <c r="B183" s="94">
        <f t="shared" si="18"/>
        <v>2036</v>
      </c>
      <c r="C183" s="1">
        <f t="shared" si="19"/>
        <v>10</v>
      </c>
      <c r="D183" s="213">
        <v>49949</v>
      </c>
      <c r="E183" s="1" t="str">
        <f t="shared" si="20"/>
        <v>10-2036</v>
      </c>
      <c r="F183" s="268">
        <f>'IEPR Gas Prices Real'!F183*(INDEX('GDP Deflator'!$C$5:$C$89,MATCH('IEPR Gas Prices Nominal'!$B183,'GDP Deflator'!$B$5:$B$89,0))/100)</f>
        <v>6.7167832194961283</v>
      </c>
      <c r="G183" s="269">
        <f>'IEPR Gas Prices Real'!G183*(INDEX('GDP Deflator'!$C$5:$C$89,MATCH('IEPR Gas Prices Nominal'!$B183,'GDP Deflator'!$B$5:$B$89,0))/100)</f>
        <v>2.0040542113407214</v>
      </c>
      <c r="H183" s="270">
        <f>'IEPR Gas Prices Real'!H183*(INDEX('GDP Deflator'!$C$5:$C$89,MATCH('IEPR Gas Prices Nominal'!$B183,'GDP Deflator'!$B$5:$B$89,0))/100)</f>
        <v>8.7208374308368501</v>
      </c>
      <c r="I183" s="269">
        <f>'IEPR Gas Prices Real'!I183*(INDEX('GDP Deflator'!$C$5:$C$89,MATCH('IEPR Gas Prices Nominal'!$B183,'GDP Deflator'!$B$5:$B$89,0))/100)</f>
        <v>7.0506490853235748</v>
      </c>
      <c r="J183" s="269">
        <f>'IEPR Gas Prices Real'!J183*(INDEX('GDP Deflator'!$C$5:$C$89,MATCH('IEPR Gas Prices Nominal'!$B183,'GDP Deflator'!$B$5:$B$89,0))/100)</f>
        <v>3.3091781555212609</v>
      </c>
      <c r="K183" s="269">
        <f>'IEPR Gas Prices Real'!K183*(INDEX('GDP Deflator'!$C$5:$C$89,MATCH('IEPR Gas Prices Nominal'!$B183,'GDP Deflator'!$B$5:$B$89,0))/100)</f>
        <v>10.359827240844837</v>
      </c>
      <c r="L183" s="268">
        <f>'IEPR Gas Prices Real'!L183*(INDEX('GDP Deflator'!$C$5:$C$89,MATCH('IEPR Gas Prices Nominal'!$B183,'GDP Deflator'!$B$5:$B$89,0))/100)</f>
        <v>7.3311515621861414</v>
      </c>
      <c r="M183" s="269">
        <f>'IEPR Gas Prices Real'!M183*(INDEX('GDP Deflator'!$C$5:$C$89,MATCH('IEPR Gas Prices Nominal'!$B183,'GDP Deflator'!$B$5:$B$89,0))/100)</f>
        <v>1.5627729094992571</v>
      </c>
      <c r="N183" s="270">
        <f>'IEPR Gas Prices Real'!N183*(INDEX('GDP Deflator'!$C$5:$C$89,MATCH('IEPR Gas Prices Nominal'!$B183,'GDP Deflator'!$B$5:$B$89,0))/100)</f>
        <v>8.8939244716853985</v>
      </c>
      <c r="O183" s="1"/>
      <c r="P183" s="274">
        <f t="shared" si="17"/>
        <v>7.0328612890019473</v>
      </c>
      <c r="Q183" s="275">
        <f t="shared" si="21"/>
        <v>9.3248630477890284</v>
      </c>
      <c r="R183" s="171"/>
    </row>
    <row r="184" spans="2:18">
      <c r="B184" s="94">
        <f t="shared" si="18"/>
        <v>2036</v>
      </c>
      <c r="C184" s="1">
        <f t="shared" si="19"/>
        <v>11</v>
      </c>
      <c r="D184" s="213">
        <v>49980</v>
      </c>
      <c r="E184" s="1" t="str">
        <f t="shared" si="20"/>
        <v>11-2036</v>
      </c>
      <c r="F184" s="268">
        <f>'IEPR Gas Prices Real'!F184*(INDEX('GDP Deflator'!$C$5:$C$89,MATCH('IEPR Gas Prices Nominal'!$B184,'GDP Deflator'!$B$5:$B$89,0))/100)</f>
        <v>7.0483918824017824</v>
      </c>
      <c r="G184" s="269">
        <f>'IEPR Gas Prices Real'!G184*(INDEX('GDP Deflator'!$C$5:$C$89,MATCH('IEPR Gas Prices Nominal'!$B184,'GDP Deflator'!$B$5:$B$89,0))/100)</f>
        <v>2.0040542113407214</v>
      </c>
      <c r="H184" s="270">
        <f>'IEPR Gas Prices Real'!H184*(INDEX('GDP Deflator'!$C$5:$C$89,MATCH('IEPR Gas Prices Nominal'!$B184,'GDP Deflator'!$B$5:$B$89,0))/100)</f>
        <v>9.0524460937425033</v>
      </c>
      <c r="I184" s="269">
        <f>'IEPR Gas Prices Real'!I184*(INDEX('GDP Deflator'!$C$5:$C$89,MATCH('IEPR Gas Prices Nominal'!$B184,'GDP Deflator'!$B$5:$B$89,0))/100)</f>
        <v>7.3986365970557735</v>
      </c>
      <c r="J184" s="269">
        <f>'IEPR Gas Prices Real'!J184*(INDEX('GDP Deflator'!$C$5:$C$89,MATCH('IEPR Gas Prices Nominal'!$B184,'GDP Deflator'!$B$5:$B$89,0))/100)</f>
        <v>3.3091781555212609</v>
      </c>
      <c r="K184" s="269">
        <f>'IEPR Gas Prices Real'!K184*(INDEX('GDP Deflator'!$C$5:$C$89,MATCH('IEPR Gas Prices Nominal'!$B184,'GDP Deflator'!$B$5:$B$89,0))/100)</f>
        <v>10.707814752577034</v>
      </c>
      <c r="L184" s="268">
        <f>'IEPR Gas Prices Real'!L184*(INDEX('GDP Deflator'!$C$5:$C$89,MATCH('IEPR Gas Prices Nominal'!$B184,'GDP Deflator'!$B$5:$B$89,0))/100)</f>
        <v>7.6931169939258934</v>
      </c>
      <c r="M184" s="269">
        <f>'IEPR Gas Prices Real'!M184*(INDEX('GDP Deflator'!$C$5:$C$89,MATCH('IEPR Gas Prices Nominal'!$B184,'GDP Deflator'!$B$5:$B$89,0))/100)</f>
        <v>1.5627729094992571</v>
      </c>
      <c r="N184" s="270">
        <f>'IEPR Gas Prices Real'!N184*(INDEX('GDP Deflator'!$C$5:$C$89,MATCH('IEPR Gas Prices Nominal'!$B184,'GDP Deflator'!$B$5:$B$89,0))/100)</f>
        <v>9.2558899034251496</v>
      </c>
      <c r="O184" s="1"/>
      <c r="P184" s="274">
        <f t="shared" si="17"/>
        <v>7.3800484911278161</v>
      </c>
      <c r="Q184" s="275">
        <f t="shared" si="21"/>
        <v>9.6720502499148964</v>
      </c>
      <c r="R184" s="171"/>
    </row>
    <row r="185" spans="2:18">
      <c r="B185" s="94">
        <f t="shared" si="18"/>
        <v>2036</v>
      </c>
      <c r="C185" s="1">
        <f t="shared" si="19"/>
        <v>12</v>
      </c>
      <c r="D185" s="213">
        <v>50010</v>
      </c>
      <c r="E185" s="1" t="str">
        <f t="shared" si="20"/>
        <v>12-2036</v>
      </c>
      <c r="F185" s="268">
        <f>'IEPR Gas Prices Real'!F185*(INDEX('GDP Deflator'!$C$5:$C$89,MATCH('IEPR Gas Prices Nominal'!$B185,'GDP Deflator'!$B$5:$B$89,0))/100)</f>
        <v>7.1047016136517058</v>
      </c>
      <c r="G185" s="269">
        <f>'IEPR Gas Prices Real'!G185*(INDEX('GDP Deflator'!$C$5:$C$89,MATCH('IEPR Gas Prices Nominal'!$B185,'GDP Deflator'!$B$5:$B$89,0))/100)</f>
        <v>2.0040542113407214</v>
      </c>
      <c r="H185" s="270">
        <f>'IEPR Gas Prices Real'!H185*(INDEX('GDP Deflator'!$C$5:$C$89,MATCH('IEPR Gas Prices Nominal'!$B185,'GDP Deflator'!$B$5:$B$89,0))/100)</f>
        <v>9.1087558249924268</v>
      </c>
      <c r="I185" s="269">
        <f>'IEPR Gas Prices Real'!I185*(INDEX('GDP Deflator'!$C$5:$C$89,MATCH('IEPR Gas Prices Nominal'!$B185,'GDP Deflator'!$B$5:$B$89,0))/100)</f>
        <v>7.4576394250143707</v>
      </c>
      <c r="J185" s="269">
        <f>'IEPR Gas Prices Real'!J185*(INDEX('GDP Deflator'!$C$5:$C$89,MATCH('IEPR Gas Prices Nominal'!$B185,'GDP Deflator'!$B$5:$B$89,0))/100)</f>
        <v>3.3091781555212609</v>
      </c>
      <c r="K185" s="269">
        <f>'IEPR Gas Prices Real'!K185*(INDEX('GDP Deflator'!$C$5:$C$89,MATCH('IEPR Gas Prices Nominal'!$B185,'GDP Deflator'!$B$5:$B$89,0))/100)</f>
        <v>10.766817580535632</v>
      </c>
      <c r="L185" s="268">
        <f>'IEPR Gas Prices Real'!L185*(INDEX('GDP Deflator'!$C$5:$C$89,MATCH('IEPR Gas Prices Nominal'!$B185,'GDP Deflator'!$B$5:$B$89,0))/100)</f>
        <v>7.7546029582954157</v>
      </c>
      <c r="M185" s="269">
        <f>'IEPR Gas Prices Real'!M185*(INDEX('GDP Deflator'!$C$5:$C$89,MATCH('IEPR Gas Prices Nominal'!$B185,'GDP Deflator'!$B$5:$B$89,0))/100)</f>
        <v>1.5627729094992571</v>
      </c>
      <c r="N185" s="270">
        <f>'IEPR Gas Prices Real'!N185*(INDEX('GDP Deflator'!$C$5:$C$89,MATCH('IEPR Gas Prices Nominal'!$B185,'GDP Deflator'!$B$5:$B$89,0))/100)</f>
        <v>9.3173758677946719</v>
      </c>
      <c r="O185" s="1"/>
      <c r="P185" s="274">
        <f t="shared" si="17"/>
        <v>7.4389813323204974</v>
      </c>
      <c r="Q185" s="275">
        <f t="shared" si="21"/>
        <v>9.7309830911075768</v>
      </c>
      <c r="R185" s="171"/>
    </row>
    <row r="186" spans="2:18">
      <c r="B186" s="94">
        <f t="shared" si="18"/>
        <v>2037</v>
      </c>
      <c r="C186" s="1">
        <f t="shared" si="19"/>
        <v>1</v>
      </c>
      <c r="D186" s="213">
        <v>50041</v>
      </c>
      <c r="E186" s="1" t="str">
        <f t="shared" si="20"/>
        <v>1-2037</v>
      </c>
      <c r="F186" s="268">
        <f>'IEPR Gas Prices Real'!F186*(INDEX('GDP Deflator'!$C$5:$C$89,MATCH('IEPR Gas Prices Nominal'!$B186,'GDP Deflator'!$B$5:$B$89,0))/100)</f>
        <v>7.263286500535874</v>
      </c>
      <c r="G186" s="269">
        <f>'IEPR Gas Prices Real'!G186*(INDEX('GDP Deflator'!$C$5:$C$89,MATCH('IEPR Gas Prices Nominal'!$B186,'GDP Deflator'!$B$5:$B$89,0))/100)</f>
        <v>2.1305720091151366</v>
      </c>
      <c r="H186" s="270">
        <f>'IEPR Gas Prices Real'!H186*(INDEX('GDP Deflator'!$C$5:$C$89,MATCH('IEPR Gas Prices Nominal'!$B186,'GDP Deflator'!$B$5:$B$89,0))/100)</f>
        <v>9.3938585096510092</v>
      </c>
      <c r="I186" s="269">
        <f>'IEPR Gas Prices Real'!I186*(INDEX('GDP Deflator'!$C$5:$C$89,MATCH('IEPR Gas Prices Nominal'!$B186,'GDP Deflator'!$B$5:$B$89,0))/100)</f>
        <v>7.6240311437026831</v>
      </c>
      <c r="J186" s="269">
        <f>'IEPR Gas Prices Real'!J186*(INDEX('GDP Deflator'!$C$5:$C$89,MATCH('IEPR Gas Prices Nominal'!$B186,'GDP Deflator'!$B$5:$B$89,0))/100)</f>
        <v>3.5180896362140213</v>
      </c>
      <c r="K186" s="269">
        <f>'IEPR Gas Prices Real'!K186*(INDEX('GDP Deflator'!$C$5:$C$89,MATCH('IEPR Gas Prices Nominal'!$B186,'GDP Deflator'!$B$5:$B$89,0))/100)</f>
        <v>11.142120779916706</v>
      </c>
      <c r="L186" s="268">
        <f>'IEPR Gas Prices Real'!L186*(INDEX('GDP Deflator'!$C$5:$C$89,MATCH('IEPR Gas Prices Nominal'!$B186,'GDP Deflator'!$B$5:$B$89,0))/100)</f>
        <v>7.9268441525903546</v>
      </c>
      <c r="M186" s="269">
        <f>'IEPR Gas Prices Real'!M186*(INDEX('GDP Deflator'!$C$5:$C$89,MATCH('IEPR Gas Prices Nominal'!$B186,'GDP Deflator'!$B$5:$B$89,0))/100)</f>
        <v>1.6614322101371806</v>
      </c>
      <c r="N186" s="270">
        <f>'IEPR Gas Prices Real'!N186*(INDEX('GDP Deflator'!$C$5:$C$89,MATCH('IEPR Gas Prices Nominal'!$B186,'GDP Deflator'!$B$5:$B$89,0))/100)</f>
        <v>9.5882763627275356</v>
      </c>
      <c r="O186" s="1"/>
      <c r="P186" s="274">
        <f t="shared" si="17"/>
        <v>7.6047205989429711</v>
      </c>
      <c r="Q186" s="275">
        <f t="shared" si="21"/>
        <v>10.041418550765082</v>
      </c>
      <c r="R186" s="171"/>
    </row>
    <row r="187" spans="2:18">
      <c r="B187" s="94">
        <f t="shared" si="18"/>
        <v>2037</v>
      </c>
      <c r="C187" s="1">
        <f t="shared" si="19"/>
        <v>2</v>
      </c>
      <c r="D187" s="213">
        <v>50072</v>
      </c>
      <c r="E187" s="1" t="str">
        <f t="shared" si="20"/>
        <v>2-2037</v>
      </c>
      <c r="F187" s="268">
        <f>'IEPR Gas Prices Real'!F187*(INDEX('GDP Deflator'!$C$5:$C$89,MATCH('IEPR Gas Prices Nominal'!$B187,'GDP Deflator'!$B$5:$B$89,0))/100)</f>
        <v>7.1041785278341854</v>
      </c>
      <c r="G187" s="269">
        <f>'IEPR Gas Prices Real'!G187*(INDEX('GDP Deflator'!$C$5:$C$89,MATCH('IEPR Gas Prices Nominal'!$B187,'GDP Deflator'!$B$5:$B$89,0))/100)</f>
        <v>2.1305720091151366</v>
      </c>
      <c r="H187" s="270">
        <f>'IEPR Gas Prices Real'!H187*(INDEX('GDP Deflator'!$C$5:$C$89,MATCH('IEPR Gas Prices Nominal'!$B187,'GDP Deflator'!$B$5:$B$89,0))/100)</f>
        <v>9.2347505369493224</v>
      </c>
      <c r="I187" s="269">
        <f>'IEPR Gas Prices Real'!I187*(INDEX('GDP Deflator'!$C$5:$C$89,MATCH('IEPR Gas Prices Nominal'!$B187,'GDP Deflator'!$B$5:$B$89,0))/100)</f>
        <v>7.4569511976798335</v>
      </c>
      <c r="J187" s="269">
        <f>'IEPR Gas Prices Real'!J187*(INDEX('GDP Deflator'!$C$5:$C$89,MATCH('IEPR Gas Prices Nominal'!$B187,'GDP Deflator'!$B$5:$B$89,0))/100)</f>
        <v>3.5180896362140213</v>
      </c>
      <c r="K187" s="269">
        <f>'IEPR Gas Prices Real'!K187*(INDEX('GDP Deflator'!$C$5:$C$89,MATCH('IEPR Gas Prices Nominal'!$B187,'GDP Deflator'!$B$5:$B$89,0))/100)</f>
        <v>10.975040833893855</v>
      </c>
      <c r="L187" s="268">
        <f>'IEPR Gas Prices Real'!L187*(INDEX('GDP Deflator'!$C$5:$C$89,MATCH('IEPR Gas Prices Nominal'!$B187,'GDP Deflator'!$B$5:$B$89,0))/100)</f>
        <v>7.7523688010380054</v>
      </c>
      <c r="M187" s="269">
        <f>'IEPR Gas Prices Real'!M187*(INDEX('GDP Deflator'!$C$5:$C$89,MATCH('IEPR Gas Prices Nominal'!$B187,'GDP Deflator'!$B$5:$B$89,0))/100)</f>
        <v>1.6614322101371806</v>
      </c>
      <c r="N187" s="270">
        <f>'IEPR Gas Prices Real'!N187*(INDEX('GDP Deflator'!$C$5:$C$89,MATCH('IEPR Gas Prices Nominal'!$B187,'GDP Deflator'!$B$5:$B$89,0))/100)</f>
        <v>9.4138010111751864</v>
      </c>
      <c r="O187" s="1"/>
      <c r="P187" s="274">
        <f t="shared" si="17"/>
        <v>7.4378328421840081</v>
      </c>
      <c r="Q187" s="275">
        <f t="shared" si="21"/>
        <v>9.8745307940061213</v>
      </c>
      <c r="R187" s="171"/>
    </row>
    <row r="188" spans="2:18">
      <c r="B188" s="94">
        <f t="shared" si="18"/>
        <v>2037</v>
      </c>
      <c r="C188" s="1">
        <f t="shared" si="19"/>
        <v>3</v>
      </c>
      <c r="D188" s="213">
        <v>50100</v>
      </c>
      <c r="E188" s="1" t="str">
        <f t="shared" si="20"/>
        <v>3-2037</v>
      </c>
      <c r="F188" s="268">
        <f>'IEPR Gas Prices Real'!F188*(INDEX('GDP Deflator'!$C$5:$C$89,MATCH('IEPR Gas Prices Nominal'!$B188,'GDP Deflator'!$B$5:$B$89,0))/100)</f>
        <v>6.5217828315187285</v>
      </c>
      <c r="G188" s="269">
        <f>'IEPR Gas Prices Real'!G188*(INDEX('GDP Deflator'!$C$5:$C$89,MATCH('IEPR Gas Prices Nominal'!$B188,'GDP Deflator'!$B$5:$B$89,0))/100)</f>
        <v>2.1305720091151366</v>
      </c>
      <c r="H188" s="270">
        <f>'IEPR Gas Prices Real'!H188*(INDEX('GDP Deflator'!$C$5:$C$89,MATCH('IEPR Gas Prices Nominal'!$B188,'GDP Deflator'!$B$5:$B$89,0))/100)</f>
        <v>8.6523548406338655</v>
      </c>
      <c r="I188" s="269">
        <f>'IEPR Gas Prices Real'!I188*(INDEX('GDP Deflator'!$C$5:$C$89,MATCH('IEPR Gas Prices Nominal'!$B188,'GDP Deflator'!$B$5:$B$89,0))/100)</f>
        <v>6.845571560774296</v>
      </c>
      <c r="J188" s="269">
        <f>'IEPR Gas Prices Real'!J188*(INDEX('GDP Deflator'!$C$5:$C$89,MATCH('IEPR Gas Prices Nominal'!$B188,'GDP Deflator'!$B$5:$B$89,0))/100)</f>
        <v>3.5180896362140213</v>
      </c>
      <c r="K188" s="269">
        <f>'IEPR Gas Prices Real'!K188*(INDEX('GDP Deflator'!$C$5:$C$89,MATCH('IEPR Gas Prices Nominal'!$B188,'GDP Deflator'!$B$5:$B$89,0))/100)</f>
        <v>10.363661196988318</v>
      </c>
      <c r="L188" s="268">
        <f>'IEPR Gas Prices Real'!L188*(INDEX('GDP Deflator'!$C$5:$C$89,MATCH('IEPR Gas Prices Nominal'!$B188,'GDP Deflator'!$B$5:$B$89,0))/100)</f>
        <v>7.116071422969755</v>
      </c>
      <c r="M188" s="269">
        <f>'IEPR Gas Prices Real'!M188*(INDEX('GDP Deflator'!$C$5:$C$89,MATCH('IEPR Gas Prices Nominal'!$B188,'GDP Deflator'!$B$5:$B$89,0))/100)</f>
        <v>1.6614322101371806</v>
      </c>
      <c r="N188" s="270">
        <f>'IEPR Gas Prices Real'!N188*(INDEX('GDP Deflator'!$C$5:$C$89,MATCH('IEPR Gas Prices Nominal'!$B188,'GDP Deflator'!$B$5:$B$89,0))/100)</f>
        <v>8.7775036331069352</v>
      </c>
      <c r="O188" s="1"/>
      <c r="P188" s="274">
        <f t="shared" si="17"/>
        <v>6.8278086050875926</v>
      </c>
      <c r="Q188" s="275">
        <f t="shared" si="21"/>
        <v>9.2645065569097067</v>
      </c>
      <c r="R188" s="171"/>
    </row>
    <row r="189" spans="2:18">
      <c r="B189" s="94">
        <f t="shared" si="18"/>
        <v>2037</v>
      </c>
      <c r="C189" s="1">
        <f t="shared" si="19"/>
        <v>4</v>
      </c>
      <c r="D189" s="213">
        <v>50131</v>
      </c>
      <c r="E189" s="1" t="str">
        <f t="shared" si="20"/>
        <v>4-2037</v>
      </c>
      <c r="F189" s="268">
        <f>'IEPR Gas Prices Real'!F189*(INDEX('GDP Deflator'!$C$5:$C$89,MATCH('IEPR Gas Prices Nominal'!$B189,'GDP Deflator'!$B$5:$B$89,0))/100)</f>
        <v>6.4109375599408018</v>
      </c>
      <c r="G189" s="269">
        <f>'IEPR Gas Prices Real'!G189*(INDEX('GDP Deflator'!$C$5:$C$89,MATCH('IEPR Gas Prices Nominal'!$B189,'GDP Deflator'!$B$5:$B$89,0))/100)</f>
        <v>2.1305720091151366</v>
      </c>
      <c r="H189" s="270">
        <f>'IEPR Gas Prices Real'!H189*(INDEX('GDP Deflator'!$C$5:$C$89,MATCH('IEPR Gas Prices Nominal'!$B189,'GDP Deflator'!$B$5:$B$89,0))/100)</f>
        <v>8.5415095690559379</v>
      </c>
      <c r="I189" s="269">
        <f>'IEPR Gas Prices Real'!I189*(INDEX('GDP Deflator'!$C$5:$C$89,MATCH('IEPR Gas Prices Nominal'!$B189,'GDP Deflator'!$B$5:$B$89,0))/100)</f>
        <v>6.7291603283052952</v>
      </c>
      <c r="J189" s="269">
        <f>'IEPR Gas Prices Real'!J189*(INDEX('GDP Deflator'!$C$5:$C$89,MATCH('IEPR Gas Prices Nominal'!$B189,'GDP Deflator'!$B$5:$B$89,0))/100)</f>
        <v>3.5180896362140213</v>
      </c>
      <c r="K189" s="269">
        <f>'IEPR Gas Prices Real'!K189*(INDEX('GDP Deflator'!$C$5:$C$89,MATCH('IEPR Gas Prices Nominal'!$B189,'GDP Deflator'!$B$5:$B$89,0))/100)</f>
        <v>10.247249964519316</v>
      </c>
      <c r="L189" s="268">
        <f>'IEPR Gas Prices Real'!L189*(INDEX('GDP Deflator'!$C$5:$C$89,MATCH('IEPR Gas Prices Nominal'!$B189,'GDP Deflator'!$B$5:$B$89,0))/100)</f>
        <v>6.9943749835938078</v>
      </c>
      <c r="M189" s="269">
        <f>'IEPR Gas Prices Real'!M189*(INDEX('GDP Deflator'!$C$5:$C$89,MATCH('IEPR Gas Prices Nominal'!$B189,'GDP Deflator'!$B$5:$B$89,0))/100)</f>
        <v>1.6614322101371806</v>
      </c>
      <c r="N189" s="270">
        <f>'IEPR Gas Prices Real'!N189*(INDEX('GDP Deflator'!$C$5:$C$89,MATCH('IEPR Gas Prices Nominal'!$B189,'GDP Deflator'!$B$5:$B$89,0))/100)</f>
        <v>8.6558071937309897</v>
      </c>
      <c r="O189" s="1"/>
      <c r="P189" s="274">
        <f t="shared" si="17"/>
        <v>6.7114909572799677</v>
      </c>
      <c r="Q189" s="275">
        <f t="shared" si="21"/>
        <v>9.14818890910208</v>
      </c>
      <c r="R189" s="171"/>
    </row>
    <row r="190" spans="2:18">
      <c r="B190" s="94">
        <f t="shared" si="18"/>
        <v>2037</v>
      </c>
      <c r="C190" s="1">
        <f t="shared" si="19"/>
        <v>5</v>
      </c>
      <c r="D190" s="213">
        <v>50161</v>
      </c>
      <c r="E190" s="1" t="str">
        <f t="shared" si="20"/>
        <v>5-2037</v>
      </c>
      <c r="F190" s="268">
        <f>'IEPR Gas Prices Real'!F190*(INDEX('GDP Deflator'!$C$5:$C$89,MATCH('IEPR Gas Prices Nominal'!$B190,'GDP Deflator'!$B$5:$B$89,0))/100)</f>
        <v>6.6341872987514927</v>
      </c>
      <c r="G190" s="269">
        <f>'IEPR Gas Prices Real'!G190*(INDEX('GDP Deflator'!$C$5:$C$89,MATCH('IEPR Gas Prices Nominal'!$B190,'GDP Deflator'!$B$5:$B$89,0))/100)</f>
        <v>2.1305720091151366</v>
      </c>
      <c r="H190" s="270">
        <f>'IEPR Gas Prices Real'!H190*(INDEX('GDP Deflator'!$C$5:$C$89,MATCH('IEPR Gas Prices Nominal'!$B190,'GDP Deflator'!$B$5:$B$89,0))/100)</f>
        <v>8.7647593078666297</v>
      </c>
      <c r="I190" s="269">
        <f>'IEPR Gas Prices Real'!I190*(INDEX('GDP Deflator'!$C$5:$C$89,MATCH('IEPR Gas Prices Nominal'!$B190,'GDP Deflator'!$B$5:$B$89,0))/100)</f>
        <v>6.963426635895563</v>
      </c>
      <c r="J190" s="269">
        <f>'IEPR Gas Prices Real'!J190*(INDEX('GDP Deflator'!$C$5:$C$89,MATCH('IEPR Gas Prices Nominal'!$B190,'GDP Deflator'!$B$5:$B$89,0))/100)</f>
        <v>3.5180896362140213</v>
      </c>
      <c r="K190" s="269">
        <f>'IEPR Gas Prices Real'!K190*(INDEX('GDP Deflator'!$C$5:$C$89,MATCH('IEPR Gas Prices Nominal'!$B190,'GDP Deflator'!$B$5:$B$89,0))/100)</f>
        <v>10.481516272109584</v>
      </c>
      <c r="L190" s="268">
        <f>'IEPR Gas Prices Real'!L190*(INDEX('GDP Deflator'!$C$5:$C$89,MATCH('IEPR Gas Prices Nominal'!$B190,'GDP Deflator'!$B$5:$B$89,0))/100)</f>
        <v>7.2371652012432985</v>
      </c>
      <c r="M190" s="269">
        <f>'IEPR Gas Prices Real'!M190*(INDEX('GDP Deflator'!$C$5:$C$89,MATCH('IEPR Gas Prices Nominal'!$B190,'GDP Deflator'!$B$5:$B$89,0))/100)</f>
        <v>1.6614322101371806</v>
      </c>
      <c r="N190" s="270">
        <f>'IEPR Gas Prices Real'!N190*(INDEX('GDP Deflator'!$C$5:$C$89,MATCH('IEPR Gas Prices Nominal'!$B190,'GDP Deflator'!$B$5:$B$89,0))/100)</f>
        <v>8.8985974113804787</v>
      </c>
      <c r="O190" s="1"/>
      <c r="P190" s="274">
        <f t="shared" si="17"/>
        <v>6.9449263786301181</v>
      </c>
      <c r="Q190" s="275">
        <f t="shared" si="21"/>
        <v>9.3816243304522313</v>
      </c>
      <c r="R190" s="171"/>
    </row>
    <row r="191" spans="2:18">
      <c r="B191" s="94">
        <f t="shared" si="18"/>
        <v>2037</v>
      </c>
      <c r="C191" s="1">
        <f t="shared" si="19"/>
        <v>6</v>
      </c>
      <c r="D191" s="213">
        <v>50192</v>
      </c>
      <c r="E191" s="1" t="str">
        <f t="shared" si="20"/>
        <v>6-2037</v>
      </c>
      <c r="F191" s="268">
        <f>'IEPR Gas Prices Real'!F191*(INDEX('GDP Deflator'!$C$5:$C$89,MATCH('IEPR Gas Prices Nominal'!$B191,'GDP Deflator'!$B$5:$B$89,0))/100)</f>
        <v>6.8058292067992907</v>
      </c>
      <c r="G191" s="269">
        <f>'IEPR Gas Prices Real'!G191*(INDEX('GDP Deflator'!$C$5:$C$89,MATCH('IEPR Gas Prices Nominal'!$B191,'GDP Deflator'!$B$5:$B$89,0))/100)</f>
        <v>2.1305720091151366</v>
      </c>
      <c r="H191" s="270">
        <f>'IEPR Gas Prices Real'!H191*(INDEX('GDP Deflator'!$C$5:$C$89,MATCH('IEPR Gas Prices Nominal'!$B191,'GDP Deflator'!$B$5:$B$89,0))/100)</f>
        <v>8.9364012159144277</v>
      </c>
      <c r="I191" s="269">
        <f>'IEPR Gas Prices Real'!I191*(INDEX('GDP Deflator'!$C$5:$C$89,MATCH('IEPR Gas Prices Nominal'!$B191,'GDP Deflator'!$B$5:$B$89,0))/100)</f>
        <v>7.1435200646277028</v>
      </c>
      <c r="J191" s="269">
        <f>'IEPR Gas Prices Real'!J191*(INDEX('GDP Deflator'!$C$5:$C$89,MATCH('IEPR Gas Prices Nominal'!$B191,'GDP Deflator'!$B$5:$B$89,0))/100)</f>
        <v>3.5180896362140213</v>
      </c>
      <c r="K191" s="269">
        <f>'IEPR Gas Prices Real'!K191*(INDEX('GDP Deflator'!$C$5:$C$89,MATCH('IEPR Gas Prices Nominal'!$B191,'GDP Deflator'!$B$5:$B$89,0))/100)</f>
        <v>10.661609700841725</v>
      </c>
      <c r="L191" s="268">
        <f>'IEPR Gas Prices Real'!L191*(INDEX('GDP Deflator'!$C$5:$C$89,MATCH('IEPR Gas Prices Nominal'!$B191,'GDP Deflator'!$B$5:$B$89,0))/100)</f>
        <v>7.4236107107802312</v>
      </c>
      <c r="M191" s="269">
        <f>'IEPR Gas Prices Real'!M191*(INDEX('GDP Deflator'!$C$5:$C$89,MATCH('IEPR Gas Prices Nominal'!$B191,'GDP Deflator'!$B$5:$B$89,0))/100)</f>
        <v>1.6614322101371806</v>
      </c>
      <c r="N191" s="270">
        <f>'IEPR Gas Prices Real'!N191*(INDEX('GDP Deflator'!$C$5:$C$89,MATCH('IEPR Gas Prices Nominal'!$B191,'GDP Deflator'!$B$5:$B$89,0))/100)</f>
        <v>9.0850429209174113</v>
      </c>
      <c r="O191" s="1"/>
      <c r="P191" s="274">
        <f t="shared" si="17"/>
        <v>7.1243199940690749</v>
      </c>
      <c r="Q191" s="275">
        <f t="shared" si="21"/>
        <v>9.5610179458911873</v>
      </c>
      <c r="R191" s="171"/>
    </row>
    <row r="192" spans="2:18">
      <c r="B192" s="94">
        <f t="shared" si="18"/>
        <v>2037</v>
      </c>
      <c r="C192" s="1">
        <f t="shared" si="19"/>
        <v>7</v>
      </c>
      <c r="D192" s="213">
        <v>50222</v>
      </c>
      <c r="E192" s="1" t="str">
        <f t="shared" si="20"/>
        <v>7-2037</v>
      </c>
      <c r="F192" s="268">
        <f>'IEPR Gas Prices Real'!F192*(INDEX('GDP Deflator'!$C$5:$C$89,MATCH('IEPR Gas Prices Nominal'!$B192,'GDP Deflator'!$B$5:$B$89,0))/100)</f>
        <v>6.8599587213673976</v>
      </c>
      <c r="G192" s="269">
        <f>'IEPR Gas Prices Real'!G192*(INDEX('GDP Deflator'!$C$5:$C$89,MATCH('IEPR Gas Prices Nominal'!$B192,'GDP Deflator'!$B$5:$B$89,0))/100)</f>
        <v>2.1305720091151366</v>
      </c>
      <c r="H192" s="270">
        <f>'IEPR Gas Prices Real'!H192*(INDEX('GDP Deflator'!$C$5:$C$89,MATCH('IEPR Gas Prices Nominal'!$B192,'GDP Deflator'!$B$5:$B$89,0))/100)</f>
        <v>8.9905307304825346</v>
      </c>
      <c r="I192" s="269">
        <f>'IEPR Gas Prices Real'!I192*(INDEX('GDP Deflator'!$C$5:$C$89,MATCH('IEPR Gas Prices Nominal'!$B192,'GDP Deflator'!$B$5:$B$89,0))/100)</f>
        <v>7.2002681687442234</v>
      </c>
      <c r="J192" s="269">
        <f>'IEPR Gas Prices Real'!J192*(INDEX('GDP Deflator'!$C$5:$C$89,MATCH('IEPR Gas Prices Nominal'!$B192,'GDP Deflator'!$B$5:$B$89,0))/100)</f>
        <v>3.5180896362140213</v>
      </c>
      <c r="K192" s="269">
        <f>'IEPR Gas Prices Real'!K192*(INDEX('GDP Deflator'!$C$5:$C$89,MATCH('IEPR Gas Prices Nominal'!$B192,'GDP Deflator'!$B$5:$B$89,0))/100)</f>
        <v>10.718357804958245</v>
      </c>
      <c r="L192" s="268">
        <f>'IEPR Gas Prices Real'!L192*(INDEX('GDP Deflator'!$C$5:$C$89,MATCH('IEPR Gas Prices Nominal'!$B192,'GDP Deflator'!$B$5:$B$89,0))/100)</f>
        <v>7.4818504747452819</v>
      </c>
      <c r="M192" s="269">
        <f>'IEPR Gas Prices Real'!M192*(INDEX('GDP Deflator'!$C$5:$C$89,MATCH('IEPR Gas Prices Nominal'!$B192,'GDP Deflator'!$B$5:$B$89,0))/100)</f>
        <v>1.6614322101371806</v>
      </c>
      <c r="N192" s="270">
        <f>'IEPR Gas Prices Real'!N192*(INDEX('GDP Deflator'!$C$5:$C$89,MATCH('IEPR Gas Prices Nominal'!$B192,'GDP Deflator'!$B$5:$B$89,0))/100)</f>
        <v>9.1432826848824629</v>
      </c>
      <c r="O192" s="1"/>
      <c r="P192" s="274">
        <f t="shared" si="17"/>
        <v>7.1806924549523012</v>
      </c>
      <c r="Q192" s="275">
        <f t="shared" si="21"/>
        <v>9.6173904067744136</v>
      </c>
      <c r="R192" s="171"/>
    </row>
    <row r="193" spans="2:18">
      <c r="B193" s="94">
        <f t="shared" si="18"/>
        <v>2037</v>
      </c>
      <c r="C193" s="1">
        <f t="shared" si="19"/>
        <v>8</v>
      </c>
      <c r="D193" s="213">
        <v>50253</v>
      </c>
      <c r="E193" s="1" t="str">
        <f t="shared" si="20"/>
        <v>8-2037</v>
      </c>
      <c r="F193" s="268">
        <f>'IEPR Gas Prices Real'!F193*(INDEX('GDP Deflator'!$C$5:$C$89,MATCH('IEPR Gas Prices Nominal'!$B193,'GDP Deflator'!$B$5:$B$89,0))/100)</f>
        <v>6.8071067627812116</v>
      </c>
      <c r="G193" s="269">
        <f>'IEPR Gas Prices Real'!G193*(INDEX('GDP Deflator'!$C$5:$C$89,MATCH('IEPR Gas Prices Nominal'!$B193,'GDP Deflator'!$B$5:$B$89,0))/100)</f>
        <v>2.1305720091151366</v>
      </c>
      <c r="H193" s="270">
        <f>'IEPR Gas Prices Real'!H193*(INDEX('GDP Deflator'!$C$5:$C$89,MATCH('IEPR Gas Prices Nominal'!$B193,'GDP Deflator'!$B$5:$B$89,0))/100)</f>
        <v>8.9376787718963495</v>
      </c>
      <c r="I193" s="269">
        <f>'IEPR Gas Prices Real'!I193*(INDEX('GDP Deflator'!$C$5:$C$89,MATCH('IEPR Gas Prices Nominal'!$B193,'GDP Deflator'!$B$5:$B$89,0))/100)</f>
        <v>7.1447276377476783</v>
      </c>
      <c r="J193" s="269">
        <f>'IEPR Gas Prices Real'!J193*(INDEX('GDP Deflator'!$C$5:$C$89,MATCH('IEPR Gas Prices Nominal'!$B193,'GDP Deflator'!$B$5:$B$89,0))/100)</f>
        <v>3.5180896362140213</v>
      </c>
      <c r="K193" s="269">
        <f>'IEPR Gas Prices Real'!K193*(INDEX('GDP Deflator'!$C$5:$C$89,MATCH('IEPR Gas Prices Nominal'!$B193,'GDP Deflator'!$B$5:$B$89,0))/100)</f>
        <v>10.6628172739617</v>
      </c>
      <c r="L193" s="268">
        <f>'IEPR Gas Prices Real'!L193*(INDEX('GDP Deflator'!$C$5:$C$89,MATCH('IEPR Gas Prices Nominal'!$B193,'GDP Deflator'!$B$5:$B$89,0))/100)</f>
        <v>7.4234101412599136</v>
      </c>
      <c r="M193" s="269">
        <f>'IEPR Gas Prices Real'!M193*(INDEX('GDP Deflator'!$C$5:$C$89,MATCH('IEPR Gas Prices Nominal'!$B193,'GDP Deflator'!$B$5:$B$89,0))/100)</f>
        <v>1.6614322101371806</v>
      </c>
      <c r="N193" s="270">
        <f>'IEPR Gas Prices Real'!N193*(INDEX('GDP Deflator'!$C$5:$C$89,MATCH('IEPR Gas Prices Nominal'!$B193,'GDP Deflator'!$B$5:$B$89,0))/100)</f>
        <v>9.0848423513970946</v>
      </c>
      <c r="O193" s="1"/>
      <c r="P193" s="274">
        <f t="shared" si="17"/>
        <v>7.1250815139296009</v>
      </c>
      <c r="Q193" s="275">
        <f t="shared" si="21"/>
        <v>9.5617794657517141</v>
      </c>
      <c r="R193" s="171"/>
    </row>
    <row r="194" spans="2:18">
      <c r="B194" s="94">
        <f t="shared" si="18"/>
        <v>2037</v>
      </c>
      <c r="C194" s="1">
        <f t="shared" si="19"/>
        <v>9</v>
      </c>
      <c r="D194" s="213">
        <v>50284</v>
      </c>
      <c r="E194" s="1" t="str">
        <f t="shared" si="20"/>
        <v>9-2037</v>
      </c>
      <c r="F194" s="268">
        <f>'IEPR Gas Prices Real'!F194*(INDEX('GDP Deflator'!$C$5:$C$89,MATCH('IEPR Gas Prices Nominal'!$B194,'GDP Deflator'!$B$5:$B$89,0))/100)</f>
        <v>6.9029915937551145</v>
      </c>
      <c r="G194" s="269">
        <f>'IEPR Gas Prices Real'!G194*(INDEX('GDP Deflator'!$C$5:$C$89,MATCH('IEPR Gas Prices Nominal'!$B194,'GDP Deflator'!$B$5:$B$89,0))/100)</f>
        <v>2.1305720091151366</v>
      </c>
      <c r="H194" s="270">
        <f>'IEPR Gas Prices Real'!H194*(INDEX('GDP Deflator'!$C$5:$C$89,MATCH('IEPR Gas Prices Nominal'!$B194,'GDP Deflator'!$B$5:$B$89,0))/100)</f>
        <v>9.0335636028702506</v>
      </c>
      <c r="I194" s="269">
        <f>'IEPR Gas Prices Real'!I194*(INDEX('GDP Deflator'!$C$5:$C$89,MATCH('IEPR Gas Prices Nominal'!$B194,'GDP Deflator'!$B$5:$B$89,0))/100)</f>
        <v>7.245300562608465</v>
      </c>
      <c r="J194" s="269">
        <f>'IEPR Gas Prices Real'!J194*(INDEX('GDP Deflator'!$C$5:$C$89,MATCH('IEPR Gas Prices Nominal'!$B194,'GDP Deflator'!$B$5:$B$89,0))/100)</f>
        <v>3.5180896362140213</v>
      </c>
      <c r="K194" s="269">
        <f>'IEPR Gas Prices Real'!K194*(INDEX('GDP Deflator'!$C$5:$C$89,MATCH('IEPR Gas Prices Nominal'!$B194,'GDP Deflator'!$B$5:$B$89,0))/100)</f>
        <v>10.763390198822487</v>
      </c>
      <c r="L194" s="268">
        <f>'IEPR Gas Prices Real'!L194*(INDEX('GDP Deflator'!$C$5:$C$89,MATCH('IEPR Gas Prices Nominal'!$B194,'GDP Deflator'!$B$5:$B$89,0))/100)</f>
        <v>7.5271678882161508</v>
      </c>
      <c r="M194" s="269">
        <f>'IEPR Gas Prices Real'!M194*(INDEX('GDP Deflator'!$C$5:$C$89,MATCH('IEPR Gas Prices Nominal'!$B194,'GDP Deflator'!$B$5:$B$89,0))/100)</f>
        <v>1.6614322101371806</v>
      </c>
      <c r="N194" s="270">
        <f>'IEPR Gas Prices Real'!N194*(INDEX('GDP Deflator'!$C$5:$C$89,MATCH('IEPR Gas Prices Nominal'!$B194,'GDP Deflator'!$B$5:$B$89,0))/100)</f>
        <v>9.1886000983533318</v>
      </c>
      <c r="O194" s="1"/>
      <c r="P194" s="274">
        <f t="shared" si="17"/>
        <v>7.2251533481932428</v>
      </c>
      <c r="Q194" s="275">
        <f t="shared" si="21"/>
        <v>9.661851300015357</v>
      </c>
      <c r="R194" s="171"/>
    </row>
    <row r="195" spans="2:18">
      <c r="B195" s="94">
        <f t="shared" si="18"/>
        <v>2037</v>
      </c>
      <c r="C195" s="1">
        <f t="shared" si="19"/>
        <v>10</v>
      </c>
      <c r="D195" s="213">
        <v>50314</v>
      </c>
      <c r="E195" s="1" t="str">
        <f t="shared" si="20"/>
        <v>10-2037</v>
      </c>
      <c r="F195" s="268">
        <f>'IEPR Gas Prices Real'!F195*(INDEX('GDP Deflator'!$C$5:$C$89,MATCH('IEPR Gas Prices Nominal'!$B195,'GDP Deflator'!$B$5:$B$89,0))/100)</f>
        <v>6.8633492087037569</v>
      </c>
      <c r="G195" s="269">
        <f>'IEPR Gas Prices Real'!G195*(INDEX('GDP Deflator'!$C$5:$C$89,MATCH('IEPR Gas Prices Nominal'!$B195,'GDP Deflator'!$B$5:$B$89,0))/100)</f>
        <v>2.1305720091151366</v>
      </c>
      <c r="H195" s="270">
        <f>'IEPR Gas Prices Real'!H195*(INDEX('GDP Deflator'!$C$5:$C$89,MATCH('IEPR Gas Prices Nominal'!$B195,'GDP Deflator'!$B$5:$B$89,0))/100)</f>
        <v>8.9939212178188939</v>
      </c>
      <c r="I195" s="269">
        <f>'IEPR Gas Prices Real'!I195*(INDEX('GDP Deflator'!$C$5:$C$89,MATCH('IEPR Gas Prices Nominal'!$B195,'GDP Deflator'!$B$5:$B$89,0))/100)</f>
        <v>7.2036251267033267</v>
      </c>
      <c r="J195" s="269">
        <f>'IEPR Gas Prices Real'!J195*(INDEX('GDP Deflator'!$C$5:$C$89,MATCH('IEPR Gas Prices Nominal'!$B195,'GDP Deflator'!$B$5:$B$89,0))/100)</f>
        <v>3.5180896362140213</v>
      </c>
      <c r="K195" s="269">
        <f>'IEPR Gas Prices Real'!K195*(INDEX('GDP Deflator'!$C$5:$C$89,MATCH('IEPR Gas Prices Nominal'!$B195,'GDP Deflator'!$B$5:$B$89,0))/100)</f>
        <v>10.721714762917347</v>
      </c>
      <c r="L195" s="268">
        <f>'IEPR Gas Prices Real'!L195*(INDEX('GDP Deflator'!$C$5:$C$89,MATCH('IEPR Gas Prices Nominal'!$B195,'GDP Deflator'!$B$5:$B$89,0))/100)</f>
        <v>7.483137274047496</v>
      </c>
      <c r="M195" s="269">
        <f>'IEPR Gas Prices Real'!M195*(INDEX('GDP Deflator'!$C$5:$C$89,MATCH('IEPR Gas Prices Nominal'!$B195,'GDP Deflator'!$B$5:$B$89,0))/100)</f>
        <v>1.6614322101371806</v>
      </c>
      <c r="N195" s="270">
        <f>'IEPR Gas Prices Real'!N195*(INDEX('GDP Deflator'!$C$5:$C$89,MATCH('IEPR Gas Prices Nominal'!$B195,'GDP Deflator'!$B$5:$B$89,0))/100)</f>
        <v>9.144569484184677</v>
      </c>
      <c r="O195" s="1"/>
      <c r="P195" s="274">
        <f t="shared" si="17"/>
        <v>7.1833705364848592</v>
      </c>
      <c r="Q195" s="275">
        <f t="shared" si="21"/>
        <v>9.6200684883069716</v>
      </c>
      <c r="R195" s="171"/>
    </row>
    <row r="196" spans="2:18">
      <c r="B196" s="94">
        <f t="shared" si="18"/>
        <v>2037</v>
      </c>
      <c r="C196" s="1">
        <f t="shared" si="19"/>
        <v>11</v>
      </c>
      <c r="D196" s="213">
        <v>50345</v>
      </c>
      <c r="E196" s="1" t="str">
        <f t="shared" si="20"/>
        <v>11-2037</v>
      </c>
      <c r="F196" s="268">
        <f>'IEPR Gas Prices Real'!F196*(INDEX('GDP Deflator'!$C$5:$C$89,MATCH('IEPR Gas Prices Nominal'!$B196,'GDP Deflator'!$B$5:$B$89,0))/100)</f>
        <v>7.2027257876834758</v>
      </c>
      <c r="G196" s="269">
        <f>'IEPR Gas Prices Real'!G196*(INDEX('GDP Deflator'!$C$5:$C$89,MATCH('IEPR Gas Prices Nominal'!$B196,'GDP Deflator'!$B$5:$B$89,0))/100)</f>
        <v>2.1305720091151366</v>
      </c>
      <c r="H196" s="270">
        <f>'IEPR Gas Prices Real'!H196*(INDEX('GDP Deflator'!$C$5:$C$89,MATCH('IEPR Gas Prices Nominal'!$B196,'GDP Deflator'!$B$5:$B$89,0))/100)</f>
        <v>9.3332977967986128</v>
      </c>
      <c r="I196" s="269">
        <f>'IEPR Gas Prices Real'!I196*(INDEX('GDP Deflator'!$C$5:$C$89,MATCH('IEPR Gas Prices Nominal'!$B196,'GDP Deflator'!$B$5:$B$89,0))/100)</f>
        <v>7.5597569818121331</v>
      </c>
      <c r="J196" s="269">
        <f>'IEPR Gas Prices Real'!J196*(INDEX('GDP Deflator'!$C$5:$C$89,MATCH('IEPR Gas Prices Nominal'!$B196,'GDP Deflator'!$B$5:$B$89,0))/100)</f>
        <v>3.5180896362140213</v>
      </c>
      <c r="K196" s="269">
        <f>'IEPR Gas Prices Real'!K196*(INDEX('GDP Deflator'!$C$5:$C$89,MATCH('IEPR Gas Prices Nominal'!$B196,'GDP Deflator'!$B$5:$B$89,0))/100)</f>
        <v>11.077846618026154</v>
      </c>
      <c r="L196" s="268">
        <f>'IEPR Gas Prices Real'!L196*(INDEX('GDP Deflator'!$C$5:$C$89,MATCH('IEPR Gas Prices Nominal'!$B196,'GDP Deflator'!$B$5:$B$89,0))/100)</f>
        <v>7.8523174254025276</v>
      </c>
      <c r="M196" s="269">
        <f>'IEPR Gas Prices Real'!M196*(INDEX('GDP Deflator'!$C$5:$C$89,MATCH('IEPR Gas Prices Nominal'!$B196,'GDP Deflator'!$B$5:$B$89,0))/100)</f>
        <v>1.6614322101371806</v>
      </c>
      <c r="N196" s="270">
        <f>'IEPR Gas Prices Real'!N196*(INDEX('GDP Deflator'!$C$5:$C$89,MATCH('IEPR Gas Prices Nominal'!$B196,'GDP Deflator'!$B$5:$B$89,0))/100)</f>
        <v>9.5137496355397086</v>
      </c>
      <c r="O196" s="1"/>
      <c r="P196" s="274">
        <f t="shared" si="17"/>
        <v>7.5382667316327128</v>
      </c>
      <c r="Q196" s="275">
        <f t="shared" si="21"/>
        <v>9.9749646834548269</v>
      </c>
      <c r="R196" s="171"/>
    </row>
    <row r="197" spans="2:18">
      <c r="B197" s="94">
        <f t="shared" si="18"/>
        <v>2037</v>
      </c>
      <c r="C197" s="1">
        <f t="shared" si="19"/>
        <v>12</v>
      </c>
      <c r="D197" s="213">
        <v>50375</v>
      </c>
      <c r="E197" s="1" t="str">
        <f t="shared" si="20"/>
        <v>12-2037</v>
      </c>
      <c r="F197" s="268">
        <f>'IEPR Gas Prices Real'!F197*(INDEX('GDP Deflator'!$C$5:$C$89,MATCH('IEPR Gas Prices Nominal'!$B197,'GDP Deflator'!$B$5:$B$89,0))/100)</f>
        <v>7.260804777408544</v>
      </c>
      <c r="G197" s="269">
        <f>'IEPR Gas Prices Real'!G197*(INDEX('GDP Deflator'!$C$5:$C$89,MATCH('IEPR Gas Prices Nominal'!$B197,'GDP Deflator'!$B$5:$B$89,0))/100)</f>
        <v>2.1305720091151366</v>
      </c>
      <c r="H197" s="270">
        <f>'IEPR Gas Prices Real'!H197*(INDEX('GDP Deflator'!$C$5:$C$89,MATCH('IEPR Gas Prices Nominal'!$B197,'GDP Deflator'!$B$5:$B$89,0))/100)</f>
        <v>9.391376786523681</v>
      </c>
      <c r="I197" s="269">
        <f>'IEPR Gas Prices Real'!I197*(INDEX('GDP Deflator'!$C$5:$C$89,MATCH('IEPR Gas Prices Nominal'!$B197,'GDP Deflator'!$B$5:$B$89,0))/100)</f>
        <v>7.6206437381774661</v>
      </c>
      <c r="J197" s="269">
        <f>'IEPR Gas Prices Real'!J197*(INDEX('GDP Deflator'!$C$5:$C$89,MATCH('IEPR Gas Prices Nominal'!$B197,'GDP Deflator'!$B$5:$B$89,0))/100)</f>
        <v>3.5180896362140213</v>
      </c>
      <c r="K197" s="269">
        <f>'IEPR Gas Prices Real'!K197*(INDEX('GDP Deflator'!$C$5:$C$89,MATCH('IEPR Gas Prices Nominal'!$B197,'GDP Deflator'!$B$5:$B$89,0))/100)</f>
        <v>11.138733374391485</v>
      </c>
      <c r="L197" s="268">
        <f>'IEPR Gas Prices Real'!L197*(INDEX('GDP Deflator'!$C$5:$C$89,MATCH('IEPR Gas Prices Nominal'!$B197,'GDP Deflator'!$B$5:$B$89,0))/100)</f>
        <v>7.9147840422600266</v>
      </c>
      <c r="M197" s="269">
        <f>'IEPR Gas Prices Real'!M197*(INDEX('GDP Deflator'!$C$5:$C$89,MATCH('IEPR Gas Prices Nominal'!$B197,'GDP Deflator'!$B$5:$B$89,0))/100)</f>
        <v>1.6614322101371806</v>
      </c>
      <c r="N197" s="270">
        <f>'IEPR Gas Prices Real'!N197*(INDEX('GDP Deflator'!$C$5:$C$89,MATCH('IEPR Gas Prices Nominal'!$B197,'GDP Deflator'!$B$5:$B$89,0))/100)</f>
        <v>9.5762162523972076</v>
      </c>
      <c r="O197" s="1"/>
      <c r="P197" s="274">
        <f t="shared" si="17"/>
        <v>7.5987441859486786</v>
      </c>
      <c r="Q197" s="275">
        <f t="shared" si="21"/>
        <v>10.035442137770792</v>
      </c>
      <c r="R197" s="171"/>
    </row>
    <row r="198" spans="2:18">
      <c r="B198" s="94">
        <f t="shared" si="18"/>
        <v>2038</v>
      </c>
      <c r="C198" s="1">
        <f t="shared" si="19"/>
        <v>1</v>
      </c>
      <c r="D198" s="213">
        <v>50406</v>
      </c>
      <c r="E198" s="1" t="str">
        <f t="shared" si="20"/>
        <v>1-2038</v>
      </c>
      <c r="F198" s="268">
        <f>'IEPR Gas Prices Real'!F198*(INDEX('GDP Deflator'!$C$5:$C$89,MATCH('IEPR Gas Prices Nominal'!$B198,'GDP Deflator'!$B$5:$B$89,0))/100)</f>
        <v>7.4243142561429973</v>
      </c>
      <c r="G198" s="269">
        <f>'IEPR Gas Prices Real'!G198*(INDEX('GDP Deflator'!$C$5:$C$89,MATCH('IEPR Gas Prices Nominal'!$B198,'GDP Deflator'!$B$5:$B$89,0))/100)</f>
        <v>2.2655122143547377</v>
      </c>
      <c r="H198" s="270">
        <f>'IEPR Gas Prices Real'!H198*(INDEX('GDP Deflator'!$C$5:$C$89,MATCH('IEPR Gas Prices Nominal'!$B198,'GDP Deflator'!$B$5:$B$89,0))/100)</f>
        <v>9.689826470497735</v>
      </c>
      <c r="I198" s="269">
        <f>'IEPR Gas Prices Real'!I198*(INDEX('GDP Deflator'!$C$5:$C$89,MATCH('IEPR Gas Prices Nominal'!$B198,'GDP Deflator'!$B$5:$B$89,0))/100)</f>
        <v>7.7921840045579387</v>
      </c>
      <c r="J198" s="269">
        <f>'IEPR Gas Prices Real'!J198*(INDEX('GDP Deflator'!$C$5:$C$89,MATCH('IEPR Gas Prices Nominal'!$B198,'GDP Deflator'!$B$5:$B$89,0))/100)</f>
        <v>3.7409085484737385</v>
      </c>
      <c r="K198" s="269">
        <f>'IEPR Gas Prices Real'!K198*(INDEX('GDP Deflator'!$C$5:$C$89,MATCH('IEPR Gas Prices Nominal'!$B198,'GDP Deflator'!$B$5:$B$89,0))/100)</f>
        <v>11.533092553031679</v>
      </c>
      <c r="L198" s="268">
        <f>'IEPR Gas Prices Real'!L198*(INDEX('GDP Deflator'!$C$5:$C$89,MATCH('IEPR Gas Prices Nominal'!$B198,'GDP Deflator'!$B$5:$B$89,0))/100)</f>
        <v>8.0922307114023067</v>
      </c>
      <c r="M198" s="269">
        <f>'IEPR Gas Prices Real'!M198*(INDEX('GDP Deflator'!$C$5:$C$89,MATCH('IEPR Gas Prices Nominal'!$B198,'GDP Deflator'!$B$5:$B$89,0))/100)</f>
        <v>1.7666593521762368</v>
      </c>
      <c r="N198" s="270">
        <f>'IEPR Gas Prices Real'!N198*(INDEX('GDP Deflator'!$C$5:$C$89,MATCH('IEPR Gas Prices Nominal'!$B198,'GDP Deflator'!$B$5:$B$89,0))/100)</f>
        <v>9.8588900635785439</v>
      </c>
      <c r="O198" s="1"/>
      <c r="P198" s="274">
        <f t="shared" ref="P198:P261" si="22">AVERAGE(F198,I198,L198)</f>
        <v>7.7695763240344142</v>
      </c>
      <c r="Q198" s="275">
        <f t="shared" si="21"/>
        <v>10.360603029035985</v>
      </c>
      <c r="R198" s="171"/>
    </row>
    <row r="199" spans="2:18">
      <c r="B199" s="94">
        <f t="shared" ref="B199:B262" si="23">YEAR(D199)</f>
        <v>2038</v>
      </c>
      <c r="C199" s="1">
        <f t="shared" ref="C199:C262" si="24">MONTH(D199)</f>
        <v>2</v>
      </c>
      <c r="D199" s="213">
        <v>50437</v>
      </c>
      <c r="E199" s="1" t="str">
        <f t="shared" ref="E199:E262" si="25">C199&amp;"-"&amp;B199</f>
        <v>2-2038</v>
      </c>
      <c r="F199" s="268">
        <f>'IEPR Gas Prices Real'!F199*(INDEX('GDP Deflator'!$C$5:$C$89,MATCH('IEPR Gas Prices Nominal'!$B199,'GDP Deflator'!$B$5:$B$89,0))/100)</f>
        <v>7.2616924711887254</v>
      </c>
      <c r="G199" s="269">
        <f>'IEPR Gas Prices Real'!G199*(INDEX('GDP Deflator'!$C$5:$C$89,MATCH('IEPR Gas Prices Nominal'!$B199,'GDP Deflator'!$B$5:$B$89,0))/100)</f>
        <v>2.2655122143547377</v>
      </c>
      <c r="H199" s="270">
        <f>'IEPR Gas Prices Real'!H199*(INDEX('GDP Deflator'!$C$5:$C$89,MATCH('IEPR Gas Prices Nominal'!$B199,'GDP Deflator'!$B$5:$B$89,0))/100)</f>
        <v>9.5272046855434631</v>
      </c>
      <c r="I199" s="269">
        <f>'IEPR Gas Prices Real'!I199*(INDEX('GDP Deflator'!$C$5:$C$89,MATCH('IEPR Gas Prices Nominal'!$B199,'GDP Deflator'!$B$5:$B$89,0))/100)</f>
        <v>7.6214334122474812</v>
      </c>
      <c r="J199" s="269">
        <f>'IEPR Gas Prices Real'!J199*(INDEX('GDP Deflator'!$C$5:$C$89,MATCH('IEPR Gas Prices Nominal'!$B199,'GDP Deflator'!$B$5:$B$89,0))/100)</f>
        <v>3.7409085484737385</v>
      </c>
      <c r="K199" s="269">
        <f>'IEPR Gas Prices Real'!K199*(INDEX('GDP Deflator'!$C$5:$C$89,MATCH('IEPR Gas Prices Nominal'!$B199,'GDP Deflator'!$B$5:$B$89,0))/100)</f>
        <v>11.362341960721221</v>
      </c>
      <c r="L199" s="268">
        <f>'IEPR Gas Prices Real'!L199*(INDEX('GDP Deflator'!$C$5:$C$89,MATCH('IEPR Gas Prices Nominal'!$B199,'GDP Deflator'!$B$5:$B$89,0))/100)</f>
        <v>7.9142061183105277</v>
      </c>
      <c r="M199" s="269">
        <f>'IEPR Gas Prices Real'!M199*(INDEX('GDP Deflator'!$C$5:$C$89,MATCH('IEPR Gas Prices Nominal'!$B199,'GDP Deflator'!$B$5:$B$89,0))/100)</f>
        <v>1.7666593521762368</v>
      </c>
      <c r="N199" s="270">
        <f>'IEPR Gas Prices Real'!N199*(INDEX('GDP Deflator'!$C$5:$C$89,MATCH('IEPR Gas Prices Nominal'!$B199,'GDP Deflator'!$B$5:$B$89,0))/100)</f>
        <v>9.6808654704867632</v>
      </c>
      <c r="O199" s="1"/>
      <c r="P199" s="274">
        <f t="shared" si="22"/>
        <v>7.5991106672489117</v>
      </c>
      <c r="Q199" s="275">
        <f t="shared" ref="Q199:Q262" si="26">AVERAGE(H199,K199,N199)</f>
        <v>10.190137372250483</v>
      </c>
      <c r="R199" s="171"/>
    </row>
    <row r="200" spans="2:18">
      <c r="B200" s="94">
        <f t="shared" si="23"/>
        <v>2038</v>
      </c>
      <c r="C200" s="1">
        <f t="shared" si="24"/>
        <v>3</v>
      </c>
      <c r="D200" s="213">
        <v>50465</v>
      </c>
      <c r="E200" s="1" t="str">
        <f t="shared" si="25"/>
        <v>3-2038</v>
      </c>
      <c r="F200" s="268">
        <f>'IEPR Gas Prices Real'!F200*(INDEX('GDP Deflator'!$C$5:$C$89,MATCH('IEPR Gas Prices Nominal'!$B200,'GDP Deflator'!$B$5:$B$89,0))/100)</f>
        <v>6.6663963996839701</v>
      </c>
      <c r="G200" s="269">
        <f>'IEPR Gas Prices Real'!G200*(INDEX('GDP Deflator'!$C$5:$C$89,MATCH('IEPR Gas Prices Nominal'!$B200,'GDP Deflator'!$B$5:$B$89,0))/100)</f>
        <v>2.2655122143547377</v>
      </c>
      <c r="H200" s="270">
        <f>'IEPR Gas Prices Real'!H200*(INDEX('GDP Deflator'!$C$5:$C$89,MATCH('IEPR Gas Prices Nominal'!$B200,'GDP Deflator'!$B$5:$B$89,0))/100)</f>
        <v>8.9319086140387078</v>
      </c>
      <c r="I200" s="269">
        <f>'IEPR Gas Prices Real'!I200*(INDEX('GDP Deflator'!$C$5:$C$89,MATCH('IEPR Gas Prices Nominal'!$B200,'GDP Deflator'!$B$5:$B$89,0))/100)</f>
        <v>6.9965814547168508</v>
      </c>
      <c r="J200" s="269">
        <f>'IEPR Gas Prices Real'!J200*(INDEX('GDP Deflator'!$C$5:$C$89,MATCH('IEPR Gas Prices Nominal'!$B200,'GDP Deflator'!$B$5:$B$89,0))/100)</f>
        <v>3.7409085484737385</v>
      </c>
      <c r="K200" s="269">
        <f>'IEPR Gas Prices Real'!K200*(INDEX('GDP Deflator'!$C$5:$C$89,MATCH('IEPR Gas Prices Nominal'!$B200,'GDP Deflator'!$B$5:$B$89,0))/100)</f>
        <v>10.737490003190588</v>
      </c>
      <c r="L200" s="268">
        <f>'IEPR Gas Prices Real'!L200*(INDEX('GDP Deflator'!$C$5:$C$89,MATCH('IEPR Gas Prices Nominal'!$B200,'GDP Deflator'!$B$5:$B$89,0))/100)</f>
        <v>7.2647090707840016</v>
      </c>
      <c r="M200" s="269">
        <f>'IEPR Gas Prices Real'!M200*(INDEX('GDP Deflator'!$C$5:$C$89,MATCH('IEPR Gas Prices Nominal'!$B200,'GDP Deflator'!$B$5:$B$89,0))/100)</f>
        <v>1.7666593521762368</v>
      </c>
      <c r="N200" s="270">
        <f>'IEPR Gas Prices Real'!N200*(INDEX('GDP Deflator'!$C$5:$C$89,MATCH('IEPR Gas Prices Nominal'!$B200,'GDP Deflator'!$B$5:$B$89,0))/100)</f>
        <v>9.031368422960238</v>
      </c>
      <c r="O200" s="1"/>
      <c r="P200" s="274">
        <f t="shared" si="22"/>
        <v>6.9758956417282745</v>
      </c>
      <c r="Q200" s="275">
        <f t="shared" si="26"/>
        <v>9.5669223467298448</v>
      </c>
      <c r="R200" s="171"/>
    </row>
    <row r="201" spans="2:18">
      <c r="B201" s="94">
        <f t="shared" si="23"/>
        <v>2038</v>
      </c>
      <c r="C201" s="1">
        <f t="shared" si="24"/>
        <v>4</v>
      </c>
      <c r="D201" s="213">
        <v>50496</v>
      </c>
      <c r="E201" s="1" t="str">
        <f t="shared" si="25"/>
        <v>4-2038</v>
      </c>
      <c r="F201" s="268">
        <f>'IEPR Gas Prices Real'!F201*(INDEX('GDP Deflator'!$C$5:$C$89,MATCH('IEPR Gas Prices Nominal'!$B201,'GDP Deflator'!$B$5:$B$89,0))/100)</f>
        <v>6.5531055506663582</v>
      </c>
      <c r="G201" s="269">
        <f>'IEPR Gas Prices Real'!G201*(INDEX('GDP Deflator'!$C$5:$C$89,MATCH('IEPR Gas Prices Nominal'!$B201,'GDP Deflator'!$B$5:$B$89,0))/100)</f>
        <v>2.2655122143547377</v>
      </c>
      <c r="H201" s="270">
        <f>'IEPR Gas Prices Real'!H201*(INDEX('GDP Deflator'!$C$5:$C$89,MATCH('IEPR Gas Prices Nominal'!$B201,'GDP Deflator'!$B$5:$B$89,0))/100)</f>
        <v>8.8186177650210968</v>
      </c>
      <c r="I201" s="269">
        <f>'IEPR Gas Prices Real'!I201*(INDEX('GDP Deflator'!$C$5:$C$89,MATCH('IEPR Gas Prices Nominal'!$B201,'GDP Deflator'!$B$5:$B$89,0))/100)</f>
        <v>6.8776152522167768</v>
      </c>
      <c r="J201" s="269">
        <f>'IEPR Gas Prices Real'!J201*(INDEX('GDP Deflator'!$C$5:$C$89,MATCH('IEPR Gas Prices Nominal'!$B201,'GDP Deflator'!$B$5:$B$89,0))/100)</f>
        <v>3.7409085484737385</v>
      </c>
      <c r="K201" s="269">
        <f>'IEPR Gas Prices Real'!K201*(INDEX('GDP Deflator'!$C$5:$C$89,MATCH('IEPR Gas Prices Nominal'!$B201,'GDP Deflator'!$B$5:$B$89,0))/100)</f>
        <v>10.618523800690516</v>
      </c>
      <c r="L201" s="268">
        <f>'IEPR Gas Prices Real'!L201*(INDEX('GDP Deflator'!$C$5:$C$89,MATCH('IEPR Gas Prices Nominal'!$B201,'GDP Deflator'!$B$5:$B$89,0))/100)</f>
        <v>7.1405528583624047</v>
      </c>
      <c r="M201" s="269">
        <f>'IEPR Gas Prices Real'!M201*(INDEX('GDP Deflator'!$C$5:$C$89,MATCH('IEPR Gas Prices Nominal'!$B201,'GDP Deflator'!$B$5:$B$89,0))/100)</f>
        <v>1.7666593521762368</v>
      </c>
      <c r="N201" s="270">
        <f>'IEPR Gas Prices Real'!N201*(INDEX('GDP Deflator'!$C$5:$C$89,MATCH('IEPR Gas Prices Nominal'!$B201,'GDP Deflator'!$B$5:$B$89,0))/100)</f>
        <v>8.9072122105386402</v>
      </c>
      <c r="O201" s="1"/>
      <c r="P201" s="274">
        <f t="shared" si="22"/>
        <v>6.8570912204151808</v>
      </c>
      <c r="Q201" s="275">
        <f t="shared" si="26"/>
        <v>9.4481179254167511</v>
      </c>
      <c r="R201" s="171"/>
    </row>
    <row r="202" spans="2:18">
      <c r="B202" s="94">
        <f t="shared" si="23"/>
        <v>2038</v>
      </c>
      <c r="C202" s="1">
        <f t="shared" si="24"/>
        <v>5</v>
      </c>
      <c r="D202" s="213">
        <v>50526</v>
      </c>
      <c r="E202" s="1" t="str">
        <f t="shared" si="25"/>
        <v>5-2038</v>
      </c>
      <c r="F202" s="268">
        <f>'IEPR Gas Prices Real'!F202*(INDEX('GDP Deflator'!$C$5:$C$89,MATCH('IEPR Gas Prices Nominal'!$B202,'GDP Deflator'!$B$5:$B$89,0))/100)</f>
        <v>6.7813187691114649</v>
      </c>
      <c r="G202" s="269">
        <f>'IEPR Gas Prices Real'!G202*(INDEX('GDP Deflator'!$C$5:$C$89,MATCH('IEPR Gas Prices Nominal'!$B202,'GDP Deflator'!$B$5:$B$89,0))/100)</f>
        <v>2.2655122143547377</v>
      </c>
      <c r="H202" s="270">
        <f>'IEPR Gas Prices Real'!H202*(INDEX('GDP Deflator'!$C$5:$C$89,MATCH('IEPR Gas Prices Nominal'!$B202,'GDP Deflator'!$B$5:$B$89,0))/100)</f>
        <v>9.0468309834662026</v>
      </c>
      <c r="I202" s="269">
        <f>'IEPR Gas Prices Real'!I202*(INDEX('GDP Deflator'!$C$5:$C$89,MATCH('IEPR Gas Prices Nominal'!$B202,'GDP Deflator'!$B$5:$B$89,0))/100)</f>
        <v>7.1170632676386631</v>
      </c>
      <c r="J202" s="269">
        <f>'IEPR Gas Prices Real'!J202*(INDEX('GDP Deflator'!$C$5:$C$89,MATCH('IEPR Gas Prices Nominal'!$B202,'GDP Deflator'!$B$5:$B$89,0))/100)</f>
        <v>3.7409085484737385</v>
      </c>
      <c r="K202" s="269">
        <f>'IEPR Gas Prices Real'!K202*(INDEX('GDP Deflator'!$C$5:$C$89,MATCH('IEPR Gas Prices Nominal'!$B202,'GDP Deflator'!$B$5:$B$89,0))/100)</f>
        <v>10.857971816112402</v>
      </c>
      <c r="L202" s="268">
        <f>'IEPR Gas Prices Real'!L202*(INDEX('GDP Deflator'!$C$5:$C$89,MATCH('IEPR Gas Prices Nominal'!$B202,'GDP Deflator'!$B$5:$B$89,0))/100)</f>
        <v>7.3885022810024461</v>
      </c>
      <c r="M202" s="269">
        <f>'IEPR Gas Prices Real'!M202*(INDEX('GDP Deflator'!$C$5:$C$89,MATCH('IEPR Gas Prices Nominal'!$B202,'GDP Deflator'!$B$5:$B$89,0))/100)</f>
        <v>1.7666593521762368</v>
      </c>
      <c r="N202" s="270">
        <f>'IEPR Gas Prices Real'!N202*(INDEX('GDP Deflator'!$C$5:$C$89,MATCH('IEPR Gas Prices Nominal'!$B202,'GDP Deflator'!$B$5:$B$89,0))/100)</f>
        <v>9.1551616331786843</v>
      </c>
      <c r="O202" s="1"/>
      <c r="P202" s="274">
        <f t="shared" si="22"/>
        <v>7.0956281059175241</v>
      </c>
      <c r="Q202" s="275">
        <f t="shared" si="26"/>
        <v>9.6866548109190962</v>
      </c>
      <c r="R202" s="171"/>
    </row>
    <row r="203" spans="2:18">
      <c r="B203" s="94">
        <f t="shared" si="23"/>
        <v>2038</v>
      </c>
      <c r="C203" s="1">
        <f t="shared" si="24"/>
        <v>6</v>
      </c>
      <c r="D203" s="213">
        <v>50557</v>
      </c>
      <c r="E203" s="1" t="str">
        <f t="shared" si="25"/>
        <v>6-2038</v>
      </c>
      <c r="F203" s="268">
        <f>'IEPR Gas Prices Real'!F203*(INDEX('GDP Deflator'!$C$5:$C$89,MATCH('IEPR Gas Prices Nominal'!$B203,'GDP Deflator'!$B$5:$B$89,0))/100)</f>
        <v>6.956780368393253</v>
      </c>
      <c r="G203" s="269">
        <f>'IEPR Gas Prices Real'!G203*(INDEX('GDP Deflator'!$C$5:$C$89,MATCH('IEPR Gas Prices Nominal'!$B203,'GDP Deflator'!$B$5:$B$89,0))/100)</f>
        <v>2.2655122143547377</v>
      </c>
      <c r="H203" s="270">
        <f>'IEPR Gas Prices Real'!H203*(INDEX('GDP Deflator'!$C$5:$C$89,MATCH('IEPR Gas Prices Nominal'!$B203,'GDP Deflator'!$B$5:$B$89,0))/100)</f>
        <v>9.2222925827479916</v>
      </c>
      <c r="I203" s="269">
        <f>'IEPR Gas Prices Real'!I203*(INDEX('GDP Deflator'!$C$5:$C$89,MATCH('IEPR Gas Prices Nominal'!$B203,'GDP Deflator'!$B$5:$B$89,0))/100)</f>
        <v>7.3011439697782556</v>
      </c>
      <c r="J203" s="269">
        <f>'IEPR Gas Prices Real'!J203*(INDEX('GDP Deflator'!$C$5:$C$89,MATCH('IEPR Gas Prices Nominal'!$B203,'GDP Deflator'!$B$5:$B$89,0))/100)</f>
        <v>3.7409085484737385</v>
      </c>
      <c r="K203" s="269">
        <f>'IEPR Gas Prices Real'!K203*(INDEX('GDP Deflator'!$C$5:$C$89,MATCH('IEPR Gas Prices Nominal'!$B203,'GDP Deflator'!$B$5:$B$89,0))/100)</f>
        <v>11.042052518251994</v>
      </c>
      <c r="L203" s="268">
        <f>'IEPR Gas Prices Real'!L203*(INDEX('GDP Deflator'!$C$5:$C$89,MATCH('IEPR Gas Prices Nominal'!$B203,'GDP Deflator'!$B$5:$B$89,0))/100)</f>
        <v>7.5789338324880822</v>
      </c>
      <c r="M203" s="269">
        <f>'IEPR Gas Prices Real'!M203*(INDEX('GDP Deflator'!$C$5:$C$89,MATCH('IEPR Gas Prices Nominal'!$B203,'GDP Deflator'!$B$5:$B$89,0))/100)</f>
        <v>1.7666593521762368</v>
      </c>
      <c r="N203" s="270">
        <f>'IEPR Gas Prices Real'!N203*(INDEX('GDP Deflator'!$C$5:$C$89,MATCH('IEPR Gas Prices Nominal'!$B203,'GDP Deflator'!$B$5:$B$89,0))/100)</f>
        <v>9.3455931846643185</v>
      </c>
      <c r="O203" s="1"/>
      <c r="P203" s="274">
        <f t="shared" si="22"/>
        <v>7.2789527235531972</v>
      </c>
      <c r="Q203" s="275">
        <f t="shared" si="26"/>
        <v>9.8699794285547693</v>
      </c>
      <c r="R203" s="171"/>
    </row>
    <row r="204" spans="2:18">
      <c r="B204" s="94">
        <f t="shared" si="23"/>
        <v>2038</v>
      </c>
      <c r="C204" s="1">
        <f t="shared" si="24"/>
        <v>7</v>
      </c>
      <c r="D204" s="213">
        <v>50587</v>
      </c>
      <c r="E204" s="1" t="str">
        <f t="shared" si="25"/>
        <v>7-2038</v>
      </c>
      <c r="F204" s="268">
        <f>'IEPR Gas Prices Real'!F204*(INDEX('GDP Deflator'!$C$5:$C$89,MATCH('IEPR Gas Prices Nominal'!$B204,'GDP Deflator'!$B$5:$B$89,0))/100)</f>
        <v>7.0121236198013515</v>
      </c>
      <c r="G204" s="269">
        <f>'IEPR Gas Prices Real'!G204*(INDEX('GDP Deflator'!$C$5:$C$89,MATCH('IEPR Gas Prices Nominal'!$B204,'GDP Deflator'!$B$5:$B$89,0))/100)</f>
        <v>2.2655122143547377</v>
      </c>
      <c r="H204" s="270">
        <f>'IEPR Gas Prices Real'!H204*(INDEX('GDP Deflator'!$C$5:$C$89,MATCH('IEPR Gas Prices Nominal'!$B204,'GDP Deflator'!$B$5:$B$89,0))/100)</f>
        <v>9.2776358341560883</v>
      </c>
      <c r="I204" s="269">
        <f>'IEPR Gas Prices Real'!I204*(INDEX('GDP Deflator'!$C$5:$C$89,MATCH('IEPR Gas Prices Nominal'!$B204,'GDP Deflator'!$B$5:$B$89,0))/100)</f>
        <v>7.3591581544616567</v>
      </c>
      <c r="J204" s="269">
        <f>'IEPR Gas Prices Real'!J204*(INDEX('GDP Deflator'!$C$5:$C$89,MATCH('IEPR Gas Prices Nominal'!$B204,'GDP Deflator'!$B$5:$B$89,0))/100)</f>
        <v>3.7409085484737385</v>
      </c>
      <c r="K204" s="269">
        <f>'IEPR Gas Prices Real'!K204*(INDEX('GDP Deflator'!$C$5:$C$89,MATCH('IEPR Gas Prices Nominal'!$B204,'GDP Deflator'!$B$5:$B$89,0))/100)</f>
        <v>11.100066702935395</v>
      </c>
      <c r="L204" s="268">
        <f>'IEPR Gas Prices Real'!L204*(INDEX('GDP Deflator'!$C$5:$C$89,MATCH('IEPR Gas Prices Nominal'!$B204,'GDP Deflator'!$B$5:$B$89,0))/100)</f>
        <v>7.6384801072478741</v>
      </c>
      <c r="M204" s="269">
        <f>'IEPR Gas Prices Real'!M204*(INDEX('GDP Deflator'!$C$5:$C$89,MATCH('IEPR Gas Prices Nominal'!$B204,'GDP Deflator'!$B$5:$B$89,0))/100)</f>
        <v>1.7666593521762368</v>
      </c>
      <c r="N204" s="270">
        <f>'IEPR Gas Prices Real'!N204*(INDEX('GDP Deflator'!$C$5:$C$89,MATCH('IEPR Gas Prices Nominal'!$B204,'GDP Deflator'!$B$5:$B$89,0))/100)</f>
        <v>9.4051394594241096</v>
      </c>
      <c r="O204" s="1"/>
      <c r="P204" s="274">
        <f t="shared" si="22"/>
        <v>7.3365872938369607</v>
      </c>
      <c r="Q204" s="275">
        <f t="shared" si="26"/>
        <v>9.927613998838531</v>
      </c>
      <c r="R204" s="171"/>
    </row>
    <row r="205" spans="2:18">
      <c r="B205" s="94">
        <f t="shared" si="23"/>
        <v>2038</v>
      </c>
      <c r="C205" s="1">
        <f t="shared" si="24"/>
        <v>8</v>
      </c>
      <c r="D205" s="213">
        <v>50618</v>
      </c>
      <c r="E205" s="1" t="str">
        <f t="shared" si="25"/>
        <v>8-2038</v>
      </c>
      <c r="F205" s="268">
        <f>'IEPR Gas Prices Real'!F205*(INDEX('GDP Deflator'!$C$5:$C$89,MATCH('IEPR Gas Prices Nominal'!$B205,'GDP Deflator'!$B$5:$B$89,0))/100)</f>
        <v>6.9581123802415972</v>
      </c>
      <c r="G205" s="269">
        <f>'IEPR Gas Prices Real'!G205*(INDEX('GDP Deflator'!$C$5:$C$89,MATCH('IEPR Gas Prices Nominal'!$B205,'GDP Deflator'!$B$5:$B$89,0))/100)</f>
        <v>2.2655122143547377</v>
      </c>
      <c r="H205" s="270">
        <f>'IEPR Gas Prices Real'!H205*(INDEX('GDP Deflator'!$C$5:$C$89,MATCH('IEPR Gas Prices Nominal'!$B205,'GDP Deflator'!$B$5:$B$89,0))/100)</f>
        <v>9.223624594596334</v>
      </c>
      <c r="I205" s="269">
        <f>'IEPR Gas Prices Real'!I205*(INDEX('GDP Deflator'!$C$5:$C$89,MATCH('IEPR Gas Prices Nominal'!$B205,'GDP Deflator'!$B$5:$B$89,0))/100)</f>
        <v>7.30240580790639</v>
      </c>
      <c r="J205" s="269">
        <f>'IEPR Gas Prices Real'!J205*(INDEX('GDP Deflator'!$C$5:$C$89,MATCH('IEPR Gas Prices Nominal'!$B205,'GDP Deflator'!$B$5:$B$89,0))/100)</f>
        <v>3.7409085484737385</v>
      </c>
      <c r="K205" s="269">
        <f>'IEPR Gas Prices Real'!K205*(INDEX('GDP Deflator'!$C$5:$C$89,MATCH('IEPR Gas Prices Nominal'!$B205,'GDP Deflator'!$B$5:$B$89,0))/100)</f>
        <v>11.043314356380128</v>
      </c>
      <c r="L205" s="268">
        <f>'IEPR Gas Prices Real'!L205*(INDEX('GDP Deflator'!$C$5:$C$89,MATCH('IEPR Gas Prices Nominal'!$B205,'GDP Deflator'!$B$5:$B$89,0))/100)</f>
        <v>7.5789036522755202</v>
      </c>
      <c r="M205" s="269">
        <f>'IEPR Gas Prices Real'!M205*(INDEX('GDP Deflator'!$C$5:$C$89,MATCH('IEPR Gas Prices Nominal'!$B205,'GDP Deflator'!$B$5:$B$89,0))/100)</f>
        <v>1.7666593521762368</v>
      </c>
      <c r="N205" s="270">
        <f>'IEPR Gas Prices Real'!N205*(INDEX('GDP Deflator'!$C$5:$C$89,MATCH('IEPR Gas Prices Nominal'!$B205,'GDP Deflator'!$B$5:$B$89,0))/100)</f>
        <v>9.3455630044517566</v>
      </c>
      <c r="O205" s="1"/>
      <c r="P205" s="274">
        <f t="shared" si="22"/>
        <v>7.2798072801411697</v>
      </c>
      <c r="Q205" s="275">
        <f t="shared" si="26"/>
        <v>9.8708339851427382</v>
      </c>
      <c r="R205" s="171"/>
    </row>
    <row r="206" spans="2:18">
      <c r="B206" s="94">
        <f t="shared" si="23"/>
        <v>2038</v>
      </c>
      <c r="C206" s="1">
        <f t="shared" si="24"/>
        <v>9</v>
      </c>
      <c r="D206" s="213">
        <v>50649</v>
      </c>
      <c r="E206" s="1" t="str">
        <f t="shared" si="25"/>
        <v>9-2038</v>
      </c>
      <c r="F206" s="268">
        <f>'IEPR Gas Prices Real'!F206*(INDEX('GDP Deflator'!$C$5:$C$89,MATCH('IEPR Gas Prices Nominal'!$B206,'GDP Deflator'!$B$5:$B$89,0))/100)</f>
        <v>7.0561375195556009</v>
      </c>
      <c r="G206" s="269">
        <f>'IEPR Gas Prices Real'!G206*(INDEX('GDP Deflator'!$C$5:$C$89,MATCH('IEPR Gas Prices Nominal'!$B206,'GDP Deflator'!$B$5:$B$89,0))/100)</f>
        <v>2.2655122143547377</v>
      </c>
      <c r="H206" s="270">
        <f>'IEPR Gas Prices Real'!H206*(INDEX('GDP Deflator'!$C$5:$C$89,MATCH('IEPR Gas Prices Nominal'!$B206,'GDP Deflator'!$B$5:$B$89,0))/100)</f>
        <v>9.3216497339103377</v>
      </c>
      <c r="I206" s="269">
        <f>'IEPR Gas Prices Real'!I206*(INDEX('GDP Deflator'!$C$5:$C$89,MATCH('IEPR Gas Prices Nominal'!$B206,'GDP Deflator'!$B$5:$B$89,0))/100)</f>
        <v>7.4052122986808175</v>
      </c>
      <c r="J206" s="269">
        <f>'IEPR Gas Prices Real'!J206*(INDEX('GDP Deflator'!$C$5:$C$89,MATCH('IEPR Gas Prices Nominal'!$B206,'GDP Deflator'!$B$5:$B$89,0))/100)</f>
        <v>3.7409085484737385</v>
      </c>
      <c r="K206" s="269">
        <f>'IEPR Gas Prices Real'!K206*(INDEX('GDP Deflator'!$C$5:$C$89,MATCH('IEPR Gas Prices Nominal'!$B206,'GDP Deflator'!$B$5:$B$89,0))/100)</f>
        <v>11.146120847154556</v>
      </c>
      <c r="L206" s="268">
        <f>'IEPR Gas Prices Real'!L206*(INDEX('GDP Deflator'!$C$5:$C$89,MATCH('IEPR Gas Prices Nominal'!$B206,'GDP Deflator'!$B$5:$B$89,0))/100)</f>
        <v>7.6849232949562998</v>
      </c>
      <c r="M206" s="269">
        <f>'IEPR Gas Prices Real'!M206*(INDEX('GDP Deflator'!$C$5:$C$89,MATCH('IEPR Gas Prices Nominal'!$B206,'GDP Deflator'!$B$5:$B$89,0))/100)</f>
        <v>1.7666593521762368</v>
      </c>
      <c r="N206" s="270">
        <f>'IEPR Gas Prices Real'!N206*(INDEX('GDP Deflator'!$C$5:$C$89,MATCH('IEPR Gas Prices Nominal'!$B206,'GDP Deflator'!$B$5:$B$89,0))/100)</f>
        <v>9.4515826471325379</v>
      </c>
      <c r="O206" s="1"/>
      <c r="P206" s="274">
        <f t="shared" si="22"/>
        <v>7.3820910377309055</v>
      </c>
      <c r="Q206" s="275">
        <f t="shared" si="26"/>
        <v>9.9731177427324766</v>
      </c>
      <c r="R206" s="171"/>
    </row>
    <row r="207" spans="2:18">
      <c r="B207" s="94">
        <f t="shared" si="23"/>
        <v>2038</v>
      </c>
      <c r="C207" s="1">
        <f t="shared" si="24"/>
        <v>10</v>
      </c>
      <c r="D207" s="213">
        <v>50679</v>
      </c>
      <c r="E207" s="1" t="str">
        <f t="shared" si="25"/>
        <v>10-2038</v>
      </c>
      <c r="F207" s="268">
        <f>'IEPR Gas Prices Real'!F207*(INDEX('GDP Deflator'!$C$5:$C$89,MATCH('IEPR Gas Prices Nominal'!$B207,'GDP Deflator'!$B$5:$B$89,0))/100)</f>
        <v>7.0156288200245518</v>
      </c>
      <c r="G207" s="269">
        <f>'IEPR Gas Prices Real'!G207*(INDEX('GDP Deflator'!$C$5:$C$89,MATCH('IEPR Gas Prices Nominal'!$B207,'GDP Deflator'!$B$5:$B$89,0))/100)</f>
        <v>2.2655122143547377</v>
      </c>
      <c r="H207" s="270">
        <f>'IEPR Gas Prices Real'!H207*(INDEX('GDP Deflator'!$C$5:$C$89,MATCH('IEPR Gas Prices Nominal'!$B207,'GDP Deflator'!$B$5:$B$89,0))/100)</f>
        <v>9.2811410343792904</v>
      </c>
      <c r="I207" s="269">
        <f>'IEPR Gas Prices Real'!I207*(INDEX('GDP Deflator'!$C$5:$C$89,MATCH('IEPR Gas Prices Nominal'!$B207,'GDP Deflator'!$B$5:$B$89,0))/100)</f>
        <v>7.3626309659545166</v>
      </c>
      <c r="J207" s="269">
        <f>'IEPR Gas Prices Real'!J207*(INDEX('GDP Deflator'!$C$5:$C$89,MATCH('IEPR Gas Prices Nominal'!$B207,'GDP Deflator'!$B$5:$B$89,0))/100)</f>
        <v>3.7409085484737385</v>
      </c>
      <c r="K207" s="269">
        <f>'IEPR Gas Prices Real'!K207*(INDEX('GDP Deflator'!$C$5:$C$89,MATCH('IEPR Gas Prices Nominal'!$B207,'GDP Deflator'!$B$5:$B$89,0))/100)</f>
        <v>11.103539514428254</v>
      </c>
      <c r="L207" s="268">
        <f>'IEPR Gas Prices Real'!L207*(INDEX('GDP Deflator'!$C$5:$C$89,MATCH('IEPR Gas Prices Nominal'!$B207,'GDP Deflator'!$B$5:$B$89,0))/100)</f>
        <v>7.6400579333613088</v>
      </c>
      <c r="M207" s="269">
        <f>'IEPR Gas Prices Real'!M207*(INDEX('GDP Deflator'!$C$5:$C$89,MATCH('IEPR Gas Prices Nominal'!$B207,'GDP Deflator'!$B$5:$B$89,0))/100)</f>
        <v>1.7666593521762368</v>
      </c>
      <c r="N207" s="270">
        <f>'IEPR Gas Prices Real'!N207*(INDEX('GDP Deflator'!$C$5:$C$89,MATCH('IEPR Gas Prices Nominal'!$B207,'GDP Deflator'!$B$5:$B$89,0))/100)</f>
        <v>9.406717285537546</v>
      </c>
      <c r="O207" s="1"/>
      <c r="P207" s="274">
        <f t="shared" si="22"/>
        <v>7.339439239780126</v>
      </c>
      <c r="Q207" s="275">
        <f t="shared" si="26"/>
        <v>9.9304659447816963</v>
      </c>
      <c r="R207" s="171"/>
    </row>
    <row r="208" spans="2:18">
      <c r="B208" s="94">
        <f t="shared" si="23"/>
        <v>2038</v>
      </c>
      <c r="C208" s="1">
        <f t="shared" si="24"/>
        <v>11</v>
      </c>
      <c r="D208" s="213">
        <v>50710</v>
      </c>
      <c r="E208" s="1" t="str">
        <f t="shared" si="25"/>
        <v>11-2038</v>
      </c>
      <c r="F208" s="268">
        <f>'IEPR Gas Prices Real'!F208*(INDEX('GDP Deflator'!$C$5:$C$89,MATCH('IEPR Gas Prices Nominal'!$B208,'GDP Deflator'!$B$5:$B$89,0))/100)</f>
        <v>7.3625490911052571</v>
      </c>
      <c r="G208" s="269">
        <f>'IEPR Gas Prices Real'!G208*(INDEX('GDP Deflator'!$C$5:$C$89,MATCH('IEPR Gas Prices Nominal'!$B208,'GDP Deflator'!$B$5:$B$89,0))/100)</f>
        <v>2.2655122143547377</v>
      </c>
      <c r="H208" s="270">
        <f>'IEPR Gas Prices Real'!H208*(INDEX('GDP Deflator'!$C$5:$C$89,MATCH('IEPR Gas Prices Nominal'!$B208,'GDP Deflator'!$B$5:$B$89,0))/100)</f>
        <v>9.6280613054599957</v>
      </c>
      <c r="I208" s="269">
        <f>'IEPR Gas Prices Real'!I208*(INDEX('GDP Deflator'!$C$5:$C$89,MATCH('IEPR Gas Prices Nominal'!$B208,'GDP Deflator'!$B$5:$B$89,0))/100)</f>
        <v>7.7266383456379542</v>
      </c>
      <c r="J208" s="269">
        <f>'IEPR Gas Prices Real'!J208*(INDEX('GDP Deflator'!$C$5:$C$89,MATCH('IEPR Gas Prices Nominal'!$B208,'GDP Deflator'!$B$5:$B$89,0))/100)</f>
        <v>3.7409085484737385</v>
      </c>
      <c r="K208" s="269">
        <f>'IEPR Gas Prices Real'!K208*(INDEX('GDP Deflator'!$C$5:$C$89,MATCH('IEPR Gas Prices Nominal'!$B208,'GDP Deflator'!$B$5:$B$89,0))/100)</f>
        <v>11.467546894111694</v>
      </c>
      <c r="L208" s="268">
        <f>'IEPR Gas Prices Real'!L208*(INDEX('GDP Deflator'!$C$5:$C$89,MATCH('IEPR Gas Prices Nominal'!$B208,'GDP Deflator'!$B$5:$B$89,0))/100)</f>
        <v>8.0170721766333184</v>
      </c>
      <c r="M208" s="269">
        <f>'IEPR Gas Prices Real'!M208*(INDEX('GDP Deflator'!$C$5:$C$89,MATCH('IEPR Gas Prices Nominal'!$B208,'GDP Deflator'!$B$5:$B$89,0))/100)</f>
        <v>1.7666593521762368</v>
      </c>
      <c r="N208" s="270">
        <f>'IEPR Gas Prices Real'!N208*(INDEX('GDP Deflator'!$C$5:$C$89,MATCH('IEPR Gas Prices Nominal'!$B208,'GDP Deflator'!$B$5:$B$89,0))/100)</f>
        <v>9.7837315288095539</v>
      </c>
      <c r="O208" s="1"/>
      <c r="P208" s="274">
        <f t="shared" si="22"/>
        <v>7.7020865377921766</v>
      </c>
      <c r="Q208" s="275">
        <f t="shared" si="26"/>
        <v>10.293113242793748</v>
      </c>
      <c r="R208" s="171"/>
    </row>
    <row r="209" spans="2:18">
      <c r="B209" s="94">
        <f t="shared" si="23"/>
        <v>2038</v>
      </c>
      <c r="C209" s="1">
        <f t="shared" si="24"/>
        <v>12</v>
      </c>
      <c r="D209" s="213">
        <v>50740</v>
      </c>
      <c r="E209" s="1" t="str">
        <f t="shared" si="25"/>
        <v>12-2038</v>
      </c>
      <c r="F209" s="268">
        <f>'IEPR Gas Prices Real'!F209*(INDEX('GDP Deflator'!$C$5:$C$89,MATCH('IEPR Gas Prices Nominal'!$B209,'GDP Deflator'!$B$5:$B$89,0))/100)</f>
        <v>7.4219307450809922</v>
      </c>
      <c r="G209" s="269">
        <f>'IEPR Gas Prices Real'!G209*(INDEX('GDP Deflator'!$C$5:$C$89,MATCH('IEPR Gas Prices Nominal'!$B209,'GDP Deflator'!$B$5:$B$89,0))/100)</f>
        <v>2.2655122143547377</v>
      </c>
      <c r="H209" s="270">
        <f>'IEPR Gas Prices Real'!H209*(INDEX('GDP Deflator'!$C$5:$C$89,MATCH('IEPR Gas Prices Nominal'!$B209,'GDP Deflator'!$B$5:$B$89,0))/100)</f>
        <v>9.6874429594357299</v>
      </c>
      <c r="I209" s="269">
        <f>'IEPR Gas Prices Real'!I209*(INDEX('GDP Deflator'!$C$5:$C$89,MATCH('IEPR Gas Prices Nominal'!$B209,'GDP Deflator'!$B$5:$B$89,0))/100)</f>
        <v>7.7888839087670547</v>
      </c>
      <c r="J209" s="269">
        <f>'IEPR Gas Prices Real'!J209*(INDEX('GDP Deflator'!$C$5:$C$89,MATCH('IEPR Gas Prices Nominal'!$B209,'GDP Deflator'!$B$5:$B$89,0))/100)</f>
        <v>3.7409085484737385</v>
      </c>
      <c r="K209" s="269">
        <f>'IEPR Gas Prices Real'!K209*(INDEX('GDP Deflator'!$C$5:$C$89,MATCH('IEPR Gas Prices Nominal'!$B209,'GDP Deflator'!$B$5:$B$89,0))/100)</f>
        <v>11.529792457240793</v>
      </c>
      <c r="L209" s="268">
        <f>'IEPR Gas Prices Real'!L209*(INDEX('GDP Deflator'!$C$5:$C$89,MATCH('IEPR Gas Prices Nominal'!$B209,'GDP Deflator'!$B$5:$B$89,0))/100)</f>
        <v>8.0809426270309821</v>
      </c>
      <c r="M209" s="269">
        <f>'IEPR Gas Prices Real'!M209*(INDEX('GDP Deflator'!$C$5:$C$89,MATCH('IEPR Gas Prices Nominal'!$B209,'GDP Deflator'!$B$5:$B$89,0))/100)</f>
        <v>1.7666593521762368</v>
      </c>
      <c r="N209" s="270">
        <f>'IEPR Gas Prices Real'!N209*(INDEX('GDP Deflator'!$C$5:$C$89,MATCH('IEPR Gas Prices Nominal'!$B209,'GDP Deflator'!$B$5:$B$89,0))/100)</f>
        <v>9.8476019792072176</v>
      </c>
      <c r="O209" s="1"/>
      <c r="P209" s="274">
        <f t="shared" si="22"/>
        <v>7.7639190936263427</v>
      </c>
      <c r="Q209" s="275">
        <f t="shared" si="26"/>
        <v>10.354945798627915</v>
      </c>
      <c r="R209" s="171"/>
    </row>
    <row r="210" spans="2:18">
      <c r="B210" s="94">
        <f t="shared" si="23"/>
        <v>2039</v>
      </c>
      <c r="C210" s="1">
        <f t="shared" si="24"/>
        <v>1</v>
      </c>
      <c r="D210" s="213">
        <v>50771</v>
      </c>
      <c r="E210" s="1" t="str">
        <f t="shared" si="25"/>
        <v>1-2039</v>
      </c>
      <c r="F210" s="268">
        <f>'IEPR Gas Prices Real'!F210*(INDEX('GDP Deflator'!$C$5:$C$89,MATCH('IEPR Gas Prices Nominal'!$B210,'GDP Deflator'!$B$5:$B$89,0))/100)</f>
        <v>7.590361406192021</v>
      </c>
      <c r="G210" s="269">
        <f>'IEPR Gas Prices Real'!G210*(INDEX('GDP Deflator'!$C$5:$C$89,MATCH('IEPR Gas Prices Nominal'!$B210,'GDP Deflator'!$B$5:$B$89,0))/100)</f>
        <v>2.4094096668025196</v>
      </c>
      <c r="H210" s="270">
        <f>'IEPR Gas Prices Real'!H210*(INDEX('GDP Deflator'!$C$5:$C$89,MATCH('IEPR Gas Prices Nominal'!$B210,'GDP Deflator'!$B$5:$B$89,0))/100)</f>
        <v>9.999771072994541</v>
      </c>
      <c r="I210" s="269">
        <f>'IEPR Gas Prices Real'!I210*(INDEX('GDP Deflator'!$C$5:$C$89,MATCH('IEPR Gas Prices Nominal'!$B210,'GDP Deflator'!$B$5:$B$89,0))/100)</f>
        <v>7.9655628244912018</v>
      </c>
      <c r="J210" s="269">
        <f>'IEPR Gas Prices Real'!J210*(INDEX('GDP Deflator'!$C$5:$C$89,MATCH('IEPR Gas Prices Nominal'!$B210,'GDP Deflator'!$B$5:$B$89,0))/100)</f>
        <v>3.9785180420596369</v>
      </c>
      <c r="K210" s="269">
        <f>'IEPR Gas Prices Real'!K210*(INDEX('GDP Deflator'!$C$5:$C$89,MATCH('IEPR Gas Prices Nominal'!$B210,'GDP Deflator'!$B$5:$B$89,0))/100)</f>
        <v>11.94408086655084</v>
      </c>
      <c r="L210" s="268">
        <f>'IEPR Gas Prices Real'!L210*(INDEX('GDP Deflator'!$C$5:$C$89,MATCH('IEPR Gas Prices Nominal'!$B210,'GDP Deflator'!$B$5:$B$89,0))/100)</f>
        <v>8.2636587654660598</v>
      </c>
      <c r="M210" s="269">
        <f>'IEPR Gas Prices Real'!M210*(INDEX('GDP Deflator'!$C$5:$C$89,MATCH('IEPR Gas Prices Nominal'!$B210,'GDP Deflator'!$B$5:$B$89,0))/100)</f>
        <v>1.8788714066999044</v>
      </c>
      <c r="N210" s="270">
        <f>'IEPR Gas Prices Real'!N210*(INDEX('GDP Deflator'!$C$5:$C$89,MATCH('IEPR Gas Prices Nominal'!$B210,'GDP Deflator'!$B$5:$B$89,0))/100)</f>
        <v>10.142530172165966</v>
      </c>
      <c r="O210" s="1"/>
      <c r="P210" s="274">
        <f t="shared" si="22"/>
        <v>7.9398609987164273</v>
      </c>
      <c r="Q210" s="275">
        <f t="shared" si="26"/>
        <v>10.695460703903782</v>
      </c>
      <c r="R210" s="171"/>
    </row>
    <row r="211" spans="2:18">
      <c r="B211" s="94">
        <f t="shared" si="23"/>
        <v>2039</v>
      </c>
      <c r="C211" s="1">
        <f t="shared" si="24"/>
        <v>2</v>
      </c>
      <c r="D211" s="213">
        <v>50802</v>
      </c>
      <c r="E211" s="1" t="str">
        <f t="shared" si="25"/>
        <v>2-2039</v>
      </c>
      <c r="F211" s="268">
        <f>'IEPR Gas Prices Real'!F211*(INDEX('GDP Deflator'!$C$5:$C$89,MATCH('IEPR Gas Prices Nominal'!$B211,'GDP Deflator'!$B$5:$B$89,0))/100)</f>
        <v>7.4241011870088807</v>
      </c>
      <c r="G211" s="269">
        <f>'IEPR Gas Prices Real'!G211*(INDEX('GDP Deflator'!$C$5:$C$89,MATCH('IEPR Gas Prices Nominal'!$B211,'GDP Deflator'!$B$5:$B$89,0))/100)</f>
        <v>2.4094096668025196</v>
      </c>
      <c r="H211" s="270">
        <f>'IEPR Gas Prices Real'!H211*(INDEX('GDP Deflator'!$C$5:$C$89,MATCH('IEPR Gas Prices Nominal'!$B211,'GDP Deflator'!$B$5:$B$89,0))/100)</f>
        <v>9.8335108538114007</v>
      </c>
      <c r="I211" s="269">
        <f>'IEPR Gas Prices Real'!I211*(INDEX('GDP Deflator'!$C$5:$C$89,MATCH('IEPR Gas Prices Nominal'!$B211,'GDP Deflator'!$B$5:$B$89,0))/100)</f>
        <v>7.7910066294002531</v>
      </c>
      <c r="J211" s="269">
        <f>'IEPR Gas Prices Real'!J211*(INDEX('GDP Deflator'!$C$5:$C$89,MATCH('IEPR Gas Prices Nominal'!$B211,'GDP Deflator'!$B$5:$B$89,0))/100)</f>
        <v>3.9785180420596369</v>
      </c>
      <c r="K211" s="269">
        <f>'IEPR Gas Prices Real'!K211*(INDEX('GDP Deflator'!$C$5:$C$89,MATCH('IEPR Gas Prices Nominal'!$B211,'GDP Deflator'!$B$5:$B$89,0))/100)</f>
        <v>11.769524671459891</v>
      </c>
      <c r="L211" s="268">
        <f>'IEPR Gas Prices Real'!L211*(INDEX('GDP Deflator'!$C$5:$C$89,MATCH('IEPR Gas Prices Nominal'!$B211,'GDP Deflator'!$B$5:$B$89,0))/100)</f>
        <v>8.0819953000466516</v>
      </c>
      <c r="M211" s="269">
        <f>'IEPR Gas Prices Real'!M211*(INDEX('GDP Deflator'!$C$5:$C$89,MATCH('IEPR Gas Prices Nominal'!$B211,'GDP Deflator'!$B$5:$B$89,0))/100)</f>
        <v>1.8788714066999044</v>
      </c>
      <c r="N211" s="270">
        <f>'IEPR Gas Prices Real'!N211*(INDEX('GDP Deflator'!$C$5:$C$89,MATCH('IEPR Gas Prices Nominal'!$B211,'GDP Deflator'!$B$5:$B$89,0))/100)</f>
        <v>9.9608667067465557</v>
      </c>
      <c r="O211" s="1"/>
      <c r="P211" s="274">
        <f t="shared" si="22"/>
        <v>7.7657010388185954</v>
      </c>
      <c r="Q211" s="275">
        <f t="shared" si="26"/>
        <v>10.521300744005949</v>
      </c>
      <c r="R211" s="171"/>
    </row>
    <row r="212" spans="2:18">
      <c r="B212" s="94">
        <f t="shared" si="23"/>
        <v>2039</v>
      </c>
      <c r="C212" s="1">
        <f t="shared" si="24"/>
        <v>3</v>
      </c>
      <c r="D212" s="213">
        <v>50830</v>
      </c>
      <c r="E212" s="1" t="str">
        <f t="shared" si="25"/>
        <v>3-2039</v>
      </c>
      <c r="F212" s="268">
        <f>'IEPR Gas Prices Real'!F212*(INDEX('GDP Deflator'!$C$5:$C$89,MATCH('IEPR Gas Prices Nominal'!$B212,'GDP Deflator'!$B$5:$B$89,0))/100)</f>
        <v>6.815490003900293</v>
      </c>
      <c r="G212" s="269">
        <f>'IEPR Gas Prices Real'!G212*(INDEX('GDP Deflator'!$C$5:$C$89,MATCH('IEPR Gas Prices Nominal'!$B212,'GDP Deflator'!$B$5:$B$89,0))/100)</f>
        <v>2.4094096668025196</v>
      </c>
      <c r="H212" s="270">
        <f>'IEPR Gas Prices Real'!H212*(INDEX('GDP Deflator'!$C$5:$C$89,MATCH('IEPR Gas Prices Nominal'!$B212,'GDP Deflator'!$B$5:$B$89,0))/100)</f>
        <v>9.224899670702813</v>
      </c>
      <c r="I212" s="269">
        <f>'IEPR Gas Prices Real'!I212*(INDEX('GDP Deflator'!$C$5:$C$89,MATCH('IEPR Gas Prices Nominal'!$B212,'GDP Deflator'!$B$5:$B$89,0))/100)</f>
        <v>7.1522461944915241</v>
      </c>
      <c r="J212" s="269">
        <f>'IEPR Gas Prices Real'!J212*(INDEX('GDP Deflator'!$C$5:$C$89,MATCH('IEPR Gas Prices Nominal'!$B212,'GDP Deflator'!$B$5:$B$89,0))/100)</f>
        <v>3.9785180420596369</v>
      </c>
      <c r="K212" s="269">
        <f>'IEPR Gas Prices Real'!K212*(INDEX('GDP Deflator'!$C$5:$C$89,MATCH('IEPR Gas Prices Nominal'!$B212,'GDP Deflator'!$B$5:$B$89,0))/100)</f>
        <v>11.13076423655116</v>
      </c>
      <c r="L212" s="268">
        <f>'IEPR Gas Prices Real'!L212*(INDEX('GDP Deflator'!$C$5:$C$89,MATCH('IEPR Gas Prices Nominal'!$B212,'GDP Deflator'!$B$5:$B$89,0))/100)</f>
        <v>7.4188498663249156</v>
      </c>
      <c r="M212" s="269">
        <f>'IEPR Gas Prices Real'!M212*(INDEX('GDP Deflator'!$C$5:$C$89,MATCH('IEPR Gas Prices Nominal'!$B212,'GDP Deflator'!$B$5:$B$89,0))/100)</f>
        <v>1.8788714066999044</v>
      </c>
      <c r="N212" s="270">
        <f>'IEPR Gas Prices Real'!N212*(INDEX('GDP Deflator'!$C$5:$C$89,MATCH('IEPR Gas Prices Nominal'!$B212,'GDP Deflator'!$B$5:$B$89,0))/100)</f>
        <v>9.2977212730248215</v>
      </c>
      <c r="O212" s="1"/>
      <c r="P212" s="274">
        <f t="shared" si="22"/>
        <v>7.1288620215722434</v>
      </c>
      <c r="Q212" s="275">
        <f t="shared" si="26"/>
        <v>9.8844617267595982</v>
      </c>
      <c r="R212" s="171"/>
    </row>
    <row r="213" spans="2:18">
      <c r="B213" s="94">
        <f t="shared" si="23"/>
        <v>2039</v>
      </c>
      <c r="C213" s="1">
        <f t="shared" si="24"/>
        <v>4</v>
      </c>
      <c r="D213" s="213">
        <v>50861</v>
      </c>
      <c r="E213" s="1" t="str">
        <f t="shared" si="25"/>
        <v>4-2039</v>
      </c>
      <c r="F213" s="268">
        <f>'IEPR Gas Prices Real'!F213*(INDEX('GDP Deflator'!$C$5:$C$89,MATCH('IEPR Gas Prices Nominal'!$B213,'GDP Deflator'!$B$5:$B$89,0))/100)</f>
        <v>6.6996641960067365</v>
      </c>
      <c r="G213" s="269">
        <f>'IEPR Gas Prices Real'!G213*(INDEX('GDP Deflator'!$C$5:$C$89,MATCH('IEPR Gas Prices Nominal'!$B213,'GDP Deflator'!$B$5:$B$89,0))/100)</f>
        <v>2.4094096668025196</v>
      </c>
      <c r="H213" s="270">
        <f>'IEPR Gas Prices Real'!H213*(INDEX('GDP Deflator'!$C$5:$C$89,MATCH('IEPR Gas Prices Nominal'!$B213,'GDP Deflator'!$B$5:$B$89,0))/100)</f>
        <v>9.1090738628092556</v>
      </c>
      <c r="I213" s="269">
        <f>'IEPR Gas Prices Real'!I213*(INDEX('GDP Deflator'!$C$5:$C$89,MATCH('IEPR Gas Prices Nominal'!$B213,'GDP Deflator'!$B$5:$B$89,0))/100)</f>
        <v>7.0306274263205522</v>
      </c>
      <c r="J213" s="269">
        <f>'IEPR Gas Prices Real'!J213*(INDEX('GDP Deflator'!$C$5:$C$89,MATCH('IEPR Gas Prices Nominal'!$B213,'GDP Deflator'!$B$5:$B$89,0))/100)</f>
        <v>3.9785180420596369</v>
      </c>
      <c r="K213" s="269">
        <f>'IEPR Gas Prices Real'!K213*(INDEX('GDP Deflator'!$C$5:$C$89,MATCH('IEPR Gas Prices Nominal'!$B213,'GDP Deflator'!$B$5:$B$89,0))/100)</f>
        <v>11.00914546838019</v>
      </c>
      <c r="L213" s="268">
        <f>'IEPR Gas Prices Real'!L213*(INDEX('GDP Deflator'!$C$5:$C$89,MATCH('IEPR Gas Prices Nominal'!$B213,'GDP Deflator'!$B$5:$B$89,0))/100)</f>
        <v>7.2921788967354937</v>
      </c>
      <c r="M213" s="269">
        <f>'IEPR Gas Prices Real'!M213*(INDEX('GDP Deflator'!$C$5:$C$89,MATCH('IEPR Gas Prices Nominal'!$B213,'GDP Deflator'!$B$5:$B$89,0))/100)</f>
        <v>1.8788714066999044</v>
      </c>
      <c r="N213" s="270">
        <f>'IEPR Gas Prices Real'!N213*(INDEX('GDP Deflator'!$C$5:$C$89,MATCH('IEPR Gas Prices Nominal'!$B213,'GDP Deflator'!$B$5:$B$89,0))/100)</f>
        <v>9.1710503034353987</v>
      </c>
      <c r="O213" s="1"/>
      <c r="P213" s="274">
        <f t="shared" si="22"/>
        <v>7.0074901730209271</v>
      </c>
      <c r="Q213" s="275">
        <f t="shared" si="26"/>
        <v>9.763089878208282</v>
      </c>
      <c r="R213" s="171"/>
    </row>
    <row r="214" spans="2:18">
      <c r="B214" s="94">
        <f t="shared" si="23"/>
        <v>2039</v>
      </c>
      <c r="C214" s="1">
        <f t="shared" si="24"/>
        <v>5</v>
      </c>
      <c r="D214" s="213">
        <v>50891</v>
      </c>
      <c r="E214" s="1" t="str">
        <f t="shared" si="25"/>
        <v>5-2039</v>
      </c>
      <c r="F214" s="268">
        <f>'IEPR Gas Prices Real'!F214*(INDEX('GDP Deflator'!$C$5:$C$89,MATCH('IEPR Gas Prices Nominal'!$B214,'GDP Deflator'!$B$5:$B$89,0))/100)</f>
        <v>6.9329800913740698</v>
      </c>
      <c r="G214" s="269">
        <f>'IEPR Gas Prices Real'!G214*(INDEX('GDP Deflator'!$C$5:$C$89,MATCH('IEPR Gas Prices Nominal'!$B214,'GDP Deflator'!$B$5:$B$89,0))/100)</f>
        <v>2.4094096668025196</v>
      </c>
      <c r="H214" s="270">
        <f>'IEPR Gas Prices Real'!H214*(INDEX('GDP Deflator'!$C$5:$C$89,MATCH('IEPR Gas Prices Nominal'!$B214,'GDP Deflator'!$B$5:$B$89,0))/100)</f>
        <v>9.3423897581765889</v>
      </c>
      <c r="I214" s="269">
        <f>'IEPR Gas Prices Real'!I214*(INDEX('GDP Deflator'!$C$5:$C$89,MATCH('IEPR Gas Prices Nominal'!$B214,'GDP Deflator'!$B$5:$B$89,0))/100)</f>
        <v>7.2753967223339187</v>
      </c>
      <c r="J214" s="269">
        <f>'IEPR Gas Prices Real'!J214*(INDEX('GDP Deflator'!$C$5:$C$89,MATCH('IEPR Gas Prices Nominal'!$B214,'GDP Deflator'!$B$5:$B$89,0))/100)</f>
        <v>3.9785180420596369</v>
      </c>
      <c r="K214" s="269">
        <f>'IEPR Gas Prices Real'!K214*(INDEX('GDP Deflator'!$C$5:$C$89,MATCH('IEPR Gas Prices Nominal'!$B214,'GDP Deflator'!$B$5:$B$89,0))/100)</f>
        <v>11.253914764393555</v>
      </c>
      <c r="L214" s="268">
        <f>'IEPR Gas Prices Real'!L214*(INDEX('GDP Deflator'!$C$5:$C$89,MATCH('IEPR Gas Prices Nominal'!$B214,'GDP Deflator'!$B$5:$B$89,0))/100)</f>
        <v>7.545517139570082</v>
      </c>
      <c r="M214" s="269">
        <f>'IEPR Gas Prices Real'!M214*(INDEX('GDP Deflator'!$C$5:$C$89,MATCH('IEPR Gas Prices Nominal'!$B214,'GDP Deflator'!$B$5:$B$89,0))/100)</f>
        <v>1.8788714066999044</v>
      </c>
      <c r="N214" s="270">
        <f>'IEPR Gas Prices Real'!N214*(INDEX('GDP Deflator'!$C$5:$C$89,MATCH('IEPR Gas Prices Nominal'!$B214,'GDP Deflator'!$B$5:$B$89,0))/100)</f>
        <v>9.4243885462699861</v>
      </c>
      <c r="O214" s="1"/>
      <c r="P214" s="274">
        <f t="shared" si="22"/>
        <v>7.2512979844260244</v>
      </c>
      <c r="Q214" s="275">
        <f t="shared" si="26"/>
        <v>10.006897689613377</v>
      </c>
      <c r="R214" s="171"/>
    </row>
    <row r="215" spans="2:18">
      <c r="B215" s="94">
        <f t="shared" si="23"/>
        <v>2039</v>
      </c>
      <c r="C215" s="1">
        <f t="shared" si="24"/>
        <v>6</v>
      </c>
      <c r="D215" s="213">
        <v>50922</v>
      </c>
      <c r="E215" s="1" t="str">
        <f t="shared" si="25"/>
        <v>6-2039</v>
      </c>
      <c r="F215" s="268">
        <f>'IEPR Gas Prices Real'!F215*(INDEX('GDP Deflator'!$C$5:$C$89,MATCH('IEPR Gas Prices Nominal'!$B215,'GDP Deflator'!$B$5:$B$89,0))/100)</f>
        <v>7.1123645250568055</v>
      </c>
      <c r="G215" s="269">
        <f>'IEPR Gas Prices Real'!G215*(INDEX('GDP Deflator'!$C$5:$C$89,MATCH('IEPR Gas Prices Nominal'!$B215,'GDP Deflator'!$B$5:$B$89,0))/100)</f>
        <v>2.4094096668025196</v>
      </c>
      <c r="H215" s="270">
        <f>'IEPR Gas Prices Real'!H215*(INDEX('GDP Deflator'!$C$5:$C$89,MATCH('IEPR Gas Prices Nominal'!$B215,'GDP Deflator'!$B$5:$B$89,0))/100)</f>
        <v>9.5217741918593255</v>
      </c>
      <c r="I215" s="269">
        <f>'IEPR Gas Prices Real'!I215*(INDEX('GDP Deflator'!$C$5:$C$89,MATCH('IEPR Gas Prices Nominal'!$B215,'GDP Deflator'!$B$5:$B$89,0))/100)</f>
        <v>7.4635665944237433</v>
      </c>
      <c r="J215" s="269">
        <f>'IEPR Gas Prices Real'!J215*(INDEX('GDP Deflator'!$C$5:$C$89,MATCH('IEPR Gas Prices Nominal'!$B215,'GDP Deflator'!$B$5:$B$89,0))/100)</f>
        <v>3.9785180420596369</v>
      </c>
      <c r="K215" s="269">
        <f>'IEPR Gas Prices Real'!K215*(INDEX('GDP Deflator'!$C$5:$C$89,MATCH('IEPR Gas Prices Nominal'!$B215,'GDP Deflator'!$B$5:$B$89,0))/100)</f>
        <v>11.442084636483379</v>
      </c>
      <c r="L215" s="268">
        <f>'IEPR Gas Prices Real'!L215*(INDEX('GDP Deflator'!$C$5:$C$89,MATCH('IEPR Gas Prices Nominal'!$B215,'GDP Deflator'!$B$5:$B$89,0))/100)</f>
        <v>7.7401225566922118</v>
      </c>
      <c r="M215" s="269">
        <f>'IEPR Gas Prices Real'!M215*(INDEX('GDP Deflator'!$C$5:$C$89,MATCH('IEPR Gas Prices Nominal'!$B215,'GDP Deflator'!$B$5:$B$89,0))/100)</f>
        <v>1.8788714066999044</v>
      </c>
      <c r="N215" s="270">
        <f>'IEPR Gas Prices Real'!N215*(INDEX('GDP Deflator'!$C$5:$C$89,MATCH('IEPR Gas Prices Nominal'!$B215,'GDP Deflator'!$B$5:$B$89,0))/100)</f>
        <v>9.6189939633921178</v>
      </c>
      <c r="O215" s="1"/>
      <c r="P215" s="274">
        <f t="shared" si="22"/>
        <v>7.4386845587242538</v>
      </c>
      <c r="Q215" s="275">
        <f t="shared" si="26"/>
        <v>10.194284263911607</v>
      </c>
      <c r="R215" s="171"/>
    </row>
    <row r="216" spans="2:18">
      <c r="B216" s="94">
        <f t="shared" si="23"/>
        <v>2039</v>
      </c>
      <c r="C216" s="1">
        <f t="shared" si="24"/>
        <v>7</v>
      </c>
      <c r="D216" s="213">
        <v>50952</v>
      </c>
      <c r="E216" s="1" t="str">
        <f t="shared" si="25"/>
        <v>7-2039</v>
      </c>
      <c r="F216" s="268">
        <f>'IEPR Gas Prices Real'!F216*(INDEX('GDP Deflator'!$C$5:$C$89,MATCH('IEPR Gas Prices Nominal'!$B216,'GDP Deflator'!$B$5:$B$89,0))/100)</f>
        <v>7.1689441943116892</v>
      </c>
      <c r="G216" s="269">
        <f>'IEPR Gas Prices Real'!G216*(INDEX('GDP Deflator'!$C$5:$C$89,MATCH('IEPR Gas Prices Nominal'!$B216,'GDP Deflator'!$B$5:$B$89,0))/100)</f>
        <v>2.4094096668025196</v>
      </c>
      <c r="H216" s="270">
        <f>'IEPR Gas Prices Real'!H216*(INDEX('GDP Deflator'!$C$5:$C$89,MATCH('IEPR Gas Prices Nominal'!$B216,'GDP Deflator'!$B$5:$B$89,0))/100)</f>
        <v>9.5783538611142092</v>
      </c>
      <c r="I216" s="269">
        <f>'IEPR Gas Prices Real'!I216*(INDEX('GDP Deflator'!$C$5:$C$89,MATCH('IEPR Gas Prices Nominal'!$B216,'GDP Deflator'!$B$5:$B$89,0))/100)</f>
        <v>7.5228652476797473</v>
      </c>
      <c r="J216" s="269">
        <f>'IEPR Gas Prices Real'!J216*(INDEX('GDP Deflator'!$C$5:$C$89,MATCH('IEPR Gas Prices Nominal'!$B216,'GDP Deflator'!$B$5:$B$89,0))/100)</f>
        <v>3.9785180420596369</v>
      </c>
      <c r="K216" s="269">
        <f>'IEPR Gas Prices Real'!K216*(INDEX('GDP Deflator'!$C$5:$C$89,MATCH('IEPR Gas Prices Nominal'!$B216,'GDP Deflator'!$B$5:$B$89,0))/100)</f>
        <v>11.501383289739385</v>
      </c>
      <c r="L216" s="268">
        <f>'IEPR Gas Prices Real'!L216*(INDEX('GDP Deflator'!$C$5:$C$89,MATCH('IEPR Gas Prices Nominal'!$B216,'GDP Deflator'!$B$5:$B$89,0))/100)</f>
        <v>7.8010632473731523</v>
      </c>
      <c r="M216" s="269">
        <f>'IEPR Gas Prices Real'!M216*(INDEX('GDP Deflator'!$C$5:$C$89,MATCH('IEPR Gas Prices Nominal'!$B216,'GDP Deflator'!$B$5:$B$89,0))/100)</f>
        <v>1.8788714066999044</v>
      </c>
      <c r="N216" s="270">
        <f>'IEPR Gas Prices Real'!N216*(INDEX('GDP Deflator'!$C$5:$C$89,MATCH('IEPR Gas Prices Nominal'!$B216,'GDP Deflator'!$B$5:$B$89,0))/100)</f>
        <v>9.6799346540730564</v>
      </c>
      <c r="O216" s="1"/>
      <c r="P216" s="274">
        <f t="shared" si="22"/>
        <v>7.4976242297881965</v>
      </c>
      <c r="Q216" s="275">
        <f t="shared" si="26"/>
        <v>10.253223934975551</v>
      </c>
      <c r="R216" s="171"/>
    </row>
    <row r="217" spans="2:18">
      <c r="B217" s="94">
        <f t="shared" si="23"/>
        <v>2039</v>
      </c>
      <c r="C217" s="1">
        <f t="shared" si="24"/>
        <v>8</v>
      </c>
      <c r="D217" s="213">
        <v>50983</v>
      </c>
      <c r="E217" s="1" t="str">
        <f t="shared" si="25"/>
        <v>8-2039</v>
      </c>
      <c r="F217" s="268">
        <f>'IEPR Gas Prices Real'!F217*(INDEX('GDP Deflator'!$C$5:$C$89,MATCH('IEPR Gas Prices Nominal'!$B217,'GDP Deflator'!$B$5:$B$89,0))/100)</f>
        <v>7.1137237459777074</v>
      </c>
      <c r="G217" s="269">
        <f>'IEPR Gas Prices Real'!G217*(INDEX('GDP Deflator'!$C$5:$C$89,MATCH('IEPR Gas Prices Nominal'!$B217,'GDP Deflator'!$B$5:$B$89,0))/100)</f>
        <v>2.4094096668025196</v>
      </c>
      <c r="H217" s="270">
        <f>'IEPR Gas Prices Real'!H217*(INDEX('GDP Deflator'!$C$5:$C$89,MATCH('IEPR Gas Prices Nominal'!$B217,'GDP Deflator'!$B$5:$B$89,0))/100)</f>
        <v>9.5231334127802274</v>
      </c>
      <c r="I217" s="269">
        <f>'IEPR Gas Prices Real'!I217*(INDEX('GDP Deflator'!$C$5:$C$89,MATCH('IEPR Gas Prices Nominal'!$B217,'GDP Deflator'!$B$5:$B$89,0))/100)</f>
        <v>7.4648443459415246</v>
      </c>
      <c r="J217" s="269">
        <f>'IEPR Gas Prices Real'!J217*(INDEX('GDP Deflator'!$C$5:$C$89,MATCH('IEPR Gas Prices Nominal'!$B217,'GDP Deflator'!$B$5:$B$89,0))/100)</f>
        <v>3.9785180420596369</v>
      </c>
      <c r="K217" s="269">
        <f>'IEPR Gas Prices Real'!K217*(INDEX('GDP Deflator'!$C$5:$C$89,MATCH('IEPR Gas Prices Nominal'!$B217,'GDP Deflator'!$B$5:$B$89,0))/100)</f>
        <v>11.443362388001162</v>
      </c>
      <c r="L217" s="268">
        <f>'IEPR Gas Prices Real'!L217*(INDEX('GDP Deflator'!$C$5:$C$89,MATCH('IEPR Gas Prices Nominal'!$B217,'GDP Deflator'!$B$5:$B$89,0))/100)</f>
        <v>7.7403457402086264</v>
      </c>
      <c r="M217" s="269">
        <f>'IEPR Gas Prices Real'!M217*(INDEX('GDP Deflator'!$C$5:$C$89,MATCH('IEPR Gas Prices Nominal'!$B217,'GDP Deflator'!$B$5:$B$89,0))/100)</f>
        <v>1.8788714066999044</v>
      </c>
      <c r="N217" s="270">
        <f>'IEPR Gas Prices Real'!N217*(INDEX('GDP Deflator'!$C$5:$C$89,MATCH('IEPR Gas Prices Nominal'!$B217,'GDP Deflator'!$B$5:$B$89,0))/100)</f>
        <v>9.6192171469085306</v>
      </c>
      <c r="O217" s="1"/>
      <c r="P217" s="274">
        <f t="shared" si="22"/>
        <v>7.4396379440426195</v>
      </c>
      <c r="Q217" s="275">
        <f t="shared" si="26"/>
        <v>10.195237649229973</v>
      </c>
      <c r="R217" s="171"/>
    </row>
    <row r="218" spans="2:18">
      <c r="B218" s="94">
        <f t="shared" si="23"/>
        <v>2039</v>
      </c>
      <c r="C218" s="1">
        <f t="shared" si="24"/>
        <v>9</v>
      </c>
      <c r="D218" s="213">
        <v>51014</v>
      </c>
      <c r="E218" s="1" t="str">
        <f t="shared" si="25"/>
        <v>9-2039</v>
      </c>
      <c r="F218" s="268">
        <f>'IEPR Gas Prices Real'!F218*(INDEX('GDP Deflator'!$C$5:$C$89,MATCH('IEPR Gas Prices Nominal'!$B218,'GDP Deflator'!$B$5:$B$89,0))/100)</f>
        <v>7.2139398129493095</v>
      </c>
      <c r="G218" s="269">
        <f>'IEPR Gas Prices Real'!G218*(INDEX('GDP Deflator'!$C$5:$C$89,MATCH('IEPR Gas Prices Nominal'!$B218,'GDP Deflator'!$B$5:$B$89,0))/100)</f>
        <v>2.4094096668025196</v>
      </c>
      <c r="H218" s="270">
        <f>'IEPR Gas Prices Real'!H218*(INDEX('GDP Deflator'!$C$5:$C$89,MATCH('IEPR Gas Prices Nominal'!$B218,'GDP Deflator'!$B$5:$B$89,0))/100)</f>
        <v>9.6233494797518286</v>
      </c>
      <c r="I218" s="269">
        <f>'IEPR Gas Prices Real'!I218*(INDEX('GDP Deflator'!$C$5:$C$89,MATCH('IEPR Gas Prices Nominal'!$B218,'GDP Deflator'!$B$5:$B$89,0))/100)</f>
        <v>7.5699315531477902</v>
      </c>
      <c r="J218" s="269">
        <f>'IEPR Gas Prices Real'!J218*(INDEX('GDP Deflator'!$C$5:$C$89,MATCH('IEPR Gas Prices Nominal'!$B218,'GDP Deflator'!$B$5:$B$89,0))/100)</f>
        <v>3.9785180420596369</v>
      </c>
      <c r="K218" s="269">
        <f>'IEPR Gas Prices Real'!K218*(INDEX('GDP Deflator'!$C$5:$C$89,MATCH('IEPR Gas Prices Nominal'!$B218,'GDP Deflator'!$B$5:$B$89,0))/100)</f>
        <v>11.548449595207426</v>
      </c>
      <c r="L218" s="268">
        <f>'IEPR Gas Prices Real'!L218*(INDEX('GDP Deflator'!$C$5:$C$89,MATCH('IEPR Gas Prices Nominal'!$B218,'GDP Deflator'!$B$5:$B$89,0))/100)</f>
        <v>7.8487525862527905</v>
      </c>
      <c r="M218" s="269">
        <f>'IEPR Gas Prices Real'!M218*(INDEX('GDP Deflator'!$C$5:$C$89,MATCH('IEPR Gas Prices Nominal'!$B218,'GDP Deflator'!$B$5:$B$89,0))/100)</f>
        <v>1.8788714066999044</v>
      </c>
      <c r="N218" s="270">
        <f>'IEPR Gas Prices Real'!N218*(INDEX('GDP Deflator'!$C$5:$C$89,MATCH('IEPR Gas Prices Nominal'!$B218,'GDP Deflator'!$B$5:$B$89,0))/100)</f>
        <v>9.7276239929526955</v>
      </c>
      <c r="O218" s="1"/>
      <c r="P218" s="274">
        <f t="shared" si="22"/>
        <v>7.5442079841166292</v>
      </c>
      <c r="Q218" s="275">
        <f t="shared" si="26"/>
        <v>10.299807689303982</v>
      </c>
      <c r="R218" s="171"/>
    </row>
    <row r="219" spans="2:18">
      <c r="B219" s="94">
        <f t="shared" si="23"/>
        <v>2039</v>
      </c>
      <c r="C219" s="1">
        <f t="shared" si="24"/>
        <v>10</v>
      </c>
      <c r="D219" s="213">
        <v>51044</v>
      </c>
      <c r="E219" s="1" t="str">
        <f t="shared" si="25"/>
        <v>10-2039</v>
      </c>
      <c r="F219" s="268">
        <f>'IEPR Gas Prices Real'!F219*(INDEX('GDP Deflator'!$C$5:$C$89,MATCH('IEPR Gas Prices Nominal'!$B219,'GDP Deflator'!$B$5:$B$89,0))/100)</f>
        <v>7.1725238824794415</v>
      </c>
      <c r="G219" s="269">
        <f>'IEPR Gas Prices Real'!G219*(INDEX('GDP Deflator'!$C$5:$C$89,MATCH('IEPR Gas Prices Nominal'!$B219,'GDP Deflator'!$B$5:$B$89,0))/100)</f>
        <v>2.4094096668025196</v>
      </c>
      <c r="H219" s="270">
        <f>'IEPR Gas Prices Real'!H219*(INDEX('GDP Deflator'!$C$5:$C$89,MATCH('IEPR Gas Prices Nominal'!$B219,'GDP Deflator'!$B$5:$B$89,0))/100)</f>
        <v>9.5819335492819615</v>
      </c>
      <c r="I219" s="269">
        <f>'IEPR Gas Prices Real'!I219*(INDEX('GDP Deflator'!$C$5:$C$89,MATCH('IEPR Gas Prices Nominal'!$B219,'GDP Deflator'!$B$5:$B$89,0))/100)</f>
        <v>7.5263969245270701</v>
      </c>
      <c r="J219" s="269">
        <f>'IEPR Gas Prices Real'!J219*(INDEX('GDP Deflator'!$C$5:$C$89,MATCH('IEPR Gas Prices Nominal'!$B219,'GDP Deflator'!$B$5:$B$89,0))/100)</f>
        <v>3.9785180420596369</v>
      </c>
      <c r="K219" s="269">
        <f>'IEPR Gas Prices Real'!K219*(INDEX('GDP Deflator'!$C$5:$C$89,MATCH('IEPR Gas Prices Nominal'!$B219,'GDP Deflator'!$B$5:$B$89,0))/100)</f>
        <v>11.504914966586707</v>
      </c>
      <c r="L219" s="268">
        <f>'IEPR Gas Prices Real'!L219*(INDEX('GDP Deflator'!$C$5:$C$89,MATCH('IEPR Gas Prices Nominal'!$B219,'GDP Deflator'!$B$5:$B$89,0))/100)</f>
        <v>7.8030588756745001</v>
      </c>
      <c r="M219" s="269">
        <f>'IEPR Gas Prices Real'!M219*(INDEX('GDP Deflator'!$C$5:$C$89,MATCH('IEPR Gas Prices Nominal'!$B219,'GDP Deflator'!$B$5:$B$89,0))/100)</f>
        <v>1.8788714066999044</v>
      </c>
      <c r="N219" s="270">
        <f>'IEPR Gas Prices Real'!N219*(INDEX('GDP Deflator'!$C$5:$C$89,MATCH('IEPR Gas Prices Nominal'!$B219,'GDP Deflator'!$B$5:$B$89,0))/100)</f>
        <v>9.6819302823744042</v>
      </c>
      <c r="O219" s="1"/>
      <c r="P219" s="274">
        <f t="shared" si="22"/>
        <v>7.5006598942270033</v>
      </c>
      <c r="Q219" s="275">
        <f t="shared" si="26"/>
        <v>10.256259599414356</v>
      </c>
      <c r="R219" s="171"/>
    </row>
    <row r="220" spans="2:18">
      <c r="B220" s="94">
        <f t="shared" si="23"/>
        <v>2039</v>
      </c>
      <c r="C220" s="1">
        <f t="shared" si="24"/>
        <v>11</v>
      </c>
      <c r="D220" s="213">
        <v>51075</v>
      </c>
      <c r="E220" s="1" t="str">
        <f t="shared" si="25"/>
        <v>11-2039</v>
      </c>
      <c r="F220" s="268">
        <f>'IEPR Gas Prices Real'!F220*(INDEX('GDP Deflator'!$C$5:$C$89,MATCH('IEPR Gas Prices Nominal'!$B220,'GDP Deflator'!$B$5:$B$89,0))/100)</f>
        <v>7.5272011913633463</v>
      </c>
      <c r="G220" s="269">
        <f>'IEPR Gas Prices Real'!G220*(INDEX('GDP Deflator'!$C$5:$C$89,MATCH('IEPR Gas Prices Nominal'!$B220,'GDP Deflator'!$B$5:$B$89,0))/100)</f>
        <v>2.4094096668025196</v>
      </c>
      <c r="H220" s="270">
        <f>'IEPR Gas Prices Real'!H220*(INDEX('GDP Deflator'!$C$5:$C$89,MATCH('IEPR Gas Prices Nominal'!$B220,'GDP Deflator'!$B$5:$B$89,0))/100)</f>
        <v>9.9366108581658654</v>
      </c>
      <c r="I220" s="269">
        <f>'IEPR Gas Prices Real'!I220*(INDEX('GDP Deflator'!$C$5:$C$89,MATCH('IEPR Gas Prices Nominal'!$B220,'GDP Deflator'!$B$5:$B$89,0))/100)</f>
        <v>7.8984944355161257</v>
      </c>
      <c r="J220" s="269">
        <f>'IEPR Gas Prices Real'!J220*(INDEX('GDP Deflator'!$C$5:$C$89,MATCH('IEPR Gas Prices Nominal'!$B220,'GDP Deflator'!$B$5:$B$89,0))/100)</f>
        <v>3.9785180420596369</v>
      </c>
      <c r="K220" s="269">
        <f>'IEPR Gas Prices Real'!K220*(INDEX('GDP Deflator'!$C$5:$C$89,MATCH('IEPR Gas Prices Nominal'!$B220,'GDP Deflator'!$B$5:$B$89,0))/100)</f>
        <v>11.877012477575763</v>
      </c>
      <c r="L220" s="268">
        <f>'IEPR Gas Prices Real'!L220*(INDEX('GDP Deflator'!$C$5:$C$89,MATCH('IEPR Gas Prices Nominal'!$B220,'GDP Deflator'!$B$5:$B$89,0))/100)</f>
        <v>8.188251189170245</v>
      </c>
      <c r="M220" s="269">
        <f>'IEPR Gas Prices Real'!M220*(INDEX('GDP Deflator'!$C$5:$C$89,MATCH('IEPR Gas Prices Nominal'!$B220,'GDP Deflator'!$B$5:$B$89,0))/100)</f>
        <v>1.8788714066999044</v>
      </c>
      <c r="N220" s="270">
        <f>'IEPR Gas Prices Real'!N220*(INDEX('GDP Deflator'!$C$5:$C$89,MATCH('IEPR Gas Prices Nominal'!$B220,'GDP Deflator'!$B$5:$B$89,0))/100)</f>
        <v>10.067122595870149</v>
      </c>
      <c r="O220" s="1"/>
      <c r="P220" s="274">
        <f t="shared" si="22"/>
        <v>7.8713156053499063</v>
      </c>
      <c r="Q220" s="275">
        <f t="shared" si="26"/>
        <v>10.626915310537258</v>
      </c>
      <c r="R220" s="171"/>
    </row>
    <row r="221" spans="2:18">
      <c r="B221" s="94">
        <f t="shared" si="23"/>
        <v>2039</v>
      </c>
      <c r="C221" s="1">
        <f t="shared" si="24"/>
        <v>12</v>
      </c>
      <c r="D221" s="213">
        <v>51105</v>
      </c>
      <c r="E221" s="1" t="str">
        <f t="shared" si="25"/>
        <v>12-2039</v>
      </c>
      <c r="F221" s="268">
        <f>'IEPR Gas Prices Real'!F221*(INDEX('GDP Deflator'!$C$5:$C$89,MATCH('IEPR Gas Prices Nominal'!$B221,'GDP Deflator'!$B$5:$B$89,0))/100)</f>
        <v>7.5879094482716951</v>
      </c>
      <c r="G221" s="269">
        <f>'IEPR Gas Prices Real'!G221*(INDEX('GDP Deflator'!$C$5:$C$89,MATCH('IEPR Gas Prices Nominal'!$B221,'GDP Deflator'!$B$5:$B$89,0))/100)</f>
        <v>2.4094096668025196</v>
      </c>
      <c r="H221" s="270">
        <f>'IEPR Gas Prices Real'!H221*(INDEX('GDP Deflator'!$C$5:$C$89,MATCH('IEPR Gas Prices Nominal'!$B221,'GDP Deflator'!$B$5:$B$89,0))/100)</f>
        <v>9.9973191150742142</v>
      </c>
      <c r="I221" s="269">
        <f>'IEPR Gas Prices Real'!I221*(INDEX('GDP Deflator'!$C$5:$C$89,MATCH('IEPR Gas Prices Nominal'!$B221,'GDP Deflator'!$B$5:$B$89,0))/100)</f>
        <v>7.9621179805374709</v>
      </c>
      <c r="J221" s="269">
        <f>'IEPR Gas Prices Real'!J221*(INDEX('GDP Deflator'!$C$5:$C$89,MATCH('IEPR Gas Prices Nominal'!$B221,'GDP Deflator'!$B$5:$B$89,0))/100)</f>
        <v>3.9785180420596369</v>
      </c>
      <c r="K221" s="269">
        <f>'IEPR Gas Prices Real'!K221*(INDEX('GDP Deflator'!$C$5:$C$89,MATCH('IEPR Gas Prices Nominal'!$B221,'GDP Deflator'!$B$5:$B$89,0))/100)</f>
        <v>11.940636022597108</v>
      </c>
      <c r="L221" s="268">
        <f>'IEPR Gas Prices Real'!L221*(INDEX('GDP Deflator'!$C$5:$C$89,MATCH('IEPR Gas Prices Nominal'!$B221,'GDP Deflator'!$B$5:$B$89,0))/100)</f>
        <v>8.2536209487409646</v>
      </c>
      <c r="M221" s="269">
        <f>'IEPR Gas Prices Real'!M221*(INDEX('GDP Deflator'!$C$5:$C$89,MATCH('IEPR Gas Prices Nominal'!$B221,'GDP Deflator'!$B$5:$B$89,0))/100)</f>
        <v>1.8788714066999044</v>
      </c>
      <c r="N221" s="270">
        <f>'IEPR Gas Prices Real'!N221*(INDEX('GDP Deflator'!$C$5:$C$89,MATCH('IEPR Gas Prices Nominal'!$B221,'GDP Deflator'!$B$5:$B$89,0))/100)</f>
        <v>10.132492355440869</v>
      </c>
      <c r="O221" s="1"/>
      <c r="P221" s="274">
        <f t="shared" si="22"/>
        <v>7.9345494591833772</v>
      </c>
      <c r="Q221" s="275">
        <f t="shared" si="26"/>
        <v>10.69014916437073</v>
      </c>
      <c r="R221" s="171"/>
    </row>
    <row r="222" spans="2:18">
      <c r="B222" s="94">
        <f t="shared" si="23"/>
        <v>2040</v>
      </c>
      <c r="C222" s="1">
        <f t="shared" si="24"/>
        <v>1</v>
      </c>
      <c r="D222" s="213">
        <v>51136</v>
      </c>
      <c r="E222" s="1" t="str">
        <f t="shared" si="25"/>
        <v>1-2040</v>
      </c>
      <c r="F222" s="268">
        <f>'IEPR Gas Prices Real'!F222*(INDEX('GDP Deflator'!$C$5:$C$89,MATCH('IEPR Gas Prices Nominal'!$B222,'GDP Deflator'!$B$5:$B$89,0))/100)</f>
        <v>7.7608433789465181</v>
      </c>
      <c r="G222" s="269">
        <f>'IEPR Gas Prices Real'!G222*(INDEX('GDP Deflator'!$C$5:$C$89,MATCH('IEPR Gas Prices Nominal'!$B222,'GDP Deflator'!$B$5:$B$89,0))/100)</f>
        <v>2.5628008502774771</v>
      </c>
      <c r="H222" s="270">
        <f>'IEPR Gas Prices Real'!H222*(INDEX('GDP Deflator'!$C$5:$C$89,MATCH('IEPR Gas Prices Nominal'!$B222,'GDP Deflator'!$B$5:$B$89,0))/100)</f>
        <v>10.323644229223996</v>
      </c>
      <c r="I222" s="269">
        <f>'IEPR Gas Prices Real'!I222*(INDEX('GDP Deflator'!$C$5:$C$89,MATCH('IEPR Gas Prices Nominal'!$B222,'GDP Deflator'!$B$5:$B$89,0))/100)</f>
        <v>8.1434743493125481</v>
      </c>
      <c r="J222" s="269">
        <f>'IEPR Gas Prices Real'!J222*(INDEX('GDP Deflator'!$C$5:$C$89,MATCH('IEPR Gas Prices Nominal'!$B222,'GDP Deflator'!$B$5:$B$89,0))/100)</f>
        <v>4.2318039814980226</v>
      </c>
      <c r="K222" s="269">
        <f>'IEPR Gas Prices Real'!K222*(INDEX('GDP Deflator'!$C$5:$C$89,MATCH('IEPR Gas Prices Nominal'!$B222,'GDP Deflator'!$B$5:$B$89,0))/100)</f>
        <v>12.37527833081057</v>
      </c>
      <c r="L222" s="268">
        <f>'IEPR Gas Prices Real'!L222*(INDEX('GDP Deflator'!$C$5:$C$89,MATCH('IEPR Gas Prices Nominal'!$B222,'GDP Deflator'!$B$5:$B$89,0))/100)</f>
        <v>8.4416196209789476</v>
      </c>
      <c r="M222" s="269">
        <f>'IEPR Gas Prices Real'!M222*(INDEX('GDP Deflator'!$C$5:$C$89,MATCH('IEPR Gas Prices Nominal'!$B222,'GDP Deflator'!$B$5:$B$89,0))/100)</f>
        <v>1.9984867268515101</v>
      </c>
      <c r="N222" s="270">
        <f>'IEPR Gas Prices Real'!N222*(INDEX('GDP Deflator'!$C$5:$C$89,MATCH('IEPR Gas Prices Nominal'!$B222,'GDP Deflator'!$B$5:$B$89,0))/100)</f>
        <v>10.440106347830458</v>
      </c>
      <c r="O222" s="1"/>
      <c r="P222" s="274">
        <f t="shared" si="22"/>
        <v>8.1153124497460052</v>
      </c>
      <c r="Q222" s="275">
        <f t="shared" si="26"/>
        <v>11.046342969288341</v>
      </c>
      <c r="R222" s="171"/>
    </row>
    <row r="223" spans="2:18">
      <c r="B223" s="94">
        <f t="shared" si="23"/>
        <v>2040</v>
      </c>
      <c r="C223" s="1">
        <f t="shared" si="24"/>
        <v>2</v>
      </c>
      <c r="D223" s="213">
        <v>51167</v>
      </c>
      <c r="E223" s="1" t="str">
        <f t="shared" si="25"/>
        <v>2-2040</v>
      </c>
      <c r="F223" s="268">
        <f>'IEPR Gas Prices Real'!F223*(INDEX('GDP Deflator'!$C$5:$C$89,MATCH('IEPR Gas Prices Nominal'!$B223,'GDP Deflator'!$B$5:$B$89,0))/100)</f>
        <v>7.5905211892335087</v>
      </c>
      <c r="G223" s="269">
        <f>'IEPR Gas Prices Real'!G223*(INDEX('GDP Deflator'!$C$5:$C$89,MATCH('IEPR Gas Prices Nominal'!$B223,'GDP Deflator'!$B$5:$B$89,0))/100)</f>
        <v>2.5628008502774771</v>
      </c>
      <c r="H223" s="270">
        <f>'IEPR Gas Prices Real'!H223*(INDEX('GDP Deflator'!$C$5:$C$89,MATCH('IEPR Gas Prices Nominal'!$B223,'GDP Deflator'!$B$5:$B$89,0))/100)</f>
        <v>10.153322039510986</v>
      </c>
      <c r="I223" s="269">
        <f>'IEPR Gas Prices Real'!I223*(INDEX('GDP Deflator'!$C$5:$C$89,MATCH('IEPR Gas Prices Nominal'!$B223,'GDP Deflator'!$B$5:$B$89,0))/100)</f>
        <v>7.9646510759745572</v>
      </c>
      <c r="J223" s="269">
        <f>'IEPR Gas Prices Real'!J223*(INDEX('GDP Deflator'!$C$5:$C$89,MATCH('IEPR Gas Prices Nominal'!$B223,'GDP Deflator'!$B$5:$B$89,0))/100)</f>
        <v>4.2318039814980226</v>
      </c>
      <c r="K223" s="269">
        <f>'IEPR Gas Prices Real'!K223*(INDEX('GDP Deflator'!$C$5:$C$89,MATCH('IEPR Gas Prices Nominal'!$B223,'GDP Deflator'!$B$5:$B$89,0))/100)</f>
        <v>12.19645505747258</v>
      </c>
      <c r="L223" s="268">
        <f>'IEPR Gas Prices Real'!L223*(INDEX('GDP Deflator'!$C$5:$C$89,MATCH('IEPR Gas Prices Nominal'!$B223,'GDP Deflator'!$B$5:$B$89,0))/100)</f>
        <v>8.2562519149761382</v>
      </c>
      <c r="M223" s="269">
        <f>'IEPR Gas Prices Real'!M223*(INDEX('GDP Deflator'!$C$5:$C$89,MATCH('IEPR Gas Prices Nominal'!$B223,'GDP Deflator'!$B$5:$B$89,0))/100)</f>
        <v>1.9984867268515101</v>
      </c>
      <c r="N223" s="270">
        <f>'IEPR Gas Prices Real'!N223*(INDEX('GDP Deflator'!$C$5:$C$89,MATCH('IEPR Gas Prices Nominal'!$B223,'GDP Deflator'!$B$5:$B$89,0))/100)</f>
        <v>10.254738641827648</v>
      </c>
      <c r="O223" s="1"/>
      <c r="P223" s="274">
        <f t="shared" si="22"/>
        <v>7.937141393394735</v>
      </c>
      <c r="Q223" s="275">
        <f t="shared" si="26"/>
        <v>10.868171912937072</v>
      </c>
      <c r="R223" s="171"/>
    </row>
    <row r="224" spans="2:18">
      <c r="B224" s="94">
        <f t="shared" si="23"/>
        <v>2040</v>
      </c>
      <c r="C224" s="1">
        <f t="shared" si="24"/>
        <v>3</v>
      </c>
      <c r="D224" s="213">
        <v>51196</v>
      </c>
      <c r="E224" s="1" t="str">
        <f t="shared" si="25"/>
        <v>3-2040</v>
      </c>
      <c r="F224" s="268">
        <f>'IEPR Gas Prices Real'!F224*(INDEX('GDP Deflator'!$C$5:$C$89,MATCH('IEPR Gas Prices Nominal'!$B224,'GDP Deflator'!$B$5:$B$89,0))/100)</f>
        <v>6.9679664078686843</v>
      </c>
      <c r="G224" s="269">
        <f>'IEPR Gas Prices Real'!G224*(INDEX('GDP Deflator'!$C$5:$C$89,MATCH('IEPR Gas Prices Nominal'!$B224,'GDP Deflator'!$B$5:$B$89,0))/100)</f>
        <v>2.5628008502774771</v>
      </c>
      <c r="H224" s="270">
        <f>'IEPR Gas Prices Real'!H224*(INDEX('GDP Deflator'!$C$5:$C$89,MATCH('IEPR Gas Prices Nominal'!$B224,'GDP Deflator'!$B$5:$B$89,0))/100)</f>
        <v>9.5307672581461613</v>
      </c>
      <c r="I224" s="269">
        <f>'IEPR Gas Prices Real'!I224*(INDEX('GDP Deflator'!$C$5:$C$89,MATCH('IEPR Gas Prices Nominal'!$B224,'GDP Deflator'!$B$5:$B$89,0))/100)</f>
        <v>7.3113159009722022</v>
      </c>
      <c r="J224" s="269">
        <f>'IEPR Gas Prices Real'!J224*(INDEX('GDP Deflator'!$C$5:$C$89,MATCH('IEPR Gas Prices Nominal'!$B224,'GDP Deflator'!$B$5:$B$89,0))/100)</f>
        <v>4.2318039814980226</v>
      </c>
      <c r="K224" s="269">
        <f>'IEPR Gas Prices Real'!K224*(INDEX('GDP Deflator'!$C$5:$C$89,MATCH('IEPR Gas Prices Nominal'!$B224,'GDP Deflator'!$B$5:$B$89,0))/100)</f>
        <v>11.543119882470224</v>
      </c>
      <c r="L224" s="268">
        <f>'IEPR Gas Prices Real'!L224*(INDEX('GDP Deflator'!$C$5:$C$89,MATCH('IEPR Gas Prices Nominal'!$B224,'GDP Deflator'!$B$5:$B$89,0))/100)</f>
        <v>7.5789992674183591</v>
      </c>
      <c r="M224" s="269">
        <f>'IEPR Gas Prices Real'!M224*(INDEX('GDP Deflator'!$C$5:$C$89,MATCH('IEPR Gas Prices Nominal'!$B224,'GDP Deflator'!$B$5:$B$89,0))/100)</f>
        <v>1.9984867268515101</v>
      </c>
      <c r="N224" s="270">
        <f>'IEPR Gas Prices Real'!N224*(INDEX('GDP Deflator'!$C$5:$C$89,MATCH('IEPR Gas Prices Nominal'!$B224,'GDP Deflator'!$B$5:$B$89,0))/100)</f>
        <v>9.5774859942698694</v>
      </c>
      <c r="O224" s="1"/>
      <c r="P224" s="274">
        <f t="shared" si="22"/>
        <v>7.2860938587530812</v>
      </c>
      <c r="Q224" s="275">
        <f t="shared" si="26"/>
        <v>10.217124378295418</v>
      </c>
      <c r="R224" s="171"/>
    </row>
    <row r="225" spans="2:18">
      <c r="B225" s="94">
        <f t="shared" si="23"/>
        <v>2040</v>
      </c>
      <c r="C225" s="1">
        <f t="shared" si="24"/>
        <v>4</v>
      </c>
      <c r="D225" s="213">
        <v>51227</v>
      </c>
      <c r="E225" s="1" t="str">
        <f t="shared" si="25"/>
        <v>4-2040</v>
      </c>
      <c r="F225" s="268">
        <f>'IEPR Gas Prices Real'!F225*(INDEX('GDP Deflator'!$C$5:$C$89,MATCH('IEPR Gas Prices Nominal'!$B225,'GDP Deflator'!$B$5:$B$89,0))/100)</f>
        <v>6.8492535822111273</v>
      </c>
      <c r="G225" s="269">
        <f>'IEPR Gas Prices Real'!G225*(INDEX('GDP Deflator'!$C$5:$C$89,MATCH('IEPR Gas Prices Nominal'!$B225,'GDP Deflator'!$B$5:$B$89,0))/100)</f>
        <v>2.5628008502774771</v>
      </c>
      <c r="H225" s="270">
        <f>'IEPR Gas Prices Real'!H225*(INDEX('GDP Deflator'!$C$5:$C$89,MATCH('IEPR Gas Prices Nominal'!$B225,'GDP Deflator'!$B$5:$B$89,0))/100)</f>
        <v>9.4120544324886044</v>
      </c>
      <c r="I225" s="269">
        <f>'IEPR Gas Prices Real'!I225*(INDEX('GDP Deflator'!$C$5:$C$89,MATCH('IEPR Gas Prices Nominal'!$B225,'GDP Deflator'!$B$5:$B$89,0))/100)</f>
        <v>7.1866598266216855</v>
      </c>
      <c r="J225" s="269">
        <f>'IEPR Gas Prices Real'!J225*(INDEX('GDP Deflator'!$C$5:$C$89,MATCH('IEPR Gas Prices Nominal'!$B225,'GDP Deflator'!$B$5:$B$89,0))/100)</f>
        <v>4.2318039814980226</v>
      </c>
      <c r="K225" s="269">
        <f>'IEPR Gas Prices Real'!K225*(INDEX('GDP Deflator'!$C$5:$C$89,MATCH('IEPR Gas Prices Nominal'!$B225,'GDP Deflator'!$B$5:$B$89,0))/100)</f>
        <v>11.418463808119707</v>
      </c>
      <c r="L225" s="268">
        <f>'IEPR Gas Prices Real'!L225*(INDEX('GDP Deflator'!$C$5:$C$89,MATCH('IEPR Gas Prices Nominal'!$B225,'GDP Deflator'!$B$5:$B$89,0))/100)</f>
        <v>7.4497815756403014</v>
      </c>
      <c r="M225" s="269">
        <f>'IEPR Gas Prices Real'!M225*(INDEX('GDP Deflator'!$C$5:$C$89,MATCH('IEPR Gas Prices Nominal'!$B225,'GDP Deflator'!$B$5:$B$89,0))/100)</f>
        <v>1.9984867268515101</v>
      </c>
      <c r="N225" s="270">
        <f>'IEPR Gas Prices Real'!N225*(INDEX('GDP Deflator'!$C$5:$C$89,MATCH('IEPR Gas Prices Nominal'!$B225,'GDP Deflator'!$B$5:$B$89,0))/100)</f>
        <v>9.4482683024918117</v>
      </c>
      <c r="O225" s="1"/>
      <c r="P225" s="274">
        <f t="shared" si="22"/>
        <v>7.1618983281577044</v>
      </c>
      <c r="Q225" s="275">
        <f t="shared" si="26"/>
        <v>10.092928847700042</v>
      </c>
      <c r="R225" s="171"/>
    </row>
    <row r="226" spans="2:18">
      <c r="B226" s="94">
        <f t="shared" si="23"/>
        <v>2040</v>
      </c>
      <c r="C226" s="1">
        <f t="shared" si="24"/>
        <v>5</v>
      </c>
      <c r="D226" s="213">
        <v>51257</v>
      </c>
      <c r="E226" s="1" t="str">
        <f t="shared" si="25"/>
        <v>5-2040</v>
      </c>
      <c r="F226" s="268">
        <f>'IEPR Gas Prices Real'!F226*(INDEX('GDP Deflator'!$C$5:$C$89,MATCH('IEPR Gas Prices Nominal'!$B226,'GDP Deflator'!$B$5:$B$89,0))/100)</f>
        <v>7.0874728594145857</v>
      </c>
      <c r="G226" s="269">
        <f>'IEPR Gas Prices Real'!G226*(INDEX('GDP Deflator'!$C$5:$C$89,MATCH('IEPR Gas Prices Nominal'!$B226,'GDP Deflator'!$B$5:$B$89,0))/100)</f>
        <v>2.5628008502774771</v>
      </c>
      <c r="H226" s="270">
        <f>'IEPR Gas Prices Real'!H226*(INDEX('GDP Deflator'!$C$5:$C$89,MATCH('IEPR Gas Prices Nominal'!$B226,'GDP Deflator'!$B$5:$B$89,0))/100)</f>
        <v>9.6502737096920637</v>
      </c>
      <c r="I226" s="269">
        <f>'IEPR Gas Prices Real'!I226*(INDEX('GDP Deflator'!$C$5:$C$89,MATCH('IEPR Gas Prices Nominal'!$B226,'GDP Deflator'!$B$5:$B$89,0))/100)</f>
        <v>7.4365173106883784</v>
      </c>
      <c r="J226" s="269">
        <f>'IEPR Gas Prices Real'!J226*(INDEX('GDP Deflator'!$C$5:$C$89,MATCH('IEPR Gas Prices Nominal'!$B226,'GDP Deflator'!$B$5:$B$89,0))/100)</f>
        <v>4.2318039814980226</v>
      </c>
      <c r="K226" s="269">
        <f>'IEPR Gas Prices Real'!K226*(INDEX('GDP Deflator'!$C$5:$C$89,MATCH('IEPR Gas Prices Nominal'!$B226,'GDP Deflator'!$B$5:$B$89,0))/100)</f>
        <v>11.6683212921864</v>
      </c>
      <c r="L226" s="268">
        <f>'IEPR Gas Prices Real'!L226*(INDEX('GDP Deflator'!$C$5:$C$89,MATCH('IEPR Gas Prices Nominal'!$B226,'GDP Deflator'!$B$5:$B$89,0))/100)</f>
        <v>7.7087893693048235</v>
      </c>
      <c r="M226" s="269">
        <f>'IEPR Gas Prices Real'!M226*(INDEX('GDP Deflator'!$C$5:$C$89,MATCH('IEPR Gas Prices Nominal'!$B226,'GDP Deflator'!$B$5:$B$89,0))/100)</f>
        <v>1.9984867268515101</v>
      </c>
      <c r="N226" s="270">
        <f>'IEPR Gas Prices Real'!N226*(INDEX('GDP Deflator'!$C$5:$C$89,MATCH('IEPR Gas Prices Nominal'!$B226,'GDP Deflator'!$B$5:$B$89,0))/100)</f>
        <v>9.7072760961563347</v>
      </c>
      <c r="O226" s="1"/>
      <c r="P226" s="274">
        <f t="shared" si="22"/>
        <v>7.4109265131359292</v>
      </c>
      <c r="Q226" s="275">
        <f t="shared" si="26"/>
        <v>10.341957032678266</v>
      </c>
      <c r="R226" s="171"/>
    </row>
    <row r="227" spans="2:18">
      <c r="B227" s="94">
        <f t="shared" si="23"/>
        <v>2040</v>
      </c>
      <c r="C227" s="1">
        <f t="shared" si="24"/>
        <v>6</v>
      </c>
      <c r="D227" s="213">
        <v>51288</v>
      </c>
      <c r="E227" s="1" t="str">
        <f t="shared" si="25"/>
        <v>6-2040</v>
      </c>
      <c r="F227" s="268">
        <f>'IEPR Gas Prices Real'!F227*(INDEX('GDP Deflator'!$C$5:$C$89,MATCH('IEPR Gas Prices Nominal'!$B227,'GDP Deflator'!$B$5:$B$89,0))/100)</f>
        <v>7.2705406477054826</v>
      </c>
      <c r="G227" s="269">
        <f>'IEPR Gas Prices Real'!G227*(INDEX('GDP Deflator'!$C$5:$C$89,MATCH('IEPR Gas Prices Nominal'!$B227,'GDP Deflator'!$B$5:$B$89,0))/100)</f>
        <v>2.5628008502774771</v>
      </c>
      <c r="H227" s="270">
        <f>'IEPR Gas Prices Real'!H227*(INDEX('GDP Deflator'!$C$5:$C$89,MATCH('IEPR Gas Prices Nominal'!$B227,'GDP Deflator'!$B$5:$B$89,0))/100)</f>
        <v>9.8333414979829588</v>
      </c>
      <c r="I227" s="269">
        <f>'IEPR Gas Prices Real'!I227*(INDEX('GDP Deflator'!$C$5:$C$89,MATCH('IEPR Gas Prices Nominal'!$B227,'GDP Deflator'!$B$5:$B$89,0))/100)</f>
        <v>7.6285014287279989</v>
      </c>
      <c r="J227" s="269">
        <f>'IEPR Gas Prices Real'!J227*(INDEX('GDP Deflator'!$C$5:$C$89,MATCH('IEPR Gas Prices Nominal'!$B227,'GDP Deflator'!$B$5:$B$89,0))/100)</f>
        <v>4.2318039814980226</v>
      </c>
      <c r="K227" s="269">
        <f>'IEPR Gas Prices Real'!K227*(INDEX('GDP Deflator'!$C$5:$C$89,MATCH('IEPR Gas Prices Nominal'!$B227,'GDP Deflator'!$B$5:$B$89,0))/100)</f>
        <v>11.860305410226022</v>
      </c>
      <c r="L227" s="268">
        <f>'IEPR Gas Prices Real'!L227*(INDEX('GDP Deflator'!$C$5:$C$89,MATCH('IEPR Gas Prices Nominal'!$B227,'GDP Deflator'!$B$5:$B$89,0))/100)</f>
        <v>7.9078050311146999</v>
      </c>
      <c r="M227" s="269">
        <f>'IEPR Gas Prices Real'!M227*(INDEX('GDP Deflator'!$C$5:$C$89,MATCH('IEPR Gas Prices Nominal'!$B227,'GDP Deflator'!$B$5:$B$89,0))/100)</f>
        <v>1.9984867268515101</v>
      </c>
      <c r="N227" s="270">
        <f>'IEPR Gas Prices Real'!N227*(INDEX('GDP Deflator'!$C$5:$C$89,MATCH('IEPR Gas Prices Nominal'!$B227,'GDP Deflator'!$B$5:$B$89,0))/100)</f>
        <v>9.9062917579662102</v>
      </c>
      <c r="O227" s="1"/>
      <c r="P227" s="274">
        <f t="shared" si="22"/>
        <v>7.6022823691827268</v>
      </c>
      <c r="Q227" s="275">
        <f t="shared" si="26"/>
        <v>10.533312888725064</v>
      </c>
      <c r="R227" s="171"/>
    </row>
    <row r="228" spans="2:18">
      <c r="B228" s="94">
        <f t="shared" si="23"/>
        <v>2040</v>
      </c>
      <c r="C228" s="1">
        <f t="shared" si="24"/>
        <v>7</v>
      </c>
      <c r="D228" s="213">
        <v>51318</v>
      </c>
      <c r="E228" s="1" t="str">
        <f t="shared" si="25"/>
        <v>7-2040</v>
      </c>
      <c r="F228" s="268">
        <f>'IEPR Gas Prices Real'!F228*(INDEX('GDP Deflator'!$C$5:$C$89,MATCH('IEPR Gas Prices Nominal'!$B228,'GDP Deflator'!$B$5:$B$89,0))/100)</f>
        <v>7.3280621126926277</v>
      </c>
      <c r="G228" s="269">
        <f>'IEPR Gas Prices Real'!G228*(INDEX('GDP Deflator'!$C$5:$C$89,MATCH('IEPR Gas Prices Nominal'!$B228,'GDP Deflator'!$B$5:$B$89,0))/100)</f>
        <v>2.5628008502774771</v>
      </c>
      <c r="H228" s="270">
        <f>'IEPR Gas Prices Real'!H228*(INDEX('GDP Deflator'!$C$5:$C$89,MATCH('IEPR Gas Prices Nominal'!$B228,'GDP Deflator'!$B$5:$B$89,0))/100)</f>
        <v>9.8908629629701057</v>
      </c>
      <c r="I228" s="269">
        <f>'IEPR Gas Prices Real'!I228*(INDEX('GDP Deflator'!$C$5:$C$89,MATCH('IEPR Gas Prices Nominal'!$B228,'GDP Deflator'!$B$5:$B$89,0))/100)</f>
        <v>7.6887547220550942</v>
      </c>
      <c r="J228" s="269">
        <f>'IEPR Gas Prices Real'!J228*(INDEX('GDP Deflator'!$C$5:$C$89,MATCH('IEPR Gas Prices Nominal'!$B228,'GDP Deflator'!$B$5:$B$89,0))/100)</f>
        <v>4.2318039814980226</v>
      </c>
      <c r="K228" s="269">
        <f>'IEPR Gas Prices Real'!K228*(INDEX('GDP Deflator'!$C$5:$C$89,MATCH('IEPR Gas Prices Nominal'!$B228,'GDP Deflator'!$B$5:$B$89,0))/100)</f>
        <v>11.920558703553116</v>
      </c>
      <c r="L228" s="268">
        <f>'IEPR Gas Prices Real'!L228*(INDEX('GDP Deflator'!$C$5:$C$89,MATCH('IEPR Gas Prices Nominal'!$B228,'GDP Deflator'!$B$5:$B$89,0))/100)</f>
        <v>7.9702668671150825</v>
      </c>
      <c r="M228" s="269">
        <f>'IEPR Gas Prices Real'!M228*(INDEX('GDP Deflator'!$C$5:$C$89,MATCH('IEPR Gas Prices Nominal'!$B228,'GDP Deflator'!$B$5:$B$89,0))/100)</f>
        <v>1.9984867268515101</v>
      </c>
      <c r="N228" s="270">
        <f>'IEPR Gas Prices Real'!N228*(INDEX('GDP Deflator'!$C$5:$C$89,MATCH('IEPR Gas Prices Nominal'!$B228,'GDP Deflator'!$B$5:$B$89,0))/100)</f>
        <v>9.9687535939665928</v>
      </c>
      <c r="O228" s="1"/>
      <c r="P228" s="274">
        <f t="shared" si="22"/>
        <v>7.6623612339542682</v>
      </c>
      <c r="Q228" s="275">
        <f t="shared" si="26"/>
        <v>10.593391753496606</v>
      </c>
      <c r="R228" s="171"/>
    </row>
    <row r="229" spans="2:18">
      <c r="B229" s="94">
        <f t="shared" si="23"/>
        <v>2040</v>
      </c>
      <c r="C229" s="1">
        <f t="shared" si="24"/>
        <v>8</v>
      </c>
      <c r="D229" s="213">
        <v>51349</v>
      </c>
      <c r="E229" s="1" t="str">
        <f t="shared" si="25"/>
        <v>8-2040</v>
      </c>
      <c r="F229" s="268">
        <f>'IEPR Gas Prices Real'!F229*(INDEX('GDP Deflator'!$C$5:$C$89,MATCH('IEPR Gas Prices Nominal'!$B229,'GDP Deflator'!$B$5:$B$89,0))/100)</f>
        <v>7.271301933799668</v>
      </c>
      <c r="G229" s="269">
        <f>'IEPR Gas Prices Real'!G229*(INDEX('GDP Deflator'!$C$5:$C$89,MATCH('IEPR Gas Prices Nominal'!$B229,'GDP Deflator'!$B$5:$B$89,0))/100)</f>
        <v>2.5628008502774771</v>
      </c>
      <c r="H229" s="270">
        <f>'IEPR Gas Prices Real'!H229*(INDEX('GDP Deflator'!$C$5:$C$89,MATCH('IEPR Gas Prices Nominal'!$B229,'GDP Deflator'!$B$5:$B$89,0))/100)</f>
        <v>9.834102784077146</v>
      </c>
      <c r="I229" s="269">
        <f>'IEPR Gas Prices Real'!I229*(INDEX('GDP Deflator'!$C$5:$C$89,MATCH('IEPR Gas Prices Nominal'!$B229,'GDP Deflator'!$B$5:$B$89,0))/100)</f>
        <v>7.6291013218667603</v>
      </c>
      <c r="J229" s="269">
        <f>'IEPR Gas Prices Real'!J229*(INDEX('GDP Deflator'!$C$5:$C$89,MATCH('IEPR Gas Prices Nominal'!$B229,'GDP Deflator'!$B$5:$B$89,0))/100)</f>
        <v>4.2318039814980226</v>
      </c>
      <c r="K229" s="269">
        <f>'IEPR Gas Prices Real'!K229*(INDEX('GDP Deflator'!$C$5:$C$89,MATCH('IEPR Gas Prices Nominal'!$B229,'GDP Deflator'!$B$5:$B$89,0))/100)</f>
        <v>11.860905303364783</v>
      </c>
      <c r="L229" s="268">
        <f>'IEPR Gas Prices Real'!L229*(INDEX('GDP Deflator'!$C$5:$C$89,MATCH('IEPR Gas Prices Nominal'!$B229,'GDP Deflator'!$B$5:$B$89,0))/100)</f>
        <v>7.908431807631283</v>
      </c>
      <c r="M229" s="269">
        <f>'IEPR Gas Prices Real'!M229*(INDEX('GDP Deflator'!$C$5:$C$89,MATCH('IEPR Gas Prices Nominal'!$B229,'GDP Deflator'!$B$5:$B$89,0))/100)</f>
        <v>1.9984867268515101</v>
      </c>
      <c r="N229" s="270">
        <f>'IEPR Gas Prices Real'!N229*(INDEX('GDP Deflator'!$C$5:$C$89,MATCH('IEPR Gas Prices Nominal'!$B229,'GDP Deflator'!$B$5:$B$89,0))/100)</f>
        <v>9.9069185344827932</v>
      </c>
      <c r="O229" s="1"/>
      <c r="P229" s="274">
        <f t="shared" si="22"/>
        <v>7.602945021099238</v>
      </c>
      <c r="Q229" s="275">
        <f t="shared" si="26"/>
        <v>10.533975540641572</v>
      </c>
      <c r="R229" s="171"/>
    </row>
    <row r="230" spans="2:18">
      <c r="B230" s="94">
        <f t="shared" si="23"/>
        <v>2040</v>
      </c>
      <c r="C230" s="1">
        <f t="shared" si="24"/>
        <v>9</v>
      </c>
      <c r="D230" s="213">
        <v>51380</v>
      </c>
      <c r="E230" s="1" t="str">
        <f t="shared" si="25"/>
        <v>9-2040</v>
      </c>
      <c r="F230" s="268">
        <f>'IEPR Gas Prices Real'!F230*(INDEX('GDP Deflator'!$C$5:$C$89,MATCH('IEPR Gas Prices Nominal'!$B230,'GDP Deflator'!$B$5:$B$89,0))/100)</f>
        <v>7.3734193906171921</v>
      </c>
      <c r="G230" s="269">
        <f>'IEPR Gas Prices Real'!G230*(INDEX('GDP Deflator'!$C$5:$C$89,MATCH('IEPR Gas Prices Nominal'!$B230,'GDP Deflator'!$B$5:$B$89,0))/100)</f>
        <v>2.5628008502774771</v>
      </c>
      <c r="H230" s="270">
        <f>'IEPR Gas Prices Real'!H230*(INDEX('GDP Deflator'!$C$5:$C$89,MATCH('IEPR Gas Prices Nominal'!$B230,'GDP Deflator'!$B$5:$B$89,0))/100)</f>
        <v>9.93622024089467</v>
      </c>
      <c r="I230" s="269">
        <f>'IEPR Gas Prices Real'!I230*(INDEX('GDP Deflator'!$C$5:$C$89,MATCH('IEPR Gas Prices Nominal'!$B230,'GDP Deflator'!$B$5:$B$89,0))/100)</f>
        <v>7.7361428255727098</v>
      </c>
      <c r="J230" s="269">
        <f>'IEPR Gas Prices Real'!J230*(INDEX('GDP Deflator'!$C$5:$C$89,MATCH('IEPR Gas Prices Nominal'!$B230,'GDP Deflator'!$B$5:$B$89,0))/100)</f>
        <v>4.2318039814980226</v>
      </c>
      <c r="K230" s="269">
        <f>'IEPR Gas Prices Real'!K230*(INDEX('GDP Deflator'!$C$5:$C$89,MATCH('IEPR Gas Prices Nominal'!$B230,'GDP Deflator'!$B$5:$B$89,0))/100)</f>
        <v>11.967946807070733</v>
      </c>
      <c r="L230" s="268">
        <f>'IEPR Gas Prices Real'!L230*(INDEX('GDP Deflator'!$C$5:$C$89,MATCH('IEPR Gas Prices Nominal'!$B230,'GDP Deflator'!$B$5:$B$89,0))/100)</f>
        <v>8.0193950036681354</v>
      </c>
      <c r="M230" s="269">
        <f>'IEPR Gas Prices Real'!M230*(INDEX('GDP Deflator'!$C$5:$C$89,MATCH('IEPR Gas Prices Nominal'!$B230,'GDP Deflator'!$B$5:$B$89,0))/100)</f>
        <v>1.9984867268515101</v>
      </c>
      <c r="N230" s="270">
        <f>'IEPR Gas Prices Real'!N230*(INDEX('GDP Deflator'!$C$5:$C$89,MATCH('IEPR Gas Prices Nominal'!$B230,'GDP Deflator'!$B$5:$B$89,0))/100)</f>
        <v>10.017881730519646</v>
      </c>
      <c r="O230" s="1"/>
      <c r="P230" s="274">
        <f t="shared" si="22"/>
        <v>7.7096524066193455</v>
      </c>
      <c r="Q230" s="275">
        <f t="shared" si="26"/>
        <v>10.640682926161682</v>
      </c>
      <c r="R230" s="171"/>
    </row>
    <row r="231" spans="2:18">
      <c r="B231" s="94">
        <f t="shared" si="23"/>
        <v>2040</v>
      </c>
      <c r="C231" s="1">
        <f t="shared" si="24"/>
        <v>10</v>
      </c>
      <c r="D231" s="213">
        <v>51410</v>
      </c>
      <c r="E231" s="1" t="str">
        <f t="shared" si="25"/>
        <v>10-2040</v>
      </c>
      <c r="F231" s="268">
        <f>'IEPR Gas Prices Real'!F231*(INDEX('GDP Deflator'!$C$5:$C$89,MATCH('IEPR Gas Prices Nominal'!$B231,'GDP Deflator'!$B$5:$B$89,0))/100)</f>
        <v>7.33077116247647</v>
      </c>
      <c r="G231" s="269">
        <f>'IEPR Gas Prices Real'!G231*(INDEX('GDP Deflator'!$C$5:$C$89,MATCH('IEPR Gas Prices Nominal'!$B231,'GDP Deflator'!$B$5:$B$89,0))/100)</f>
        <v>2.5628008502774771</v>
      </c>
      <c r="H231" s="270">
        <f>'IEPR Gas Prices Real'!H231*(INDEX('GDP Deflator'!$C$5:$C$89,MATCH('IEPR Gas Prices Nominal'!$B231,'GDP Deflator'!$B$5:$B$89,0))/100)</f>
        <v>9.8935720127539462</v>
      </c>
      <c r="I231" s="269">
        <f>'IEPR Gas Prices Real'!I231*(INDEX('GDP Deflator'!$C$5:$C$89,MATCH('IEPR Gas Prices Nominal'!$B231,'GDP Deflator'!$B$5:$B$89,0))/100)</f>
        <v>7.691296304570244</v>
      </c>
      <c r="J231" s="269">
        <f>'IEPR Gas Prices Real'!J231*(INDEX('GDP Deflator'!$C$5:$C$89,MATCH('IEPR Gas Prices Nominal'!$B231,'GDP Deflator'!$B$5:$B$89,0))/100)</f>
        <v>4.2318039814980226</v>
      </c>
      <c r="K231" s="269">
        <f>'IEPR Gas Prices Real'!K231*(INDEX('GDP Deflator'!$C$5:$C$89,MATCH('IEPR Gas Prices Nominal'!$B231,'GDP Deflator'!$B$5:$B$89,0))/100)</f>
        <v>11.923100286068268</v>
      </c>
      <c r="L231" s="268">
        <f>'IEPR Gas Prices Real'!L231*(INDEX('GDP Deflator'!$C$5:$C$89,MATCH('IEPR Gas Prices Nominal'!$B231,'GDP Deflator'!$B$5:$B$89,0))/100)</f>
        <v>7.9729089467855498</v>
      </c>
      <c r="M231" s="269">
        <f>'IEPR Gas Prices Real'!M231*(INDEX('GDP Deflator'!$C$5:$C$89,MATCH('IEPR Gas Prices Nominal'!$B231,'GDP Deflator'!$B$5:$B$89,0))/100)</f>
        <v>1.9984867268515101</v>
      </c>
      <c r="N231" s="270">
        <f>'IEPR Gas Prices Real'!N231*(INDEX('GDP Deflator'!$C$5:$C$89,MATCH('IEPR Gas Prices Nominal'!$B231,'GDP Deflator'!$B$5:$B$89,0))/100)</f>
        <v>9.9713956736370601</v>
      </c>
      <c r="O231" s="1"/>
      <c r="P231" s="274">
        <f t="shared" si="22"/>
        <v>7.6649921379440871</v>
      </c>
      <c r="Q231" s="275">
        <f t="shared" si="26"/>
        <v>10.596022657486424</v>
      </c>
      <c r="R231" s="171"/>
    </row>
    <row r="232" spans="2:18">
      <c r="B232" s="94">
        <f t="shared" si="23"/>
        <v>2040</v>
      </c>
      <c r="C232" s="1">
        <f t="shared" si="24"/>
        <v>11</v>
      </c>
      <c r="D232" s="213">
        <v>51441</v>
      </c>
      <c r="E232" s="1" t="str">
        <f t="shared" si="25"/>
        <v>11-2040</v>
      </c>
      <c r="F232" s="268">
        <f>'IEPR Gas Prices Real'!F232*(INDEX('GDP Deflator'!$C$5:$C$89,MATCH('IEPR Gas Prices Nominal'!$B232,'GDP Deflator'!$B$5:$B$89,0))/100)</f>
        <v>7.6929413266657152</v>
      </c>
      <c r="G232" s="269">
        <f>'IEPR Gas Prices Real'!G232*(INDEX('GDP Deflator'!$C$5:$C$89,MATCH('IEPR Gas Prices Nominal'!$B232,'GDP Deflator'!$B$5:$B$89,0))/100)</f>
        <v>2.5628008502774771</v>
      </c>
      <c r="H232" s="270">
        <f>'IEPR Gas Prices Real'!H232*(INDEX('GDP Deflator'!$C$5:$C$89,MATCH('IEPR Gas Prices Nominal'!$B232,'GDP Deflator'!$B$5:$B$89,0))/100)</f>
        <v>10.255742176943192</v>
      </c>
      <c r="I232" s="269">
        <f>'IEPR Gas Prices Real'!I232*(INDEX('GDP Deflator'!$C$5:$C$89,MATCH('IEPR Gas Prices Nominal'!$B232,'GDP Deflator'!$B$5:$B$89,0))/100)</f>
        <v>8.0711726395400731</v>
      </c>
      <c r="J232" s="269">
        <f>'IEPR Gas Prices Real'!J232*(INDEX('GDP Deflator'!$C$5:$C$89,MATCH('IEPR Gas Prices Nominal'!$B232,'GDP Deflator'!$B$5:$B$89,0))/100)</f>
        <v>4.2318039814980226</v>
      </c>
      <c r="K232" s="269">
        <f>'IEPR Gas Prices Real'!K232*(INDEX('GDP Deflator'!$C$5:$C$89,MATCH('IEPR Gas Prices Nominal'!$B232,'GDP Deflator'!$B$5:$B$89,0))/100)</f>
        <v>12.302976621038097</v>
      </c>
      <c r="L232" s="268">
        <f>'IEPR Gas Prices Real'!L232*(INDEX('GDP Deflator'!$C$5:$C$89,MATCH('IEPR Gas Prices Nominal'!$B232,'GDP Deflator'!$B$5:$B$89,0))/100)</f>
        <v>8.3666968513215476</v>
      </c>
      <c r="M232" s="269">
        <f>'IEPR Gas Prices Real'!M232*(INDEX('GDP Deflator'!$C$5:$C$89,MATCH('IEPR Gas Prices Nominal'!$B232,'GDP Deflator'!$B$5:$B$89,0))/100)</f>
        <v>1.9984867268515101</v>
      </c>
      <c r="N232" s="270">
        <f>'IEPR Gas Prices Real'!N232*(INDEX('GDP Deflator'!$C$5:$C$89,MATCH('IEPR Gas Prices Nominal'!$B232,'GDP Deflator'!$B$5:$B$89,0))/100)</f>
        <v>10.365183578173058</v>
      </c>
      <c r="O232" s="1"/>
      <c r="P232" s="274">
        <f t="shared" si="22"/>
        <v>8.0436036058424438</v>
      </c>
      <c r="Q232" s="275">
        <f t="shared" si="26"/>
        <v>10.974634125384782</v>
      </c>
      <c r="R232" s="171"/>
    </row>
    <row r="233" spans="2:18">
      <c r="B233" s="94">
        <f t="shared" si="23"/>
        <v>2040</v>
      </c>
      <c r="C233" s="1">
        <f t="shared" si="24"/>
        <v>12</v>
      </c>
      <c r="D233" s="213">
        <v>51471</v>
      </c>
      <c r="E233" s="1" t="str">
        <f t="shared" si="25"/>
        <v>12-2040</v>
      </c>
      <c r="F233" s="268">
        <f>'IEPR Gas Prices Real'!F233*(INDEX('GDP Deflator'!$C$5:$C$89,MATCH('IEPR Gas Prices Nominal'!$B233,'GDP Deflator'!$B$5:$B$89,0))/100)</f>
        <v>7.7546512293035095</v>
      </c>
      <c r="G233" s="269">
        <f>'IEPR Gas Prices Real'!G233*(INDEX('GDP Deflator'!$C$5:$C$89,MATCH('IEPR Gas Prices Nominal'!$B233,'GDP Deflator'!$B$5:$B$89,0))/100)</f>
        <v>2.5628008502774771</v>
      </c>
      <c r="H233" s="270">
        <f>'IEPR Gas Prices Real'!H233*(INDEX('GDP Deflator'!$C$5:$C$89,MATCH('IEPR Gas Prices Nominal'!$B233,'GDP Deflator'!$B$5:$B$89,0))/100)</f>
        <v>10.317452079580987</v>
      </c>
      <c r="I233" s="269">
        <f>'IEPR Gas Prices Real'!I233*(INDEX('GDP Deflator'!$C$5:$C$89,MATCH('IEPR Gas Prices Nominal'!$B233,'GDP Deflator'!$B$5:$B$89,0))/100)</f>
        <v>8.1358104647720051</v>
      </c>
      <c r="J233" s="269">
        <f>'IEPR Gas Prices Real'!J233*(INDEX('GDP Deflator'!$C$5:$C$89,MATCH('IEPR Gas Prices Nominal'!$B233,'GDP Deflator'!$B$5:$B$89,0))/100)</f>
        <v>4.2318039814980226</v>
      </c>
      <c r="K233" s="269">
        <f>'IEPR Gas Prices Real'!K233*(INDEX('GDP Deflator'!$C$5:$C$89,MATCH('IEPR Gas Prices Nominal'!$B233,'GDP Deflator'!$B$5:$B$89,0))/100)</f>
        <v>12.367614446270027</v>
      </c>
      <c r="L233" s="268">
        <f>'IEPR Gas Prices Real'!L233*(INDEX('GDP Deflator'!$C$5:$C$89,MATCH('IEPR Gas Prices Nominal'!$B233,'GDP Deflator'!$B$5:$B$89,0))/100)</f>
        <v>8.4337040011836084</v>
      </c>
      <c r="M233" s="269">
        <f>'IEPR Gas Prices Real'!M233*(INDEX('GDP Deflator'!$C$5:$C$89,MATCH('IEPR Gas Prices Nominal'!$B233,'GDP Deflator'!$B$5:$B$89,0))/100)</f>
        <v>1.9984867268515101</v>
      </c>
      <c r="N233" s="270">
        <f>'IEPR Gas Prices Real'!N233*(INDEX('GDP Deflator'!$C$5:$C$89,MATCH('IEPR Gas Prices Nominal'!$B233,'GDP Deflator'!$B$5:$B$89,0))/100)</f>
        <v>10.432190728035119</v>
      </c>
      <c r="O233" s="1"/>
      <c r="P233" s="274">
        <f t="shared" si="22"/>
        <v>8.1080552317530419</v>
      </c>
      <c r="Q233" s="275">
        <f t="shared" si="26"/>
        <v>11.039085751295376</v>
      </c>
      <c r="R233" s="171"/>
    </row>
    <row r="234" spans="2:18">
      <c r="B234" s="94">
        <f t="shared" si="23"/>
        <v>2041</v>
      </c>
      <c r="C234" s="1">
        <f t="shared" si="24"/>
        <v>1</v>
      </c>
      <c r="D234" s="213">
        <v>51502</v>
      </c>
      <c r="E234" s="1" t="str">
        <f t="shared" si="25"/>
        <v>1-2041</v>
      </c>
      <c r="F234" s="268">
        <f>'IEPR Gas Prices Real'!F234*(INDEX('GDP Deflator'!$C$5:$C$89,MATCH('IEPR Gas Prices Nominal'!$B234,'GDP Deflator'!$B$5:$B$89,0))/100)</f>
        <v>7.9315699896001588</v>
      </c>
      <c r="G234" s="269">
        <f>'IEPR Gas Prices Real'!G234*(INDEX('GDP Deflator'!$C$5:$C$89,MATCH('IEPR Gas Prices Nominal'!$B234,'GDP Deflator'!$B$5:$B$89,0))/100)</f>
        <v>2.7260064448903734</v>
      </c>
      <c r="H234" s="270">
        <f>'IEPR Gas Prices Real'!H234*(INDEX('GDP Deflator'!$C$5:$C$89,MATCH('IEPR Gas Prices Nominal'!$B234,'GDP Deflator'!$B$5:$B$89,0))/100)</f>
        <v>10.657576434490531</v>
      </c>
      <c r="I234" s="269">
        <f>'IEPR Gas Prices Real'!I234*(INDEX('GDP Deflator'!$C$5:$C$89,MATCH('IEPR Gas Prices Nominal'!$B234,'GDP Deflator'!$B$5:$B$89,0))/100)</f>
        <v>8.3213230522417501</v>
      </c>
      <c r="J234" s="269">
        <f>'IEPR Gas Prices Real'!J234*(INDEX('GDP Deflator'!$C$5:$C$89,MATCH('IEPR Gas Prices Nominal'!$B234,'GDP Deflator'!$B$5:$B$89,0))/100)</f>
        <v>4.5012958872037743</v>
      </c>
      <c r="K234" s="269">
        <f>'IEPR Gas Prices Real'!K234*(INDEX('GDP Deflator'!$C$5:$C$89,MATCH('IEPR Gas Prices Nominal'!$B234,'GDP Deflator'!$B$5:$B$89,0))/100)</f>
        <v>12.822618939445524</v>
      </c>
      <c r="L234" s="268">
        <f>'IEPR Gas Prices Real'!L234*(INDEX('GDP Deflator'!$C$5:$C$89,MATCH('IEPR Gas Prices Nominal'!$B234,'GDP Deflator'!$B$5:$B$89,0))/100)</f>
        <v>8.62601303983927</v>
      </c>
      <c r="M234" s="269">
        <f>'IEPR Gas Prices Real'!M234*(INDEX('GDP Deflator'!$C$5:$C$89,MATCH('IEPR Gas Prices Nominal'!$B234,'GDP Deflator'!$B$5:$B$89,0))/100)</f>
        <v>2.1257553808112846</v>
      </c>
      <c r="N234" s="270">
        <f>'IEPR Gas Prices Real'!N234*(INDEX('GDP Deflator'!$C$5:$C$89,MATCH('IEPR Gas Prices Nominal'!$B234,'GDP Deflator'!$B$5:$B$89,0))/100)</f>
        <v>10.751768420650555</v>
      </c>
      <c r="O234" s="1"/>
      <c r="P234" s="274">
        <f t="shared" si="22"/>
        <v>8.2929686938937266</v>
      </c>
      <c r="Q234" s="275">
        <f t="shared" si="26"/>
        <v>11.410654598195537</v>
      </c>
      <c r="R234" s="171"/>
    </row>
    <row r="235" spans="2:18">
      <c r="B235" s="94">
        <f t="shared" si="23"/>
        <v>2041</v>
      </c>
      <c r="C235" s="1">
        <f t="shared" si="24"/>
        <v>2</v>
      </c>
      <c r="D235" s="213">
        <v>51533</v>
      </c>
      <c r="E235" s="1" t="str">
        <f t="shared" si="25"/>
        <v>2-2041</v>
      </c>
      <c r="F235" s="268">
        <f>'IEPR Gas Prices Real'!F235*(INDEX('GDP Deflator'!$C$5:$C$89,MATCH('IEPR Gas Prices Nominal'!$B235,'GDP Deflator'!$B$5:$B$89,0))/100)</f>
        <v>7.7575421254487269</v>
      </c>
      <c r="G235" s="269">
        <f>'IEPR Gas Prices Real'!G235*(INDEX('GDP Deflator'!$C$5:$C$89,MATCH('IEPR Gas Prices Nominal'!$B235,'GDP Deflator'!$B$5:$B$89,0))/100)</f>
        <v>2.7260064448903734</v>
      </c>
      <c r="H235" s="270">
        <f>'IEPR Gas Prices Real'!H235*(INDEX('GDP Deflator'!$C$5:$C$89,MATCH('IEPR Gas Prices Nominal'!$B235,'GDP Deflator'!$B$5:$B$89,0))/100)</f>
        <v>10.483548570339101</v>
      </c>
      <c r="I235" s="269">
        <f>'IEPR Gas Prices Real'!I235*(INDEX('GDP Deflator'!$C$5:$C$89,MATCH('IEPR Gas Prices Nominal'!$B235,'GDP Deflator'!$B$5:$B$89,0))/100)</f>
        <v>8.1386436389621899</v>
      </c>
      <c r="J235" s="269">
        <f>'IEPR Gas Prices Real'!J235*(INDEX('GDP Deflator'!$C$5:$C$89,MATCH('IEPR Gas Prices Nominal'!$B235,'GDP Deflator'!$B$5:$B$89,0))/100)</f>
        <v>4.5012958872037743</v>
      </c>
      <c r="K235" s="269">
        <f>'IEPR Gas Prices Real'!K235*(INDEX('GDP Deflator'!$C$5:$C$89,MATCH('IEPR Gas Prices Nominal'!$B235,'GDP Deflator'!$B$5:$B$89,0))/100)</f>
        <v>12.639939526165966</v>
      </c>
      <c r="L235" s="268">
        <f>'IEPR Gas Prices Real'!L235*(INDEX('GDP Deflator'!$C$5:$C$89,MATCH('IEPR Gas Prices Nominal'!$B235,'GDP Deflator'!$B$5:$B$89,0))/100)</f>
        <v>8.4366485195892302</v>
      </c>
      <c r="M235" s="269">
        <f>'IEPR Gas Prices Real'!M235*(INDEX('GDP Deflator'!$C$5:$C$89,MATCH('IEPR Gas Prices Nominal'!$B235,'GDP Deflator'!$B$5:$B$89,0))/100)</f>
        <v>2.1257553808112846</v>
      </c>
      <c r="N235" s="270">
        <f>'IEPR Gas Prices Real'!N235*(INDEX('GDP Deflator'!$C$5:$C$89,MATCH('IEPR Gas Prices Nominal'!$B235,'GDP Deflator'!$B$5:$B$89,0))/100)</f>
        <v>10.562403900400515</v>
      </c>
      <c r="O235" s="1"/>
      <c r="P235" s="274">
        <f t="shared" si="22"/>
        <v>8.110944761333382</v>
      </c>
      <c r="Q235" s="275">
        <f t="shared" si="26"/>
        <v>11.228630665635194</v>
      </c>
      <c r="R235" s="171"/>
    </row>
    <row r="236" spans="2:18">
      <c r="B236" s="94">
        <f t="shared" si="23"/>
        <v>2041</v>
      </c>
      <c r="C236" s="1">
        <f t="shared" si="24"/>
        <v>3</v>
      </c>
      <c r="D236" s="213">
        <v>51561</v>
      </c>
      <c r="E236" s="1" t="str">
        <f t="shared" si="25"/>
        <v>3-2041</v>
      </c>
      <c r="F236" s="268">
        <f>'IEPR Gas Prices Real'!F236*(INDEX('GDP Deflator'!$C$5:$C$89,MATCH('IEPR Gas Prices Nominal'!$B236,'GDP Deflator'!$B$5:$B$89,0))/100)</f>
        <v>7.121326503097583</v>
      </c>
      <c r="G236" s="269">
        <f>'IEPR Gas Prices Real'!G236*(INDEX('GDP Deflator'!$C$5:$C$89,MATCH('IEPR Gas Prices Nominal'!$B236,'GDP Deflator'!$B$5:$B$89,0))/100)</f>
        <v>2.7260064448903734</v>
      </c>
      <c r="H236" s="270">
        <f>'IEPR Gas Prices Real'!H236*(INDEX('GDP Deflator'!$C$5:$C$89,MATCH('IEPR Gas Prices Nominal'!$B236,'GDP Deflator'!$B$5:$B$89,0))/100)</f>
        <v>9.8473329479879563</v>
      </c>
      <c r="I236" s="269">
        <f>'IEPR Gas Prices Real'!I236*(INDEX('GDP Deflator'!$C$5:$C$89,MATCH('IEPR Gas Prices Nominal'!$B236,'GDP Deflator'!$B$5:$B$89,0))/100)</f>
        <v>7.4710811885587001</v>
      </c>
      <c r="J236" s="269">
        <f>'IEPR Gas Prices Real'!J236*(INDEX('GDP Deflator'!$C$5:$C$89,MATCH('IEPR Gas Prices Nominal'!$B236,'GDP Deflator'!$B$5:$B$89,0))/100)</f>
        <v>4.5012958872037743</v>
      </c>
      <c r="K236" s="269">
        <f>'IEPR Gas Prices Real'!K236*(INDEX('GDP Deflator'!$C$5:$C$89,MATCH('IEPR Gas Prices Nominal'!$B236,'GDP Deflator'!$B$5:$B$89,0))/100)</f>
        <v>11.972377075762475</v>
      </c>
      <c r="L236" s="268">
        <f>'IEPR Gas Prices Real'!L236*(INDEX('GDP Deflator'!$C$5:$C$89,MATCH('IEPR Gas Prices Nominal'!$B236,'GDP Deflator'!$B$5:$B$89,0))/100)</f>
        <v>7.7446460698482946</v>
      </c>
      <c r="M236" s="269">
        <f>'IEPR Gas Prices Real'!M236*(INDEX('GDP Deflator'!$C$5:$C$89,MATCH('IEPR Gas Prices Nominal'!$B236,'GDP Deflator'!$B$5:$B$89,0))/100)</f>
        <v>2.1257553808112846</v>
      </c>
      <c r="N236" s="270">
        <f>'IEPR Gas Prices Real'!N236*(INDEX('GDP Deflator'!$C$5:$C$89,MATCH('IEPR Gas Prices Nominal'!$B236,'GDP Deflator'!$B$5:$B$89,0))/100)</f>
        <v>9.8704014506595783</v>
      </c>
      <c r="O236" s="1"/>
      <c r="P236" s="274">
        <f t="shared" si="22"/>
        <v>7.4456845871681923</v>
      </c>
      <c r="Q236" s="275">
        <f t="shared" si="26"/>
        <v>10.563370491470003</v>
      </c>
      <c r="R236" s="171"/>
    </row>
    <row r="237" spans="2:18">
      <c r="B237" s="94">
        <f t="shared" si="23"/>
        <v>2041</v>
      </c>
      <c r="C237" s="1">
        <f t="shared" si="24"/>
        <v>4</v>
      </c>
      <c r="D237" s="213">
        <v>51592</v>
      </c>
      <c r="E237" s="1" t="str">
        <f t="shared" si="25"/>
        <v>4-2041</v>
      </c>
      <c r="F237" s="268">
        <f>'IEPR Gas Prices Real'!F237*(INDEX('GDP Deflator'!$C$5:$C$89,MATCH('IEPR Gas Prices Nominal'!$B237,'GDP Deflator'!$B$5:$B$89,0))/100)</f>
        <v>7.0000380329949499</v>
      </c>
      <c r="G237" s="269">
        <f>'IEPR Gas Prices Real'!G237*(INDEX('GDP Deflator'!$C$5:$C$89,MATCH('IEPR Gas Prices Nominal'!$B237,'GDP Deflator'!$B$5:$B$89,0))/100)</f>
        <v>2.7260064448903734</v>
      </c>
      <c r="H237" s="270">
        <f>'IEPR Gas Prices Real'!H237*(INDEX('GDP Deflator'!$C$5:$C$89,MATCH('IEPR Gas Prices Nominal'!$B237,'GDP Deflator'!$B$5:$B$89,0))/100)</f>
        <v>9.7260444778853241</v>
      </c>
      <c r="I237" s="269">
        <f>'IEPR Gas Prices Real'!I237*(INDEX('GDP Deflator'!$C$5:$C$89,MATCH('IEPR Gas Prices Nominal'!$B237,'GDP Deflator'!$B$5:$B$89,0))/100)</f>
        <v>7.3437456144896194</v>
      </c>
      <c r="J237" s="269">
        <f>'IEPR Gas Prices Real'!J237*(INDEX('GDP Deflator'!$C$5:$C$89,MATCH('IEPR Gas Prices Nominal'!$B237,'GDP Deflator'!$B$5:$B$89,0))/100)</f>
        <v>4.5012958872037743</v>
      </c>
      <c r="K237" s="269">
        <f>'IEPR Gas Prices Real'!K237*(INDEX('GDP Deflator'!$C$5:$C$89,MATCH('IEPR Gas Prices Nominal'!$B237,'GDP Deflator'!$B$5:$B$89,0))/100)</f>
        <v>11.845041501693395</v>
      </c>
      <c r="L237" s="268">
        <f>'IEPR Gas Prices Real'!L237*(INDEX('GDP Deflator'!$C$5:$C$89,MATCH('IEPR Gas Prices Nominal'!$B237,'GDP Deflator'!$B$5:$B$89,0))/100)</f>
        <v>7.6126513454372819</v>
      </c>
      <c r="M237" s="269">
        <f>'IEPR Gas Prices Real'!M237*(INDEX('GDP Deflator'!$C$5:$C$89,MATCH('IEPR Gas Prices Nominal'!$B237,'GDP Deflator'!$B$5:$B$89,0))/100)</f>
        <v>2.1257553808112846</v>
      </c>
      <c r="N237" s="270">
        <f>'IEPR Gas Prices Real'!N237*(INDEX('GDP Deflator'!$C$5:$C$89,MATCH('IEPR Gas Prices Nominal'!$B237,'GDP Deflator'!$B$5:$B$89,0))/100)</f>
        <v>9.7384067262485665</v>
      </c>
      <c r="O237" s="1"/>
      <c r="P237" s="274">
        <f t="shared" si="22"/>
        <v>7.3188116643072831</v>
      </c>
      <c r="Q237" s="275">
        <f t="shared" si="26"/>
        <v>10.436497568609095</v>
      </c>
      <c r="R237" s="171"/>
    </row>
    <row r="238" spans="2:18">
      <c r="B238" s="94">
        <f t="shared" si="23"/>
        <v>2041</v>
      </c>
      <c r="C238" s="1">
        <f t="shared" si="24"/>
        <v>5</v>
      </c>
      <c r="D238" s="213">
        <v>51622</v>
      </c>
      <c r="E238" s="1" t="str">
        <f t="shared" si="25"/>
        <v>5-2041</v>
      </c>
      <c r="F238" s="268">
        <f>'IEPR Gas Prices Real'!F238*(INDEX('GDP Deflator'!$C$5:$C$89,MATCH('IEPR Gas Prices Nominal'!$B238,'GDP Deflator'!$B$5:$B$89,0))/100)</f>
        <v>7.2435400816530677</v>
      </c>
      <c r="G238" s="269">
        <f>'IEPR Gas Prices Real'!G238*(INDEX('GDP Deflator'!$C$5:$C$89,MATCH('IEPR Gas Prices Nominal'!$B238,'GDP Deflator'!$B$5:$B$89,0))/100)</f>
        <v>2.7260064448903734</v>
      </c>
      <c r="H238" s="270">
        <f>'IEPR Gas Prices Real'!H238*(INDEX('GDP Deflator'!$C$5:$C$89,MATCH('IEPR Gas Prices Nominal'!$B238,'GDP Deflator'!$B$5:$B$89,0))/100)</f>
        <v>9.9695465265434411</v>
      </c>
      <c r="I238" s="269">
        <f>'IEPR Gas Prices Real'!I238*(INDEX('GDP Deflator'!$C$5:$C$89,MATCH('IEPR Gas Prices Nominal'!$B238,'GDP Deflator'!$B$5:$B$89,0))/100)</f>
        <v>7.5991104861484473</v>
      </c>
      <c r="J238" s="269">
        <f>'IEPR Gas Prices Real'!J238*(INDEX('GDP Deflator'!$C$5:$C$89,MATCH('IEPR Gas Prices Nominal'!$B238,'GDP Deflator'!$B$5:$B$89,0))/100)</f>
        <v>4.5012958872037743</v>
      </c>
      <c r="K238" s="269">
        <f>'IEPR Gas Prices Real'!K238*(INDEX('GDP Deflator'!$C$5:$C$89,MATCH('IEPR Gas Prices Nominal'!$B238,'GDP Deflator'!$B$5:$B$89,0))/100)</f>
        <v>12.100406373352223</v>
      </c>
      <c r="L238" s="268">
        <f>'IEPR Gas Prices Real'!L238*(INDEX('GDP Deflator'!$C$5:$C$89,MATCH('IEPR Gas Prices Nominal'!$B238,'GDP Deflator'!$B$5:$B$89,0))/100)</f>
        <v>7.8773704587938322</v>
      </c>
      <c r="M238" s="269">
        <f>'IEPR Gas Prices Real'!M238*(INDEX('GDP Deflator'!$C$5:$C$89,MATCH('IEPR Gas Prices Nominal'!$B238,'GDP Deflator'!$B$5:$B$89,0))/100)</f>
        <v>2.1257553808112846</v>
      </c>
      <c r="N238" s="270">
        <f>'IEPR Gas Prices Real'!N238*(INDEX('GDP Deflator'!$C$5:$C$89,MATCH('IEPR Gas Prices Nominal'!$B238,'GDP Deflator'!$B$5:$B$89,0))/100)</f>
        <v>10.003125839605117</v>
      </c>
      <c r="O238" s="1"/>
      <c r="P238" s="274">
        <f t="shared" si="22"/>
        <v>7.5733403421984491</v>
      </c>
      <c r="Q238" s="275">
        <f t="shared" si="26"/>
        <v>10.691026246500259</v>
      </c>
      <c r="R238" s="171"/>
    </row>
    <row r="239" spans="2:18">
      <c r="B239" s="94">
        <f t="shared" si="23"/>
        <v>2041</v>
      </c>
      <c r="C239" s="1">
        <f t="shared" si="24"/>
        <v>6</v>
      </c>
      <c r="D239" s="213">
        <v>51653</v>
      </c>
      <c r="E239" s="1" t="str">
        <f t="shared" si="25"/>
        <v>6-2041</v>
      </c>
      <c r="F239" s="268">
        <f>'IEPR Gas Prices Real'!F239*(INDEX('GDP Deflator'!$C$5:$C$89,MATCH('IEPR Gas Prices Nominal'!$B239,'GDP Deflator'!$B$5:$B$89,0))/100)</f>
        <v>7.4306784871480138</v>
      </c>
      <c r="G239" s="269">
        <f>'IEPR Gas Prices Real'!G239*(INDEX('GDP Deflator'!$C$5:$C$89,MATCH('IEPR Gas Prices Nominal'!$B239,'GDP Deflator'!$B$5:$B$89,0))/100)</f>
        <v>2.7260064448903734</v>
      </c>
      <c r="H239" s="270">
        <f>'IEPR Gas Prices Real'!H239*(INDEX('GDP Deflator'!$C$5:$C$89,MATCH('IEPR Gas Prices Nominal'!$B239,'GDP Deflator'!$B$5:$B$89,0))/100)</f>
        <v>10.156684932038388</v>
      </c>
      <c r="I239" s="269">
        <f>'IEPR Gas Prices Real'!I239*(INDEX('GDP Deflator'!$C$5:$C$89,MATCH('IEPR Gas Prices Nominal'!$B239,'GDP Deflator'!$B$5:$B$89,0))/100)</f>
        <v>7.7953393804074986</v>
      </c>
      <c r="J239" s="269">
        <f>'IEPR Gas Prices Real'!J239*(INDEX('GDP Deflator'!$C$5:$C$89,MATCH('IEPR Gas Prices Nominal'!$B239,'GDP Deflator'!$B$5:$B$89,0))/100)</f>
        <v>4.5012958872037743</v>
      </c>
      <c r="K239" s="269">
        <f>'IEPR Gas Prices Real'!K239*(INDEX('GDP Deflator'!$C$5:$C$89,MATCH('IEPR Gas Prices Nominal'!$B239,'GDP Deflator'!$B$5:$B$89,0))/100)</f>
        <v>12.296635267611272</v>
      </c>
      <c r="L239" s="268">
        <f>'IEPR Gas Prices Real'!L239*(INDEX('GDP Deflator'!$C$5:$C$89,MATCH('IEPR Gas Prices Nominal'!$B239,'GDP Deflator'!$B$5:$B$89,0))/100)</f>
        <v>8.0807883983150859</v>
      </c>
      <c r="M239" s="269">
        <f>'IEPR Gas Prices Real'!M239*(INDEX('GDP Deflator'!$C$5:$C$89,MATCH('IEPR Gas Prices Nominal'!$B239,'GDP Deflator'!$B$5:$B$89,0))/100)</f>
        <v>2.1257553808112846</v>
      </c>
      <c r="N239" s="270">
        <f>'IEPR Gas Prices Real'!N239*(INDEX('GDP Deflator'!$C$5:$C$89,MATCH('IEPR Gas Prices Nominal'!$B239,'GDP Deflator'!$B$5:$B$89,0))/100)</f>
        <v>10.20654377912637</v>
      </c>
      <c r="O239" s="1"/>
      <c r="P239" s="274">
        <f t="shared" si="22"/>
        <v>7.7689354219568658</v>
      </c>
      <c r="Q239" s="275">
        <f t="shared" si="26"/>
        <v>10.886621326258677</v>
      </c>
      <c r="R239" s="171"/>
    </row>
    <row r="240" spans="2:18">
      <c r="B240" s="94">
        <f t="shared" si="23"/>
        <v>2041</v>
      </c>
      <c r="C240" s="1">
        <f t="shared" si="24"/>
        <v>7</v>
      </c>
      <c r="D240" s="213">
        <v>51683</v>
      </c>
      <c r="E240" s="1" t="str">
        <f t="shared" si="25"/>
        <v>7-2041</v>
      </c>
      <c r="F240" s="268">
        <f>'IEPR Gas Prices Real'!F240*(INDEX('GDP Deflator'!$C$5:$C$89,MATCH('IEPR Gas Prices Nominal'!$B240,'GDP Deflator'!$B$5:$B$89,0))/100)</f>
        <v>7.4895066494099343</v>
      </c>
      <c r="G240" s="269">
        <f>'IEPR Gas Prices Real'!G240*(INDEX('GDP Deflator'!$C$5:$C$89,MATCH('IEPR Gas Prices Nominal'!$B240,'GDP Deflator'!$B$5:$B$89,0))/100)</f>
        <v>2.7260064448903734</v>
      </c>
      <c r="H240" s="270">
        <f>'IEPR Gas Prices Real'!H240*(INDEX('GDP Deflator'!$C$5:$C$89,MATCH('IEPR Gas Prices Nominal'!$B240,'GDP Deflator'!$B$5:$B$89,0))/100)</f>
        <v>10.215513094300308</v>
      </c>
      <c r="I240" s="269">
        <f>'IEPR Gas Prices Real'!I240*(INDEX('GDP Deflator'!$C$5:$C$89,MATCH('IEPR Gas Prices Nominal'!$B240,'GDP Deflator'!$B$5:$B$89,0))/100)</f>
        <v>7.8569580196163278</v>
      </c>
      <c r="J240" s="269">
        <f>'IEPR Gas Prices Real'!J240*(INDEX('GDP Deflator'!$C$5:$C$89,MATCH('IEPR Gas Prices Nominal'!$B240,'GDP Deflator'!$B$5:$B$89,0))/100)</f>
        <v>4.5012958872037743</v>
      </c>
      <c r="K240" s="269">
        <f>'IEPR Gas Prices Real'!K240*(INDEX('GDP Deflator'!$C$5:$C$89,MATCH('IEPR Gas Prices Nominal'!$B240,'GDP Deflator'!$B$5:$B$89,0))/100)</f>
        <v>12.358253906820103</v>
      </c>
      <c r="L240" s="268">
        <f>'IEPR Gas Prices Real'!L240*(INDEX('GDP Deflator'!$C$5:$C$89,MATCH('IEPR Gas Prices Nominal'!$B240,'GDP Deflator'!$B$5:$B$89,0))/100)</f>
        <v>8.1446670579915494</v>
      </c>
      <c r="M240" s="269">
        <f>'IEPR Gas Prices Real'!M240*(INDEX('GDP Deflator'!$C$5:$C$89,MATCH('IEPR Gas Prices Nominal'!$B240,'GDP Deflator'!$B$5:$B$89,0))/100)</f>
        <v>2.1257553808112846</v>
      </c>
      <c r="N240" s="270">
        <f>'IEPR Gas Prices Real'!N240*(INDEX('GDP Deflator'!$C$5:$C$89,MATCH('IEPR Gas Prices Nominal'!$B240,'GDP Deflator'!$B$5:$B$89,0))/100)</f>
        <v>10.270422438802834</v>
      </c>
      <c r="O240" s="1"/>
      <c r="P240" s="274">
        <f t="shared" si="22"/>
        <v>7.8303772423392699</v>
      </c>
      <c r="Q240" s="275">
        <f t="shared" si="26"/>
        <v>10.948063146641081</v>
      </c>
      <c r="R240" s="171"/>
    </row>
    <row r="241" spans="2:18">
      <c r="B241" s="94">
        <f t="shared" si="23"/>
        <v>2041</v>
      </c>
      <c r="C241" s="1">
        <f t="shared" si="24"/>
        <v>8</v>
      </c>
      <c r="D241" s="213">
        <v>51714</v>
      </c>
      <c r="E241" s="1" t="str">
        <f t="shared" si="25"/>
        <v>8-2041</v>
      </c>
      <c r="F241" s="268">
        <f>'IEPR Gas Prices Real'!F241*(INDEX('GDP Deflator'!$C$5:$C$89,MATCH('IEPR Gas Prices Nominal'!$B241,'GDP Deflator'!$B$5:$B$89,0))/100)</f>
        <v>7.4315354380278302</v>
      </c>
      <c r="G241" s="269">
        <f>'IEPR Gas Prices Real'!G241*(INDEX('GDP Deflator'!$C$5:$C$89,MATCH('IEPR Gas Prices Nominal'!$B241,'GDP Deflator'!$B$5:$B$89,0))/100)</f>
        <v>2.7260064448903734</v>
      </c>
      <c r="H241" s="270">
        <f>'IEPR Gas Prices Real'!H241*(INDEX('GDP Deflator'!$C$5:$C$89,MATCH('IEPR Gas Prices Nominal'!$B241,'GDP Deflator'!$B$5:$B$89,0))/100)</f>
        <v>10.157541882918204</v>
      </c>
      <c r="I241" s="269">
        <f>'IEPR Gas Prices Real'!I241*(INDEX('GDP Deflator'!$C$5:$C$89,MATCH('IEPR Gas Prices Nominal'!$B241,'GDP Deflator'!$B$5:$B$89,0))/100)</f>
        <v>7.7960468334916051</v>
      </c>
      <c r="J241" s="269">
        <f>'IEPR Gas Prices Real'!J241*(INDEX('GDP Deflator'!$C$5:$C$89,MATCH('IEPR Gas Prices Nominal'!$B241,'GDP Deflator'!$B$5:$B$89,0))/100)</f>
        <v>4.5012958872037743</v>
      </c>
      <c r="K241" s="269">
        <f>'IEPR Gas Prices Real'!K241*(INDEX('GDP Deflator'!$C$5:$C$89,MATCH('IEPR Gas Prices Nominal'!$B241,'GDP Deflator'!$B$5:$B$89,0))/100)</f>
        <v>12.297342720695379</v>
      </c>
      <c r="L241" s="268">
        <f>'IEPR Gas Prices Real'!L241*(INDEX('GDP Deflator'!$C$5:$C$89,MATCH('IEPR Gas Prices Nominal'!$B241,'GDP Deflator'!$B$5:$B$89,0))/100)</f>
        <v>8.0815290500356163</v>
      </c>
      <c r="M241" s="269">
        <f>'IEPR Gas Prices Real'!M241*(INDEX('GDP Deflator'!$C$5:$C$89,MATCH('IEPR Gas Prices Nominal'!$B241,'GDP Deflator'!$B$5:$B$89,0))/100)</f>
        <v>2.1257553808112846</v>
      </c>
      <c r="N241" s="270">
        <f>'IEPR Gas Prices Real'!N241*(INDEX('GDP Deflator'!$C$5:$C$89,MATCH('IEPR Gas Prices Nominal'!$B241,'GDP Deflator'!$B$5:$B$89,0))/100)</f>
        <v>10.207284430846901</v>
      </c>
      <c r="O241" s="1"/>
      <c r="P241" s="274">
        <f t="shared" si="22"/>
        <v>7.7697037738516839</v>
      </c>
      <c r="Q241" s="275">
        <f t="shared" si="26"/>
        <v>10.887389678153497</v>
      </c>
      <c r="R241" s="171"/>
    </row>
    <row r="242" spans="2:18">
      <c r="B242" s="94">
        <f t="shared" si="23"/>
        <v>2041</v>
      </c>
      <c r="C242" s="1">
        <f t="shared" si="24"/>
        <v>9</v>
      </c>
      <c r="D242" s="213">
        <v>51745</v>
      </c>
      <c r="E242" s="1" t="str">
        <f t="shared" si="25"/>
        <v>9-2041</v>
      </c>
      <c r="F242" s="268">
        <f>'IEPR Gas Prices Real'!F242*(INDEX('GDP Deflator'!$C$5:$C$89,MATCH('IEPR Gas Prices Nominal'!$B242,'GDP Deflator'!$B$5:$B$89,0))/100)</f>
        <v>7.5359432087264171</v>
      </c>
      <c r="G242" s="269">
        <f>'IEPR Gas Prices Real'!G242*(INDEX('GDP Deflator'!$C$5:$C$89,MATCH('IEPR Gas Prices Nominal'!$B242,'GDP Deflator'!$B$5:$B$89,0))/100)</f>
        <v>2.7260064448903734</v>
      </c>
      <c r="H242" s="270">
        <f>'IEPR Gas Prices Real'!H242*(INDEX('GDP Deflator'!$C$5:$C$89,MATCH('IEPR Gas Prices Nominal'!$B242,'GDP Deflator'!$B$5:$B$89,0))/100)</f>
        <v>10.26194965361679</v>
      </c>
      <c r="I242" s="269">
        <f>'IEPR Gas Prices Real'!I242*(INDEX('GDP Deflator'!$C$5:$C$89,MATCH('IEPR Gas Prices Nominal'!$B242,'GDP Deflator'!$B$5:$B$89,0))/100)</f>
        <v>7.9054785903401648</v>
      </c>
      <c r="J242" s="269">
        <f>'IEPR Gas Prices Real'!J242*(INDEX('GDP Deflator'!$C$5:$C$89,MATCH('IEPR Gas Prices Nominal'!$B242,'GDP Deflator'!$B$5:$B$89,0))/100)</f>
        <v>4.5012958872037743</v>
      </c>
      <c r="K242" s="269">
        <f>'IEPR Gas Prices Real'!K242*(INDEX('GDP Deflator'!$C$5:$C$89,MATCH('IEPR Gas Prices Nominal'!$B242,'GDP Deflator'!$B$5:$B$89,0))/100)</f>
        <v>12.406774477543939</v>
      </c>
      <c r="L242" s="268">
        <f>'IEPR Gas Prices Real'!L242*(INDEX('GDP Deflator'!$C$5:$C$89,MATCH('IEPR Gas Prices Nominal'!$B242,'GDP Deflator'!$B$5:$B$89,0))/100)</f>
        <v>8.1949717697893725</v>
      </c>
      <c r="M242" s="269">
        <f>'IEPR Gas Prices Real'!M242*(INDEX('GDP Deflator'!$C$5:$C$89,MATCH('IEPR Gas Prices Nominal'!$B242,'GDP Deflator'!$B$5:$B$89,0))/100)</f>
        <v>2.1257553808112846</v>
      </c>
      <c r="N242" s="270">
        <f>'IEPR Gas Prices Real'!N242*(INDEX('GDP Deflator'!$C$5:$C$89,MATCH('IEPR Gas Prices Nominal'!$B242,'GDP Deflator'!$B$5:$B$89,0))/100)</f>
        <v>10.320727150600657</v>
      </c>
      <c r="O242" s="1"/>
      <c r="P242" s="274">
        <f t="shared" si="22"/>
        <v>7.8787978562853178</v>
      </c>
      <c r="Q242" s="275">
        <f t="shared" si="26"/>
        <v>10.996483760587131</v>
      </c>
      <c r="R242" s="171"/>
    </row>
    <row r="243" spans="2:18">
      <c r="B243" s="94">
        <f t="shared" si="23"/>
        <v>2041</v>
      </c>
      <c r="C243" s="1">
        <f t="shared" si="24"/>
        <v>10</v>
      </c>
      <c r="D243" s="213">
        <v>51775</v>
      </c>
      <c r="E243" s="1" t="str">
        <f t="shared" si="25"/>
        <v>10-2041</v>
      </c>
      <c r="F243" s="268">
        <f>'IEPR Gas Prices Real'!F243*(INDEX('GDP Deflator'!$C$5:$C$89,MATCH('IEPR Gas Prices Nominal'!$B243,'GDP Deflator'!$B$5:$B$89,0))/100)</f>
        <v>7.4923947184267261</v>
      </c>
      <c r="G243" s="269">
        <f>'IEPR Gas Prices Real'!G243*(INDEX('GDP Deflator'!$C$5:$C$89,MATCH('IEPR Gas Prices Nominal'!$B243,'GDP Deflator'!$B$5:$B$89,0))/100)</f>
        <v>2.7260064448903734</v>
      </c>
      <c r="H243" s="270">
        <f>'IEPR Gas Prices Real'!H243*(INDEX('GDP Deflator'!$C$5:$C$89,MATCH('IEPR Gas Prices Nominal'!$B243,'GDP Deflator'!$B$5:$B$89,0))/100)</f>
        <v>10.2184011633171</v>
      </c>
      <c r="I243" s="269">
        <f>'IEPR Gas Prices Real'!I243*(INDEX('GDP Deflator'!$C$5:$C$89,MATCH('IEPR Gas Prices Nominal'!$B243,'GDP Deflator'!$B$5:$B$89,0))/100)</f>
        <v>7.8596980509033152</v>
      </c>
      <c r="J243" s="269">
        <f>'IEPR Gas Prices Real'!J243*(INDEX('GDP Deflator'!$C$5:$C$89,MATCH('IEPR Gas Prices Nominal'!$B243,'GDP Deflator'!$B$5:$B$89,0))/100)</f>
        <v>4.5012958872037743</v>
      </c>
      <c r="K243" s="269">
        <f>'IEPR Gas Prices Real'!K243*(INDEX('GDP Deflator'!$C$5:$C$89,MATCH('IEPR Gas Prices Nominal'!$B243,'GDP Deflator'!$B$5:$B$89,0))/100)</f>
        <v>12.360993938107089</v>
      </c>
      <c r="L243" s="268">
        <f>'IEPR Gas Prices Real'!L243*(INDEX('GDP Deflator'!$C$5:$C$89,MATCH('IEPR Gas Prices Nominal'!$B243,'GDP Deflator'!$B$5:$B$89,0))/100)</f>
        <v>8.1475184561994904</v>
      </c>
      <c r="M243" s="269">
        <f>'IEPR Gas Prices Real'!M243*(INDEX('GDP Deflator'!$C$5:$C$89,MATCH('IEPR Gas Prices Nominal'!$B243,'GDP Deflator'!$B$5:$B$89,0))/100)</f>
        <v>2.1257553808112846</v>
      </c>
      <c r="N243" s="270">
        <f>'IEPR Gas Prices Real'!N243*(INDEX('GDP Deflator'!$C$5:$C$89,MATCH('IEPR Gas Prices Nominal'!$B243,'GDP Deflator'!$B$5:$B$89,0))/100)</f>
        <v>10.273273837010775</v>
      </c>
      <c r="O243" s="1"/>
      <c r="P243" s="274">
        <f t="shared" si="22"/>
        <v>7.8332037418431781</v>
      </c>
      <c r="Q243" s="275">
        <f t="shared" si="26"/>
        <v>10.950889646144988</v>
      </c>
      <c r="R243" s="171"/>
    </row>
    <row r="244" spans="2:18">
      <c r="B244" s="94">
        <f t="shared" si="23"/>
        <v>2041</v>
      </c>
      <c r="C244" s="1">
        <f t="shared" si="24"/>
        <v>11</v>
      </c>
      <c r="D244" s="213">
        <v>51806</v>
      </c>
      <c r="E244" s="1" t="str">
        <f t="shared" si="25"/>
        <v>11-2041</v>
      </c>
      <c r="F244" s="268">
        <f>'IEPR Gas Prices Real'!F244*(INDEX('GDP Deflator'!$C$5:$C$89,MATCH('IEPR Gas Prices Nominal'!$B244,'GDP Deflator'!$B$5:$B$89,0))/100)</f>
        <v>7.8625915037654135</v>
      </c>
      <c r="G244" s="269">
        <f>'IEPR Gas Prices Real'!G244*(INDEX('GDP Deflator'!$C$5:$C$89,MATCH('IEPR Gas Prices Nominal'!$B244,'GDP Deflator'!$B$5:$B$89,0))/100)</f>
        <v>2.7260064448903734</v>
      </c>
      <c r="H244" s="270">
        <f>'IEPR Gas Prices Real'!H244*(INDEX('GDP Deflator'!$C$5:$C$89,MATCH('IEPR Gas Prices Nominal'!$B244,'GDP Deflator'!$B$5:$B$89,0))/100)</f>
        <v>10.588597948655787</v>
      </c>
      <c r="I244" s="269">
        <f>'IEPR Gas Prices Real'!I244*(INDEX('GDP Deflator'!$C$5:$C$89,MATCH('IEPR Gas Prices Nominal'!$B244,'GDP Deflator'!$B$5:$B$89,0))/100)</f>
        <v>8.2479418014028614</v>
      </c>
      <c r="J244" s="269">
        <f>'IEPR Gas Prices Real'!J244*(INDEX('GDP Deflator'!$C$5:$C$89,MATCH('IEPR Gas Prices Nominal'!$B244,'GDP Deflator'!$B$5:$B$89,0))/100)</f>
        <v>4.5012958872037743</v>
      </c>
      <c r="K244" s="269">
        <f>'IEPR Gas Prices Real'!K244*(INDEX('GDP Deflator'!$C$5:$C$89,MATCH('IEPR Gas Prices Nominal'!$B244,'GDP Deflator'!$B$5:$B$89,0))/100)</f>
        <v>12.749237688606636</v>
      </c>
      <c r="L244" s="268">
        <f>'IEPR Gas Prices Real'!L244*(INDEX('GDP Deflator'!$C$5:$C$89,MATCH('IEPR Gas Prices Nominal'!$B244,'GDP Deflator'!$B$5:$B$89,0))/100)</f>
        <v>8.549983466892737</v>
      </c>
      <c r="M244" s="269">
        <f>'IEPR Gas Prices Real'!M244*(INDEX('GDP Deflator'!$C$5:$C$89,MATCH('IEPR Gas Prices Nominal'!$B244,'GDP Deflator'!$B$5:$B$89,0))/100)</f>
        <v>2.1257553808112846</v>
      </c>
      <c r="N244" s="270">
        <f>'IEPR Gas Prices Real'!N244*(INDEX('GDP Deflator'!$C$5:$C$89,MATCH('IEPR Gas Prices Nominal'!$B244,'GDP Deflator'!$B$5:$B$89,0))/100)</f>
        <v>10.675738847704022</v>
      </c>
      <c r="O244" s="1"/>
      <c r="P244" s="274">
        <f t="shared" si="22"/>
        <v>8.2201722573536706</v>
      </c>
      <c r="Q244" s="275">
        <f t="shared" si="26"/>
        <v>11.337858161655481</v>
      </c>
      <c r="R244" s="171"/>
    </row>
    <row r="245" spans="2:18">
      <c r="B245" s="94">
        <f t="shared" si="23"/>
        <v>2041</v>
      </c>
      <c r="C245" s="1">
        <f t="shared" si="24"/>
        <v>12</v>
      </c>
      <c r="D245" s="213">
        <v>51836</v>
      </c>
      <c r="E245" s="1" t="str">
        <f t="shared" si="25"/>
        <v>12-2041</v>
      </c>
      <c r="F245" s="268">
        <f>'IEPR Gas Prices Real'!F245*(INDEX('GDP Deflator'!$C$5:$C$89,MATCH('IEPR Gas Prices Nominal'!$B245,'GDP Deflator'!$B$5:$B$89,0))/100)</f>
        <v>7.9257043716082602</v>
      </c>
      <c r="G245" s="269">
        <f>'IEPR Gas Prices Real'!G245*(INDEX('GDP Deflator'!$C$5:$C$89,MATCH('IEPR Gas Prices Nominal'!$B245,'GDP Deflator'!$B$5:$B$89,0))/100)</f>
        <v>2.7260064448903734</v>
      </c>
      <c r="H245" s="270">
        <f>'IEPR Gas Prices Real'!H245*(INDEX('GDP Deflator'!$C$5:$C$89,MATCH('IEPR Gas Prices Nominal'!$B245,'GDP Deflator'!$B$5:$B$89,0))/100)</f>
        <v>10.651710816498634</v>
      </c>
      <c r="I245" s="269">
        <f>'IEPR Gas Prices Real'!I245*(INDEX('GDP Deflator'!$C$5:$C$89,MATCH('IEPR Gas Prices Nominal'!$B245,'GDP Deflator'!$B$5:$B$89,0))/100)</f>
        <v>8.3140456699285199</v>
      </c>
      <c r="J245" s="269">
        <f>'IEPR Gas Prices Real'!J245*(INDEX('GDP Deflator'!$C$5:$C$89,MATCH('IEPR Gas Prices Nominal'!$B245,'GDP Deflator'!$B$5:$B$89,0))/100)</f>
        <v>4.5012958872037743</v>
      </c>
      <c r="K245" s="269">
        <f>'IEPR Gas Prices Real'!K245*(INDEX('GDP Deflator'!$C$5:$C$89,MATCH('IEPR Gas Prices Nominal'!$B245,'GDP Deflator'!$B$5:$B$89,0))/100)</f>
        <v>12.815341557132294</v>
      </c>
      <c r="L245" s="268">
        <f>'IEPR Gas Prices Real'!L245*(INDEX('GDP Deflator'!$C$5:$C$89,MATCH('IEPR Gas Prices Nominal'!$B245,'GDP Deflator'!$B$5:$B$89,0))/100)</f>
        <v>8.6185119667597334</v>
      </c>
      <c r="M245" s="269">
        <f>'IEPR Gas Prices Real'!M245*(INDEX('GDP Deflator'!$C$5:$C$89,MATCH('IEPR Gas Prices Nominal'!$B245,'GDP Deflator'!$B$5:$B$89,0))/100)</f>
        <v>2.1257553808112846</v>
      </c>
      <c r="N245" s="270">
        <f>'IEPR Gas Prices Real'!N245*(INDEX('GDP Deflator'!$C$5:$C$89,MATCH('IEPR Gas Prices Nominal'!$B245,'GDP Deflator'!$B$5:$B$89,0))/100)</f>
        <v>10.744267347571018</v>
      </c>
      <c r="O245" s="1"/>
      <c r="P245" s="274">
        <f t="shared" si="22"/>
        <v>8.2860873360988379</v>
      </c>
      <c r="Q245" s="275">
        <f t="shared" si="26"/>
        <v>11.403773240400648</v>
      </c>
      <c r="R245" s="171"/>
    </row>
    <row r="246" spans="2:18">
      <c r="B246" s="94">
        <f t="shared" si="23"/>
        <v>2042</v>
      </c>
      <c r="C246" s="1">
        <f t="shared" si="24"/>
        <v>1</v>
      </c>
      <c r="D246" s="213">
        <v>51867</v>
      </c>
      <c r="E246" s="1" t="str">
        <f t="shared" si="25"/>
        <v>1-2042</v>
      </c>
      <c r="F246" s="268">
        <f>'IEPR Gas Prices Real'!F246*(INDEX('GDP Deflator'!$C$5:$C$89,MATCH('IEPR Gas Prices Nominal'!$B246,'GDP Deflator'!$B$5:$B$89,0))/100)</f>
        <v>8.1058035075265735</v>
      </c>
      <c r="G246" s="269">
        <f>'IEPR Gas Prices Real'!G246*(INDEX('GDP Deflator'!$C$5:$C$89,MATCH('IEPR Gas Prices Nominal'!$B246,'GDP Deflator'!$B$5:$B$89,0))/100)</f>
        <v>2.8993420274489448</v>
      </c>
      <c r="H246" s="270">
        <f>'IEPR Gas Prices Real'!H246*(INDEX('GDP Deflator'!$C$5:$C$89,MATCH('IEPR Gas Prices Nominal'!$B246,'GDP Deflator'!$B$5:$B$89,0))/100)</f>
        <v>11.005145534975517</v>
      </c>
      <c r="I246" s="269">
        <f>'IEPR Gas Prices Real'!I246*(INDEX('GDP Deflator'!$C$5:$C$89,MATCH('IEPR Gas Prices Nominal'!$B246,'GDP Deflator'!$B$5:$B$89,0))/100)</f>
        <v>8.5028685472900687</v>
      </c>
      <c r="J246" s="269">
        <f>'IEPR Gas Prices Real'!J246*(INDEX('GDP Deflator'!$C$5:$C$89,MATCH('IEPR Gas Prices Nominal'!$B246,'GDP Deflator'!$B$5:$B$89,0))/100)</f>
        <v>4.7875148528043301</v>
      </c>
      <c r="K246" s="269">
        <f>'IEPR Gas Prices Real'!K246*(INDEX('GDP Deflator'!$C$5:$C$89,MATCH('IEPR Gas Prices Nominal'!$B246,'GDP Deflator'!$B$5:$B$89,0))/100)</f>
        <v>13.290383400094397</v>
      </c>
      <c r="L246" s="268">
        <f>'IEPR Gas Prices Real'!L246*(INDEX('GDP Deflator'!$C$5:$C$89,MATCH('IEPR Gas Prices Nominal'!$B246,'GDP Deflator'!$B$5:$B$89,0))/100)</f>
        <v>8.8142533735240658</v>
      </c>
      <c r="M246" s="269">
        <f>'IEPR Gas Prices Real'!M246*(INDEX('GDP Deflator'!$C$5:$C$89,MATCH('IEPR Gas Prices Nominal'!$B246,'GDP Deflator'!$B$5:$B$89,0))/100)</f>
        <v>2.2609234571746404</v>
      </c>
      <c r="N246" s="270">
        <f>'IEPR Gas Prices Real'!N246*(INDEX('GDP Deflator'!$C$5:$C$89,MATCH('IEPR Gas Prices Nominal'!$B246,'GDP Deflator'!$B$5:$B$89,0))/100)</f>
        <v>11.075176830698707</v>
      </c>
      <c r="O246" s="1"/>
      <c r="P246" s="274">
        <f t="shared" si="22"/>
        <v>8.4743084761135705</v>
      </c>
      <c r="Q246" s="275">
        <f t="shared" si="26"/>
        <v>11.790235255256206</v>
      </c>
      <c r="R246" s="171"/>
    </row>
    <row r="247" spans="2:18">
      <c r="B247" s="94">
        <f t="shared" si="23"/>
        <v>2042</v>
      </c>
      <c r="C247" s="1">
        <f t="shared" si="24"/>
        <v>2</v>
      </c>
      <c r="D247" s="213">
        <v>51898</v>
      </c>
      <c r="E247" s="1" t="str">
        <f t="shared" si="25"/>
        <v>2-2042</v>
      </c>
      <c r="F247" s="268">
        <f>'IEPR Gas Prices Real'!F247*(INDEX('GDP Deflator'!$C$5:$C$89,MATCH('IEPR Gas Prices Nominal'!$B247,'GDP Deflator'!$B$5:$B$89,0))/100)</f>
        <v>7.9279665948114504</v>
      </c>
      <c r="G247" s="269">
        <f>'IEPR Gas Prices Real'!G247*(INDEX('GDP Deflator'!$C$5:$C$89,MATCH('IEPR Gas Prices Nominal'!$B247,'GDP Deflator'!$B$5:$B$89,0))/100)</f>
        <v>2.8993420274489448</v>
      </c>
      <c r="H247" s="270">
        <f>'IEPR Gas Prices Real'!H247*(INDEX('GDP Deflator'!$C$5:$C$89,MATCH('IEPR Gas Prices Nominal'!$B247,'GDP Deflator'!$B$5:$B$89,0))/100)</f>
        <v>10.827308622260395</v>
      </c>
      <c r="I247" s="269">
        <f>'IEPR Gas Prices Real'!I247*(INDEX('GDP Deflator'!$C$5:$C$89,MATCH('IEPR Gas Prices Nominal'!$B247,'GDP Deflator'!$B$5:$B$89,0))/100)</f>
        <v>8.3162217398878813</v>
      </c>
      <c r="J247" s="269">
        <f>'IEPR Gas Prices Real'!J247*(INDEX('GDP Deflator'!$C$5:$C$89,MATCH('IEPR Gas Prices Nominal'!$B247,'GDP Deflator'!$B$5:$B$89,0))/100)</f>
        <v>4.7875148528043301</v>
      </c>
      <c r="K247" s="269">
        <f>'IEPR Gas Prices Real'!K247*(INDEX('GDP Deflator'!$C$5:$C$89,MATCH('IEPR Gas Prices Nominal'!$B247,'GDP Deflator'!$B$5:$B$89,0))/100)</f>
        <v>13.103736592692211</v>
      </c>
      <c r="L247" s="268">
        <f>'IEPR Gas Prices Real'!L247*(INDEX('GDP Deflator'!$C$5:$C$89,MATCH('IEPR Gas Prices Nominal'!$B247,'GDP Deflator'!$B$5:$B$89,0))/100)</f>
        <v>8.6207749652429939</v>
      </c>
      <c r="M247" s="269">
        <f>'IEPR Gas Prices Real'!M247*(INDEX('GDP Deflator'!$C$5:$C$89,MATCH('IEPR Gas Prices Nominal'!$B247,'GDP Deflator'!$B$5:$B$89,0))/100)</f>
        <v>2.2609234571746404</v>
      </c>
      <c r="N247" s="270">
        <f>'IEPR Gas Prices Real'!N247*(INDEX('GDP Deflator'!$C$5:$C$89,MATCH('IEPR Gas Prices Nominal'!$B247,'GDP Deflator'!$B$5:$B$89,0))/100)</f>
        <v>10.881698422417635</v>
      </c>
      <c r="O247" s="1"/>
      <c r="P247" s="274">
        <f t="shared" si="22"/>
        <v>8.2883210999807755</v>
      </c>
      <c r="Q247" s="275">
        <f t="shared" si="26"/>
        <v>11.604247879123413</v>
      </c>
      <c r="R247" s="171"/>
    </row>
    <row r="248" spans="2:18">
      <c r="B248" s="94">
        <f t="shared" si="23"/>
        <v>2042</v>
      </c>
      <c r="C248" s="1">
        <f t="shared" si="24"/>
        <v>3</v>
      </c>
      <c r="D248" s="213">
        <v>51926</v>
      </c>
      <c r="E248" s="1" t="str">
        <f t="shared" si="25"/>
        <v>3-2042</v>
      </c>
      <c r="F248" s="268">
        <f>'IEPR Gas Prices Real'!F248*(INDEX('GDP Deflator'!$C$5:$C$89,MATCH('IEPR Gas Prices Nominal'!$B248,'GDP Deflator'!$B$5:$B$89,0))/100)</f>
        <v>7.2777867352677603</v>
      </c>
      <c r="G248" s="269">
        <f>'IEPR Gas Prices Real'!G248*(INDEX('GDP Deflator'!$C$5:$C$89,MATCH('IEPR Gas Prices Nominal'!$B248,'GDP Deflator'!$B$5:$B$89,0))/100)</f>
        <v>2.8993420274489448</v>
      </c>
      <c r="H248" s="270">
        <f>'IEPR Gas Prices Real'!H248*(INDEX('GDP Deflator'!$C$5:$C$89,MATCH('IEPR Gas Prices Nominal'!$B248,'GDP Deflator'!$B$5:$B$89,0))/100)</f>
        <v>10.177128762716704</v>
      </c>
      <c r="I248" s="269">
        <f>'IEPR Gas Prices Real'!I248*(INDEX('GDP Deflator'!$C$5:$C$89,MATCH('IEPR Gas Prices Nominal'!$B248,'GDP Deflator'!$B$5:$B$89,0))/100)</f>
        <v>7.634110281621421</v>
      </c>
      <c r="J248" s="269">
        <f>'IEPR Gas Prices Real'!J248*(INDEX('GDP Deflator'!$C$5:$C$89,MATCH('IEPR Gas Prices Nominal'!$B248,'GDP Deflator'!$B$5:$B$89,0))/100)</f>
        <v>4.7875148528043301</v>
      </c>
      <c r="K248" s="269">
        <f>'IEPR Gas Prices Real'!K248*(INDEX('GDP Deflator'!$C$5:$C$89,MATCH('IEPR Gas Prices Nominal'!$B248,'GDP Deflator'!$B$5:$B$89,0))/100)</f>
        <v>12.421625134425753</v>
      </c>
      <c r="L248" s="268">
        <f>'IEPR Gas Prices Real'!L248*(INDEX('GDP Deflator'!$C$5:$C$89,MATCH('IEPR Gas Prices Nominal'!$B248,'GDP Deflator'!$B$5:$B$89,0))/100)</f>
        <v>7.9136868273314311</v>
      </c>
      <c r="M248" s="269">
        <f>'IEPR Gas Prices Real'!M248*(INDEX('GDP Deflator'!$C$5:$C$89,MATCH('IEPR Gas Prices Nominal'!$B248,'GDP Deflator'!$B$5:$B$89,0))/100)</f>
        <v>2.2609234571746404</v>
      </c>
      <c r="N248" s="270">
        <f>'IEPR Gas Prices Real'!N248*(INDEX('GDP Deflator'!$C$5:$C$89,MATCH('IEPR Gas Prices Nominal'!$B248,'GDP Deflator'!$B$5:$B$89,0))/100)</f>
        <v>10.174610284506072</v>
      </c>
      <c r="O248" s="1"/>
      <c r="P248" s="274">
        <f t="shared" si="22"/>
        <v>7.6085279480735375</v>
      </c>
      <c r="Q248" s="275">
        <f t="shared" si="26"/>
        <v>10.924454727216178</v>
      </c>
      <c r="R248" s="171"/>
    </row>
    <row r="249" spans="2:18">
      <c r="B249" s="94">
        <f t="shared" si="23"/>
        <v>2042</v>
      </c>
      <c r="C249" s="1">
        <f t="shared" si="24"/>
        <v>4</v>
      </c>
      <c r="D249" s="213">
        <v>51957</v>
      </c>
      <c r="E249" s="1" t="str">
        <f t="shared" si="25"/>
        <v>4-2042</v>
      </c>
      <c r="F249" s="268">
        <f>'IEPR Gas Prices Real'!F249*(INDEX('GDP Deflator'!$C$5:$C$89,MATCH('IEPR Gas Prices Nominal'!$B249,'GDP Deflator'!$B$5:$B$89,0))/100)</f>
        <v>7.1538459666669709</v>
      </c>
      <c r="G249" s="269">
        <f>'IEPR Gas Prices Real'!G249*(INDEX('GDP Deflator'!$C$5:$C$89,MATCH('IEPR Gas Prices Nominal'!$B249,'GDP Deflator'!$B$5:$B$89,0))/100)</f>
        <v>2.8993420274489448</v>
      </c>
      <c r="H249" s="270">
        <f>'IEPR Gas Prices Real'!H249*(INDEX('GDP Deflator'!$C$5:$C$89,MATCH('IEPR Gas Prices Nominal'!$B249,'GDP Deflator'!$B$5:$B$89,0))/100)</f>
        <v>10.053187994115916</v>
      </c>
      <c r="I249" s="269">
        <f>'IEPR Gas Prices Real'!I249*(INDEX('GDP Deflator'!$C$5:$C$89,MATCH('IEPR Gas Prices Nominal'!$B249,'GDP Deflator'!$B$5:$B$89,0))/100)</f>
        <v>7.5040124143215703</v>
      </c>
      <c r="J249" s="269">
        <f>'IEPR Gas Prices Real'!J249*(INDEX('GDP Deflator'!$C$5:$C$89,MATCH('IEPR Gas Prices Nominal'!$B249,'GDP Deflator'!$B$5:$B$89,0))/100)</f>
        <v>4.7875148528043301</v>
      </c>
      <c r="K249" s="269">
        <f>'IEPR Gas Prices Real'!K249*(INDEX('GDP Deflator'!$C$5:$C$89,MATCH('IEPR Gas Prices Nominal'!$B249,'GDP Deflator'!$B$5:$B$89,0))/100)</f>
        <v>12.2915272671259</v>
      </c>
      <c r="L249" s="268">
        <f>'IEPR Gas Prices Real'!L249*(INDEX('GDP Deflator'!$C$5:$C$89,MATCH('IEPR Gas Prices Nominal'!$B249,'GDP Deflator'!$B$5:$B$89,0))/100)</f>
        <v>7.7788277804689603</v>
      </c>
      <c r="M249" s="269">
        <f>'IEPR Gas Prices Real'!M249*(INDEX('GDP Deflator'!$C$5:$C$89,MATCH('IEPR Gas Prices Nominal'!$B249,'GDP Deflator'!$B$5:$B$89,0))/100)</f>
        <v>2.2609234571746404</v>
      </c>
      <c r="N249" s="270">
        <f>'IEPR Gas Prices Real'!N249*(INDEX('GDP Deflator'!$C$5:$C$89,MATCH('IEPR Gas Prices Nominal'!$B249,'GDP Deflator'!$B$5:$B$89,0))/100)</f>
        <v>10.039751237643602</v>
      </c>
      <c r="O249" s="1"/>
      <c r="P249" s="274">
        <f t="shared" si="22"/>
        <v>7.4788953871525008</v>
      </c>
      <c r="Q249" s="275">
        <f t="shared" si="26"/>
        <v>10.794822166295139</v>
      </c>
      <c r="R249" s="171"/>
    </row>
    <row r="250" spans="2:18">
      <c r="B250" s="94">
        <f t="shared" si="23"/>
        <v>2042</v>
      </c>
      <c r="C250" s="1">
        <f t="shared" si="24"/>
        <v>5</v>
      </c>
      <c r="D250" s="213">
        <v>51987</v>
      </c>
      <c r="E250" s="1" t="str">
        <f t="shared" si="25"/>
        <v>5-2042</v>
      </c>
      <c r="F250" s="268">
        <f>'IEPR Gas Prices Real'!F250*(INDEX('GDP Deflator'!$C$5:$C$89,MATCH('IEPR Gas Prices Nominal'!$B250,'GDP Deflator'!$B$5:$B$89,0))/100)</f>
        <v>7.4027112750999366</v>
      </c>
      <c r="G250" s="269">
        <f>'IEPR Gas Prices Real'!G250*(INDEX('GDP Deflator'!$C$5:$C$89,MATCH('IEPR Gas Prices Nominal'!$B250,'GDP Deflator'!$B$5:$B$89,0))/100)</f>
        <v>2.8993420274489448</v>
      </c>
      <c r="H250" s="270">
        <f>'IEPR Gas Prices Real'!H250*(INDEX('GDP Deflator'!$C$5:$C$89,MATCH('IEPR Gas Prices Nominal'!$B250,'GDP Deflator'!$B$5:$B$89,0))/100)</f>
        <v>10.302053302548881</v>
      </c>
      <c r="I250" s="269">
        <f>'IEPR Gas Prices Real'!I250*(INDEX('GDP Deflator'!$C$5:$C$89,MATCH('IEPR Gas Prices Nominal'!$B250,'GDP Deflator'!$B$5:$B$89,0))/100)</f>
        <v>7.7649671727666743</v>
      </c>
      <c r="J250" s="269">
        <f>'IEPR Gas Prices Real'!J250*(INDEX('GDP Deflator'!$C$5:$C$89,MATCH('IEPR Gas Prices Nominal'!$B250,'GDP Deflator'!$B$5:$B$89,0))/100)</f>
        <v>4.7875148528043301</v>
      </c>
      <c r="K250" s="269">
        <f>'IEPR Gas Prices Real'!K250*(INDEX('GDP Deflator'!$C$5:$C$89,MATCH('IEPR Gas Prices Nominal'!$B250,'GDP Deflator'!$B$5:$B$89,0))/100)</f>
        <v>12.552482025571004</v>
      </c>
      <c r="L250" s="268">
        <f>'IEPR Gas Prices Real'!L250*(INDEX('GDP Deflator'!$C$5:$C$89,MATCH('IEPR Gas Prices Nominal'!$B250,'GDP Deflator'!$B$5:$B$89,0))/100)</f>
        <v>8.0493427244555935</v>
      </c>
      <c r="M250" s="269">
        <f>'IEPR Gas Prices Real'!M250*(INDEX('GDP Deflator'!$C$5:$C$89,MATCH('IEPR Gas Prices Nominal'!$B250,'GDP Deflator'!$B$5:$B$89,0))/100)</f>
        <v>2.2609234571746404</v>
      </c>
      <c r="N250" s="270">
        <f>'IEPR Gas Prices Real'!N250*(INDEX('GDP Deflator'!$C$5:$C$89,MATCH('IEPR Gas Prices Nominal'!$B250,'GDP Deflator'!$B$5:$B$89,0))/100)</f>
        <v>10.310266181630235</v>
      </c>
      <c r="O250" s="1"/>
      <c r="P250" s="274">
        <f t="shared" si="22"/>
        <v>7.7390070574407348</v>
      </c>
      <c r="Q250" s="275">
        <f t="shared" si="26"/>
        <v>11.054933836583373</v>
      </c>
      <c r="R250" s="171"/>
    </row>
    <row r="251" spans="2:18">
      <c r="B251" s="94">
        <f t="shared" si="23"/>
        <v>2042</v>
      </c>
      <c r="C251" s="1">
        <f t="shared" si="24"/>
        <v>6</v>
      </c>
      <c r="D251" s="213">
        <v>52018</v>
      </c>
      <c r="E251" s="1" t="str">
        <f t="shared" si="25"/>
        <v>6-2042</v>
      </c>
      <c r="F251" s="268">
        <f>'IEPR Gas Prices Real'!F251*(INDEX('GDP Deflator'!$C$5:$C$89,MATCH('IEPR Gas Prices Nominal'!$B251,'GDP Deflator'!$B$5:$B$89,0))/100)</f>
        <v>7.5939751628394303</v>
      </c>
      <c r="G251" s="269">
        <f>'IEPR Gas Prices Real'!G251*(INDEX('GDP Deflator'!$C$5:$C$89,MATCH('IEPR Gas Prices Nominal'!$B251,'GDP Deflator'!$B$5:$B$89,0))/100)</f>
        <v>2.8993420274489448</v>
      </c>
      <c r="H251" s="270">
        <f>'IEPR Gas Prices Real'!H251*(INDEX('GDP Deflator'!$C$5:$C$89,MATCH('IEPR Gas Prices Nominal'!$B251,'GDP Deflator'!$B$5:$B$89,0))/100)</f>
        <v>10.493317190288375</v>
      </c>
      <c r="I251" s="269">
        <f>'IEPR Gas Prices Real'!I251*(INDEX('GDP Deflator'!$C$5:$C$89,MATCH('IEPR Gas Prices Nominal'!$B251,'GDP Deflator'!$B$5:$B$89,0))/100)</f>
        <v>7.9654962710967707</v>
      </c>
      <c r="J251" s="269">
        <f>'IEPR Gas Prices Real'!J251*(INDEX('GDP Deflator'!$C$5:$C$89,MATCH('IEPR Gas Prices Nominal'!$B251,'GDP Deflator'!$B$5:$B$89,0))/100)</f>
        <v>4.7875148528043301</v>
      </c>
      <c r="K251" s="269">
        <f>'IEPR Gas Prices Real'!K251*(INDEX('GDP Deflator'!$C$5:$C$89,MATCH('IEPR Gas Prices Nominal'!$B251,'GDP Deflator'!$B$5:$B$89,0))/100)</f>
        <v>12.7530111239011</v>
      </c>
      <c r="L251" s="268">
        <f>'IEPR Gas Prices Real'!L251*(INDEX('GDP Deflator'!$C$5:$C$89,MATCH('IEPR Gas Prices Nominal'!$B251,'GDP Deflator'!$B$5:$B$89,0))/100)</f>
        <v>8.2572192473527526</v>
      </c>
      <c r="M251" s="269">
        <f>'IEPR Gas Prices Real'!M251*(INDEX('GDP Deflator'!$C$5:$C$89,MATCH('IEPR Gas Prices Nominal'!$B251,'GDP Deflator'!$B$5:$B$89,0))/100)</f>
        <v>2.2609234571746404</v>
      </c>
      <c r="N251" s="270">
        <f>'IEPR Gas Prices Real'!N251*(INDEX('GDP Deflator'!$C$5:$C$89,MATCH('IEPR Gas Prices Nominal'!$B251,'GDP Deflator'!$B$5:$B$89,0))/100)</f>
        <v>10.518142704527394</v>
      </c>
      <c r="O251" s="1"/>
      <c r="P251" s="274">
        <f t="shared" si="22"/>
        <v>7.9388968937629842</v>
      </c>
      <c r="Q251" s="275">
        <f t="shared" si="26"/>
        <v>11.254823672905623</v>
      </c>
      <c r="R251" s="171"/>
    </row>
    <row r="252" spans="2:18">
      <c r="B252" s="94">
        <f t="shared" si="23"/>
        <v>2042</v>
      </c>
      <c r="C252" s="1">
        <f t="shared" si="24"/>
        <v>7</v>
      </c>
      <c r="D252" s="213">
        <v>52048</v>
      </c>
      <c r="E252" s="1" t="str">
        <f t="shared" si="25"/>
        <v>7-2042</v>
      </c>
      <c r="F252" s="268">
        <f>'IEPR Gas Prices Real'!F252*(INDEX('GDP Deflator'!$C$5:$C$89,MATCH('IEPR Gas Prices Nominal'!$B252,'GDP Deflator'!$B$5:$B$89,0))/100)</f>
        <v>7.6541095004640027</v>
      </c>
      <c r="G252" s="269">
        <f>'IEPR Gas Prices Real'!G252*(INDEX('GDP Deflator'!$C$5:$C$89,MATCH('IEPR Gas Prices Nominal'!$B252,'GDP Deflator'!$B$5:$B$89,0))/100)</f>
        <v>2.8993420274489448</v>
      </c>
      <c r="H252" s="270">
        <f>'IEPR Gas Prices Real'!H252*(INDEX('GDP Deflator'!$C$5:$C$89,MATCH('IEPR Gas Prices Nominal'!$B252,'GDP Deflator'!$B$5:$B$89,0))/100)</f>
        <v>10.553451527912948</v>
      </c>
      <c r="I252" s="269">
        <f>'IEPR Gas Prices Real'!I252*(INDEX('GDP Deflator'!$C$5:$C$89,MATCH('IEPR Gas Prices Nominal'!$B252,'GDP Deflator'!$B$5:$B$89,0))/100)</f>
        <v>8.0284774142669093</v>
      </c>
      <c r="J252" s="269">
        <f>'IEPR Gas Prices Real'!J252*(INDEX('GDP Deflator'!$C$5:$C$89,MATCH('IEPR Gas Prices Nominal'!$B252,'GDP Deflator'!$B$5:$B$89,0))/100)</f>
        <v>4.7875148528043301</v>
      </c>
      <c r="K252" s="269">
        <f>'IEPR Gas Prices Real'!K252*(INDEX('GDP Deflator'!$C$5:$C$89,MATCH('IEPR Gas Prices Nominal'!$B252,'GDP Deflator'!$B$5:$B$89,0))/100)</f>
        <v>12.815992267071239</v>
      </c>
      <c r="L252" s="268">
        <f>'IEPR Gas Prices Real'!L252*(INDEX('GDP Deflator'!$C$5:$C$89,MATCH('IEPR Gas Prices Nominal'!$B252,'GDP Deflator'!$B$5:$B$89,0))/100)</f>
        <v>8.3225104665632106</v>
      </c>
      <c r="M252" s="269">
        <f>'IEPR Gas Prices Real'!M252*(INDEX('GDP Deflator'!$C$5:$C$89,MATCH('IEPR Gas Prices Nominal'!$B252,'GDP Deflator'!$B$5:$B$89,0))/100)</f>
        <v>2.2609234571746404</v>
      </c>
      <c r="N252" s="270">
        <f>'IEPR Gas Prices Real'!N252*(INDEX('GDP Deflator'!$C$5:$C$89,MATCH('IEPR Gas Prices Nominal'!$B252,'GDP Deflator'!$B$5:$B$89,0))/100)</f>
        <v>10.583433923737852</v>
      </c>
      <c r="O252" s="1"/>
      <c r="P252" s="274">
        <f t="shared" si="22"/>
        <v>8.0016991270980409</v>
      </c>
      <c r="Q252" s="275">
        <f t="shared" si="26"/>
        <v>11.317625906240679</v>
      </c>
      <c r="R252" s="171"/>
    </row>
    <row r="253" spans="2:18">
      <c r="B253" s="94">
        <f t="shared" si="23"/>
        <v>2042</v>
      </c>
      <c r="C253" s="1">
        <f t="shared" si="24"/>
        <v>8</v>
      </c>
      <c r="D253" s="213">
        <v>52079</v>
      </c>
      <c r="E253" s="1" t="str">
        <f t="shared" si="25"/>
        <v>8-2042</v>
      </c>
      <c r="F253" s="268">
        <f>'IEPR Gas Prices Real'!F253*(INDEX('GDP Deflator'!$C$5:$C$89,MATCH('IEPR Gas Prices Nominal'!$B253,'GDP Deflator'!$B$5:$B$89,0))/100)</f>
        <v>7.5948774746823622</v>
      </c>
      <c r="G253" s="269">
        <f>'IEPR Gas Prices Real'!G253*(INDEX('GDP Deflator'!$C$5:$C$89,MATCH('IEPR Gas Prices Nominal'!$B253,'GDP Deflator'!$B$5:$B$89,0))/100)</f>
        <v>2.8993420274489448</v>
      </c>
      <c r="H253" s="270">
        <f>'IEPR Gas Prices Real'!H253*(INDEX('GDP Deflator'!$C$5:$C$89,MATCH('IEPR Gas Prices Nominal'!$B253,'GDP Deflator'!$B$5:$B$89,0))/100)</f>
        <v>10.494219502131306</v>
      </c>
      <c r="I253" s="269">
        <f>'IEPR Gas Prices Real'!I253*(INDEX('GDP Deflator'!$C$5:$C$89,MATCH('IEPR Gas Prices Nominal'!$B253,'GDP Deflator'!$B$5:$B$89,0))/100)</f>
        <v>7.9662538788295985</v>
      </c>
      <c r="J253" s="269">
        <f>'IEPR Gas Prices Real'!J253*(INDEX('GDP Deflator'!$C$5:$C$89,MATCH('IEPR Gas Prices Nominal'!$B253,'GDP Deflator'!$B$5:$B$89,0))/100)</f>
        <v>4.7875148528043301</v>
      </c>
      <c r="K253" s="269">
        <f>'IEPR Gas Prices Real'!K253*(INDEX('GDP Deflator'!$C$5:$C$89,MATCH('IEPR Gas Prices Nominal'!$B253,'GDP Deflator'!$B$5:$B$89,0))/100)</f>
        <v>12.753768731633928</v>
      </c>
      <c r="L253" s="268">
        <f>'IEPR Gas Prices Real'!L253*(INDEX('GDP Deflator'!$C$5:$C$89,MATCH('IEPR Gas Prices Nominal'!$B253,'GDP Deflator'!$B$5:$B$89,0))/100)</f>
        <v>8.2580115415218653</v>
      </c>
      <c r="M253" s="269">
        <f>'IEPR Gas Prices Real'!M253*(INDEX('GDP Deflator'!$C$5:$C$89,MATCH('IEPR Gas Prices Nominal'!$B253,'GDP Deflator'!$B$5:$B$89,0))/100)</f>
        <v>2.2609234571746404</v>
      </c>
      <c r="N253" s="270">
        <f>'IEPR Gas Prices Real'!N253*(INDEX('GDP Deflator'!$C$5:$C$89,MATCH('IEPR Gas Prices Nominal'!$B253,'GDP Deflator'!$B$5:$B$89,0))/100)</f>
        <v>10.518934998696507</v>
      </c>
      <c r="O253" s="1"/>
      <c r="P253" s="274">
        <f t="shared" si="22"/>
        <v>7.939714298344609</v>
      </c>
      <c r="Q253" s="275">
        <f t="shared" si="26"/>
        <v>11.255641077487248</v>
      </c>
      <c r="R253" s="171"/>
    </row>
    <row r="254" spans="2:18">
      <c r="B254" s="94">
        <f t="shared" si="23"/>
        <v>2042</v>
      </c>
      <c r="C254" s="1">
        <f t="shared" si="24"/>
        <v>9</v>
      </c>
      <c r="D254" s="213">
        <v>52110</v>
      </c>
      <c r="E254" s="1" t="str">
        <f t="shared" si="25"/>
        <v>9-2042</v>
      </c>
      <c r="F254" s="268">
        <f>'IEPR Gas Prices Real'!F254*(INDEX('GDP Deflator'!$C$5:$C$89,MATCH('IEPR Gas Prices Nominal'!$B254,'GDP Deflator'!$B$5:$B$89,0))/100)</f>
        <v>7.7015935374571223</v>
      </c>
      <c r="G254" s="269">
        <f>'IEPR Gas Prices Real'!G254*(INDEX('GDP Deflator'!$C$5:$C$89,MATCH('IEPR Gas Prices Nominal'!$B254,'GDP Deflator'!$B$5:$B$89,0))/100)</f>
        <v>2.8993420274489448</v>
      </c>
      <c r="H254" s="270">
        <f>'IEPR Gas Prices Real'!H254*(INDEX('GDP Deflator'!$C$5:$C$89,MATCH('IEPR Gas Prices Nominal'!$B254,'GDP Deflator'!$B$5:$B$89,0))/100)</f>
        <v>10.600935564906067</v>
      </c>
      <c r="I254" s="269">
        <f>'IEPR Gas Prices Real'!I254*(INDEX('GDP Deflator'!$C$5:$C$89,MATCH('IEPR Gas Prices Nominal'!$B254,'GDP Deflator'!$B$5:$B$89,0))/100)</f>
        <v>8.0780924059607688</v>
      </c>
      <c r="J254" s="269">
        <f>'IEPR Gas Prices Real'!J254*(INDEX('GDP Deflator'!$C$5:$C$89,MATCH('IEPR Gas Prices Nominal'!$B254,'GDP Deflator'!$B$5:$B$89,0))/100)</f>
        <v>4.7875148528043301</v>
      </c>
      <c r="K254" s="269">
        <f>'IEPR Gas Prices Real'!K254*(INDEX('GDP Deflator'!$C$5:$C$89,MATCH('IEPR Gas Prices Nominal'!$B254,'GDP Deflator'!$B$5:$B$89,0))/100)</f>
        <v>12.865607258765099</v>
      </c>
      <c r="L254" s="268">
        <f>'IEPR Gas Prices Real'!L254*(INDEX('GDP Deflator'!$C$5:$C$89,MATCH('IEPR Gas Prices Nominal'!$B254,'GDP Deflator'!$B$5:$B$89,0))/100)</f>
        <v>8.3739495846599201</v>
      </c>
      <c r="M254" s="269">
        <f>'IEPR Gas Prices Real'!M254*(INDEX('GDP Deflator'!$C$5:$C$89,MATCH('IEPR Gas Prices Nominal'!$B254,'GDP Deflator'!$B$5:$B$89,0))/100)</f>
        <v>2.2609234571746404</v>
      </c>
      <c r="N254" s="270">
        <f>'IEPR Gas Prices Real'!N254*(INDEX('GDP Deflator'!$C$5:$C$89,MATCH('IEPR Gas Prices Nominal'!$B254,'GDP Deflator'!$B$5:$B$89,0))/100)</f>
        <v>10.63487304183456</v>
      </c>
      <c r="O254" s="1"/>
      <c r="P254" s="274">
        <f t="shared" si="22"/>
        <v>8.051211842692604</v>
      </c>
      <c r="Q254" s="275">
        <f t="shared" si="26"/>
        <v>11.367138621835243</v>
      </c>
      <c r="R254" s="171"/>
    </row>
    <row r="255" spans="2:18">
      <c r="B255" s="94">
        <f t="shared" si="23"/>
        <v>2042</v>
      </c>
      <c r="C255" s="1">
        <f t="shared" si="24"/>
        <v>10</v>
      </c>
      <c r="D255" s="213">
        <v>52140</v>
      </c>
      <c r="E255" s="1" t="str">
        <f t="shared" si="25"/>
        <v>10-2042</v>
      </c>
      <c r="F255" s="268">
        <f>'IEPR Gas Prices Real'!F255*(INDEX('GDP Deflator'!$C$5:$C$89,MATCH('IEPR Gas Prices Nominal'!$B255,'GDP Deflator'!$B$5:$B$89,0))/100)</f>
        <v>7.6571011686523009</v>
      </c>
      <c r="G255" s="269">
        <f>'IEPR Gas Prices Real'!G255*(INDEX('GDP Deflator'!$C$5:$C$89,MATCH('IEPR Gas Prices Nominal'!$B255,'GDP Deflator'!$B$5:$B$89,0))/100)</f>
        <v>2.8993420274489448</v>
      </c>
      <c r="H255" s="270">
        <f>'IEPR Gas Prices Real'!H255*(INDEX('GDP Deflator'!$C$5:$C$89,MATCH('IEPR Gas Prices Nominal'!$B255,'GDP Deflator'!$B$5:$B$89,0))/100)</f>
        <v>10.556443196101245</v>
      </c>
      <c r="I255" s="269">
        <f>'IEPR Gas Prices Real'!I255*(INDEX('GDP Deflator'!$C$5:$C$89,MATCH('IEPR Gas Prices Nominal'!$B255,'GDP Deflator'!$B$5:$B$89,0))/100)</f>
        <v>8.0313297658603346</v>
      </c>
      <c r="J255" s="269">
        <f>'IEPR Gas Prices Real'!J255*(INDEX('GDP Deflator'!$C$5:$C$89,MATCH('IEPR Gas Prices Nominal'!$B255,'GDP Deflator'!$B$5:$B$89,0))/100)</f>
        <v>4.7875148528043301</v>
      </c>
      <c r="K255" s="269">
        <f>'IEPR Gas Prices Real'!K255*(INDEX('GDP Deflator'!$C$5:$C$89,MATCH('IEPR Gas Prices Nominal'!$B255,'GDP Deflator'!$B$5:$B$89,0))/100)</f>
        <v>12.818844618664665</v>
      </c>
      <c r="L255" s="268">
        <f>'IEPR Gas Prices Real'!L255*(INDEX('GDP Deflator'!$C$5:$C$89,MATCH('IEPR Gas Prices Nominal'!$B255,'GDP Deflator'!$B$5:$B$89,0))/100)</f>
        <v>8.3254777796778239</v>
      </c>
      <c r="M255" s="269">
        <f>'IEPR Gas Prices Real'!M255*(INDEX('GDP Deflator'!$C$5:$C$89,MATCH('IEPR Gas Prices Nominal'!$B255,'GDP Deflator'!$B$5:$B$89,0))/100)</f>
        <v>2.2609234571746404</v>
      </c>
      <c r="N255" s="270">
        <f>'IEPR Gas Prices Real'!N255*(INDEX('GDP Deflator'!$C$5:$C$89,MATCH('IEPR Gas Prices Nominal'!$B255,'GDP Deflator'!$B$5:$B$89,0))/100)</f>
        <v>10.586401236852463</v>
      </c>
      <c r="O255" s="1"/>
      <c r="P255" s="274">
        <f t="shared" si="22"/>
        <v>8.004636238063485</v>
      </c>
      <c r="Q255" s="275">
        <f t="shared" si="26"/>
        <v>11.320563017206126</v>
      </c>
      <c r="R255" s="171"/>
    </row>
    <row r="256" spans="2:18">
      <c r="B256" s="94">
        <f t="shared" si="23"/>
        <v>2042</v>
      </c>
      <c r="C256" s="1">
        <f t="shared" si="24"/>
        <v>11</v>
      </c>
      <c r="D256" s="213">
        <v>52171</v>
      </c>
      <c r="E256" s="1" t="str">
        <f t="shared" si="25"/>
        <v>11-2042</v>
      </c>
      <c r="F256" s="268">
        <f>'IEPR Gas Prices Real'!F256*(INDEX('GDP Deflator'!$C$5:$C$89,MATCH('IEPR Gas Prices Nominal'!$B256,'GDP Deflator'!$B$5:$B$89,0))/100)</f>
        <v>8.0354500855013473</v>
      </c>
      <c r="G256" s="269">
        <f>'IEPR Gas Prices Real'!G256*(INDEX('GDP Deflator'!$C$5:$C$89,MATCH('IEPR Gas Prices Nominal'!$B256,'GDP Deflator'!$B$5:$B$89,0))/100)</f>
        <v>2.8993420274489448</v>
      </c>
      <c r="H256" s="270">
        <f>'IEPR Gas Prices Real'!H256*(INDEX('GDP Deflator'!$C$5:$C$89,MATCH('IEPR Gas Prices Nominal'!$B256,'GDP Deflator'!$B$5:$B$89,0))/100)</f>
        <v>10.934792112950293</v>
      </c>
      <c r="I256" s="269">
        <f>'IEPR Gas Prices Real'!I256*(INDEX('GDP Deflator'!$C$5:$C$89,MATCH('IEPR Gas Prices Nominal'!$B256,'GDP Deflator'!$B$5:$B$89,0))/100)</f>
        <v>8.4280699411521844</v>
      </c>
      <c r="J256" s="269">
        <f>'IEPR Gas Prices Real'!J256*(INDEX('GDP Deflator'!$C$5:$C$89,MATCH('IEPR Gas Prices Nominal'!$B256,'GDP Deflator'!$B$5:$B$89,0))/100)</f>
        <v>4.7875148528043301</v>
      </c>
      <c r="K256" s="269">
        <f>'IEPR Gas Prices Real'!K256*(INDEX('GDP Deflator'!$C$5:$C$89,MATCH('IEPR Gas Prices Nominal'!$B256,'GDP Deflator'!$B$5:$B$89,0))/100)</f>
        <v>13.215584793956515</v>
      </c>
      <c r="L256" s="268">
        <f>'IEPR Gas Prices Real'!L256*(INDEX('GDP Deflator'!$C$5:$C$89,MATCH('IEPR Gas Prices Nominal'!$B256,'GDP Deflator'!$B$5:$B$89,0))/100)</f>
        <v>8.7367522646954132</v>
      </c>
      <c r="M256" s="269">
        <f>'IEPR Gas Prices Real'!M256*(INDEX('GDP Deflator'!$C$5:$C$89,MATCH('IEPR Gas Prices Nominal'!$B256,'GDP Deflator'!$B$5:$B$89,0))/100)</f>
        <v>2.2609234571746404</v>
      </c>
      <c r="N256" s="270">
        <f>'IEPR Gas Prices Real'!N256*(INDEX('GDP Deflator'!$C$5:$C$89,MATCH('IEPR Gas Prices Nominal'!$B256,'GDP Deflator'!$B$5:$B$89,0))/100)</f>
        <v>10.997675721870054</v>
      </c>
      <c r="O256" s="1"/>
      <c r="P256" s="274">
        <f t="shared" si="22"/>
        <v>8.4000907637829823</v>
      </c>
      <c r="Q256" s="275">
        <f t="shared" si="26"/>
        <v>11.71601754292562</v>
      </c>
      <c r="R256" s="171"/>
    </row>
    <row r="257" spans="2:18">
      <c r="B257" s="94">
        <f t="shared" si="23"/>
        <v>2042</v>
      </c>
      <c r="C257" s="1">
        <f t="shared" si="24"/>
        <v>12</v>
      </c>
      <c r="D257" s="213">
        <v>52201</v>
      </c>
      <c r="E257" s="1" t="str">
        <f t="shared" si="25"/>
        <v>12-2042</v>
      </c>
      <c r="F257" s="268">
        <f>'IEPR Gas Prices Real'!F257*(INDEX('GDP Deflator'!$C$5:$C$89,MATCH('IEPR Gas Prices Nominal'!$B257,'GDP Deflator'!$B$5:$B$89,0))/100)</f>
        <v>8.0999646395242095</v>
      </c>
      <c r="G257" s="269">
        <f>'IEPR Gas Prices Real'!G257*(INDEX('GDP Deflator'!$C$5:$C$89,MATCH('IEPR Gas Prices Nominal'!$B257,'GDP Deflator'!$B$5:$B$89,0))/100)</f>
        <v>2.8993420274489448</v>
      </c>
      <c r="H257" s="270">
        <f>'IEPR Gas Prices Real'!H257*(INDEX('GDP Deflator'!$C$5:$C$89,MATCH('IEPR Gas Prices Nominal'!$B257,'GDP Deflator'!$B$5:$B$89,0))/100)</f>
        <v>10.999306666973153</v>
      </c>
      <c r="I257" s="269">
        <f>'IEPR Gas Prices Real'!I257*(INDEX('GDP Deflator'!$C$5:$C$89,MATCH('IEPR Gas Prices Nominal'!$B257,'GDP Deflator'!$B$5:$B$89,0))/100)</f>
        <v>8.4956359839134645</v>
      </c>
      <c r="J257" s="269">
        <f>'IEPR Gas Prices Real'!J257*(INDEX('GDP Deflator'!$C$5:$C$89,MATCH('IEPR Gas Prices Nominal'!$B257,'GDP Deflator'!$B$5:$B$89,0))/100)</f>
        <v>4.7875148528043301</v>
      </c>
      <c r="K257" s="269">
        <f>'IEPR Gas Prices Real'!K257*(INDEX('GDP Deflator'!$C$5:$C$89,MATCH('IEPR Gas Prices Nominal'!$B257,'GDP Deflator'!$B$5:$B$89,0))/100)</f>
        <v>13.283150836717795</v>
      </c>
      <c r="L257" s="268">
        <f>'IEPR Gas Prices Real'!L257*(INDEX('GDP Deflator'!$C$5:$C$89,MATCH('IEPR Gas Prices Nominal'!$B257,'GDP Deflator'!$B$5:$B$89,0))/100)</f>
        <v>8.8067966509777325</v>
      </c>
      <c r="M257" s="269">
        <f>'IEPR Gas Prices Real'!M257*(INDEX('GDP Deflator'!$C$5:$C$89,MATCH('IEPR Gas Prices Nominal'!$B257,'GDP Deflator'!$B$5:$B$89,0))/100)</f>
        <v>2.2609234571746404</v>
      </c>
      <c r="N257" s="270">
        <f>'IEPR Gas Prices Real'!N257*(INDEX('GDP Deflator'!$C$5:$C$89,MATCH('IEPR Gas Prices Nominal'!$B257,'GDP Deflator'!$B$5:$B$89,0))/100)</f>
        <v>11.067720108152374</v>
      </c>
      <c r="O257" s="1"/>
      <c r="P257" s="274">
        <f t="shared" si="22"/>
        <v>8.4674657581384682</v>
      </c>
      <c r="Q257" s="275">
        <f t="shared" si="26"/>
        <v>11.783392537281108</v>
      </c>
      <c r="R257" s="171"/>
    </row>
    <row r="258" spans="2:18">
      <c r="B258" s="94">
        <f t="shared" si="23"/>
        <v>2043</v>
      </c>
      <c r="C258" s="1">
        <f t="shared" si="24"/>
        <v>1</v>
      </c>
      <c r="D258" s="213">
        <v>52232</v>
      </c>
      <c r="E258" s="1" t="str">
        <f t="shared" si="25"/>
        <v>1-2043</v>
      </c>
      <c r="F258" s="268">
        <f>'IEPR Gas Prices Real'!F258*(INDEX('GDP Deflator'!$C$5:$C$89,MATCH('IEPR Gas Prices Nominal'!$B258,'GDP Deflator'!$B$5:$B$89,0))/100)</f>
        <v>8.2843085260842457</v>
      </c>
      <c r="G258" s="269">
        <f>'IEPR Gas Prices Real'!G258*(INDEX('GDP Deflator'!$C$5:$C$89,MATCH('IEPR Gas Prices Nominal'!$B258,'GDP Deflator'!$B$5:$B$89,0))/100)</f>
        <v>3.0833948746277979</v>
      </c>
      <c r="H258" s="270">
        <f>'IEPR Gas Prices Real'!H258*(INDEX('GDP Deflator'!$C$5:$C$89,MATCH('IEPR Gas Prices Nominal'!$B258,'GDP Deflator'!$B$5:$B$89,0))/100)</f>
        <v>11.367703400712044</v>
      </c>
      <c r="I258" s="269">
        <f>'IEPR Gas Prices Real'!I258*(INDEX('GDP Deflator'!$C$5:$C$89,MATCH('IEPR Gas Prices Nominal'!$B258,'GDP Deflator'!$B$5:$B$89,0))/100)</f>
        <v>8.6888865985098818</v>
      </c>
      <c r="J258" s="269">
        <f>'IEPR Gas Prices Real'!J258*(INDEX('GDP Deflator'!$C$5:$C$89,MATCH('IEPR Gas Prices Nominal'!$B258,'GDP Deflator'!$B$5:$B$89,0))/100)</f>
        <v>5.092092964929007</v>
      </c>
      <c r="K258" s="269">
        <f>'IEPR Gas Prices Real'!K258*(INDEX('GDP Deflator'!$C$5:$C$89,MATCH('IEPR Gas Prices Nominal'!$B258,'GDP Deflator'!$B$5:$B$89,0))/100)</f>
        <v>13.780979563438891</v>
      </c>
      <c r="L258" s="268">
        <f>'IEPR Gas Prices Real'!L258*(INDEX('GDP Deflator'!$C$5:$C$89,MATCH('IEPR Gas Prices Nominal'!$B258,'GDP Deflator'!$B$5:$B$89,0))/100)</f>
        <v>9.007129308621769</v>
      </c>
      <c r="M258" s="269">
        <f>'IEPR Gas Prices Real'!M258*(INDEX('GDP Deflator'!$C$5:$C$89,MATCH('IEPR Gas Prices Nominal'!$B258,'GDP Deflator'!$B$5:$B$89,0))/100)</f>
        <v>2.4047617155230783</v>
      </c>
      <c r="N258" s="270">
        <f>'IEPR Gas Prices Real'!N258*(INDEX('GDP Deflator'!$C$5:$C$89,MATCH('IEPR Gas Prices Nominal'!$B258,'GDP Deflator'!$B$5:$B$89,0))/100)</f>
        <v>11.411891024144847</v>
      </c>
      <c r="O258" s="1"/>
      <c r="P258" s="274">
        <f t="shared" si="22"/>
        <v>8.6601081444052994</v>
      </c>
      <c r="Q258" s="275">
        <f t="shared" si="26"/>
        <v>12.186857996098595</v>
      </c>
      <c r="R258" s="171"/>
    </row>
    <row r="259" spans="2:18">
      <c r="B259" s="94">
        <f t="shared" si="23"/>
        <v>2043</v>
      </c>
      <c r="C259" s="1">
        <f t="shared" si="24"/>
        <v>2</v>
      </c>
      <c r="D259" s="213">
        <v>52263</v>
      </c>
      <c r="E259" s="1" t="str">
        <f t="shared" si="25"/>
        <v>2-2043</v>
      </c>
      <c r="F259" s="268">
        <f>'IEPR Gas Prices Real'!F259*(INDEX('GDP Deflator'!$C$5:$C$89,MATCH('IEPR Gas Prices Nominal'!$B259,'GDP Deflator'!$B$5:$B$89,0))/100)</f>
        <v>8.1025799793887181</v>
      </c>
      <c r="G259" s="269">
        <f>'IEPR Gas Prices Real'!G259*(INDEX('GDP Deflator'!$C$5:$C$89,MATCH('IEPR Gas Prices Nominal'!$B259,'GDP Deflator'!$B$5:$B$89,0))/100)</f>
        <v>3.0833948746277979</v>
      </c>
      <c r="H259" s="270">
        <f>'IEPR Gas Prices Real'!H259*(INDEX('GDP Deflator'!$C$5:$C$89,MATCH('IEPR Gas Prices Nominal'!$B259,'GDP Deflator'!$B$5:$B$89,0))/100)</f>
        <v>11.185974854016516</v>
      </c>
      <c r="I259" s="269">
        <f>'IEPR Gas Prices Real'!I259*(INDEX('GDP Deflator'!$C$5:$C$89,MATCH('IEPR Gas Prices Nominal'!$B259,'GDP Deflator'!$B$5:$B$89,0))/100)</f>
        <v>8.4981869786227993</v>
      </c>
      <c r="J259" s="269">
        <f>'IEPR Gas Prices Real'!J259*(INDEX('GDP Deflator'!$C$5:$C$89,MATCH('IEPR Gas Prices Nominal'!$B259,'GDP Deflator'!$B$5:$B$89,0))/100)</f>
        <v>5.092092964929007</v>
      </c>
      <c r="K259" s="269">
        <f>'IEPR Gas Prices Real'!K259*(INDEX('GDP Deflator'!$C$5:$C$89,MATCH('IEPR Gas Prices Nominal'!$B259,'GDP Deflator'!$B$5:$B$89,0))/100)</f>
        <v>13.590279943551804</v>
      </c>
      <c r="L259" s="268">
        <f>'IEPR Gas Prices Real'!L259*(INDEX('GDP Deflator'!$C$5:$C$89,MATCH('IEPR Gas Prices Nominal'!$B259,'GDP Deflator'!$B$5:$B$89,0))/100)</f>
        <v>8.8094490153483918</v>
      </c>
      <c r="M259" s="269">
        <f>'IEPR Gas Prices Real'!M259*(INDEX('GDP Deflator'!$C$5:$C$89,MATCH('IEPR Gas Prices Nominal'!$B259,'GDP Deflator'!$B$5:$B$89,0))/100)</f>
        <v>2.4047617155230783</v>
      </c>
      <c r="N259" s="270">
        <f>'IEPR Gas Prices Real'!N259*(INDEX('GDP Deflator'!$C$5:$C$89,MATCH('IEPR Gas Prices Nominal'!$B259,'GDP Deflator'!$B$5:$B$89,0))/100)</f>
        <v>11.21421073087147</v>
      </c>
      <c r="O259" s="1"/>
      <c r="P259" s="274">
        <f t="shared" si="22"/>
        <v>8.4700719911199709</v>
      </c>
      <c r="Q259" s="275">
        <f t="shared" si="26"/>
        <v>11.996821842813263</v>
      </c>
      <c r="R259" s="171"/>
    </row>
    <row r="260" spans="2:18">
      <c r="B260" s="94">
        <f t="shared" si="23"/>
        <v>2043</v>
      </c>
      <c r="C260" s="1">
        <f t="shared" si="24"/>
        <v>3</v>
      </c>
      <c r="D260" s="213">
        <v>52291</v>
      </c>
      <c r="E260" s="1" t="str">
        <f t="shared" si="25"/>
        <v>3-2043</v>
      </c>
      <c r="F260" s="268">
        <f>'IEPR Gas Prices Real'!F260*(INDEX('GDP Deflator'!$C$5:$C$89,MATCH('IEPR Gas Prices Nominal'!$B260,'GDP Deflator'!$B$5:$B$89,0))/100)</f>
        <v>7.4381025632829179</v>
      </c>
      <c r="G260" s="269">
        <f>'IEPR Gas Prices Real'!G260*(INDEX('GDP Deflator'!$C$5:$C$89,MATCH('IEPR Gas Prices Nominal'!$B260,'GDP Deflator'!$B$5:$B$89,0))/100)</f>
        <v>3.0833948746277979</v>
      </c>
      <c r="H260" s="270">
        <f>'IEPR Gas Prices Real'!H260*(INDEX('GDP Deflator'!$C$5:$C$89,MATCH('IEPR Gas Prices Nominal'!$B260,'GDP Deflator'!$B$5:$B$89,0))/100)</f>
        <v>10.521497437910716</v>
      </c>
      <c r="I260" s="269">
        <f>'IEPR Gas Prices Real'!I260*(INDEX('GDP Deflator'!$C$5:$C$89,MATCH('IEPR Gas Prices Nominal'!$B260,'GDP Deflator'!$B$5:$B$89,0))/100)</f>
        <v>7.8011783855509638</v>
      </c>
      <c r="J260" s="269">
        <f>'IEPR Gas Prices Real'!J260*(INDEX('GDP Deflator'!$C$5:$C$89,MATCH('IEPR Gas Prices Nominal'!$B260,'GDP Deflator'!$B$5:$B$89,0))/100)</f>
        <v>5.092092964929007</v>
      </c>
      <c r="K260" s="269">
        <f>'IEPR Gas Prices Real'!K260*(INDEX('GDP Deflator'!$C$5:$C$89,MATCH('IEPR Gas Prices Nominal'!$B260,'GDP Deflator'!$B$5:$B$89,0))/100)</f>
        <v>12.893271350479973</v>
      </c>
      <c r="L260" s="268">
        <f>'IEPR Gas Prices Real'!L260*(INDEX('GDP Deflator'!$C$5:$C$89,MATCH('IEPR Gas Prices Nominal'!$B260,'GDP Deflator'!$B$5:$B$89,0))/100)</f>
        <v>8.0869148190445284</v>
      </c>
      <c r="M260" s="269">
        <f>'IEPR Gas Prices Real'!M260*(INDEX('GDP Deflator'!$C$5:$C$89,MATCH('IEPR Gas Prices Nominal'!$B260,'GDP Deflator'!$B$5:$B$89,0))/100)</f>
        <v>2.4047617155230783</v>
      </c>
      <c r="N260" s="270">
        <f>'IEPR Gas Prices Real'!N260*(INDEX('GDP Deflator'!$C$5:$C$89,MATCH('IEPR Gas Prices Nominal'!$B260,'GDP Deflator'!$B$5:$B$89,0))/100)</f>
        <v>10.491676534567606</v>
      </c>
      <c r="O260" s="1"/>
      <c r="P260" s="274">
        <f t="shared" si="22"/>
        <v>7.775398589292803</v>
      </c>
      <c r="Q260" s="275">
        <f t="shared" si="26"/>
        <v>11.302148440986096</v>
      </c>
      <c r="R260" s="171"/>
    </row>
    <row r="261" spans="2:18">
      <c r="B261" s="94">
        <f t="shared" si="23"/>
        <v>2043</v>
      </c>
      <c r="C261" s="1">
        <f t="shared" si="24"/>
        <v>4</v>
      </c>
      <c r="D261" s="213">
        <v>52322</v>
      </c>
      <c r="E261" s="1" t="str">
        <f t="shared" si="25"/>
        <v>4-2043</v>
      </c>
      <c r="F261" s="268">
        <f>'IEPR Gas Prices Real'!F261*(INDEX('GDP Deflator'!$C$5:$C$89,MATCH('IEPR Gas Prices Nominal'!$B261,'GDP Deflator'!$B$5:$B$89,0))/100)</f>
        <v>7.3114538799190409</v>
      </c>
      <c r="G261" s="269">
        <f>'IEPR Gas Prices Real'!G261*(INDEX('GDP Deflator'!$C$5:$C$89,MATCH('IEPR Gas Prices Nominal'!$B261,'GDP Deflator'!$B$5:$B$89,0))/100)</f>
        <v>3.0833948746277979</v>
      </c>
      <c r="H261" s="270">
        <f>'IEPR Gas Prices Real'!H261*(INDEX('GDP Deflator'!$C$5:$C$89,MATCH('IEPR Gas Prices Nominal'!$B261,'GDP Deflator'!$B$5:$B$89,0))/100)</f>
        <v>10.394848754546839</v>
      </c>
      <c r="I261" s="269">
        <f>'IEPR Gas Prices Real'!I261*(INDEX('GDP Deflator'!$C$5:$C$89,MATCH('IEPR Gas Prices Nominal'!$B261,'GDP Deflator'!$B$5:$B$89,0))/100)</f>
        <v>7.6682609095280245</v>
      </c>
      <c r="J261" s="269">
        <f>'IEPR Gas Prices Real'!J261*(INDEX('GDP Deflator'!$C$5:$C$89,MATCH('IEPR Gas Prices Nominal'!$B261,'GDP Deflator'!$B$5:$B$89,0))/100)</f>
        <v>5.092092964929007</v>
      </c>
      <c r="K261" s="269">
        <f>'IEPR Gas Prices Real'!K261*(INDEX('GDP Deflator'!$C$5:$C$89,MATCH('IEPR Gas Prices Nominal'!$B261,'GDP Deflator'!$B$5:$B$89,0))/100)</f>
        <v>12.760353874457032</v>
      </c>
      <c r="L261" s="268">
        <f>'IEPR Gas Prices Real'!L261*(INDEX('GDP Deflator'!$C$5:$C$89,MATCH('IEPR Gas Prices Nominal'!$B261,'GDP Deflator'!$B$5:$B$89,0))/100)</f>
        <v>7.9491325112209843</v>
      </c>
      <c r="M261" s="269">
        <f>'IEPR Gas Prices Real'!M261*(INDEX('GDP Deflator'!$C$5:$C$89,MATCH('IEPR Gas Prices Nominal'!$B261,'GDP Deflator'!$B$5:$B$89,0))/100)</f>
        <v>2.4047617155230783</v>
      </c>
      <c r="N261" s="270">
        <f>'IEPR Gas Prices Real'!N261*(INDEX('GDP Deflator'!$C$5:$C$89,MATCH('IEPR Gas Prices Nominal'!$B261,'GDP Deflator'!$B$5:$B$89,0))/100)</f>
        <v>10.353894226744062</v>
      </c>
      <c r="O261" s="1"/>
      <c r="P261" s="274">
        <f t="shared" si="22"/>
        <v>7.6429491002226833</v>
      </c>
      <c r="Q261" s="275">
        <f t="shared" si="26"/>
        <v>11.169698951915978</v>
      </c>
      <c r="R261" s="171"/>
    </row>
    <row r="262" spans="2:18">
      <c r="B262" s="94">
        <f t="shared" si="23"/>
        <v>2043</v>
      </c>
      <c r="C262" s="1">
        <f t="shared" si="24"/>
        <v>5</v>
      </c>
      <c r="D262" s="213">
        <v>52352</v>
      </c>
      <c r="E262" s="1" t="str">
        <f t="shared" si="25"/>
        <v>5-2043</v>
      </c>
      <c r="F262" s="268">
        <f>'IEPR Gas Prices Real'!F262*(INDEX('GDP Deflator'!$C$5:$C$89,MATCH('IEPR Gas Prices Nominal'!$B262,'GDP Deflator'!$B$5:$B$89,0))/100)</f>
        <v>7.565825035553706</v>
      </c>
      <c r="G262" s="269">
        <f>'IEPR Gas Prices Real'!G262*(INDEX('GDP Deflator'!$C$5:$C$89,MATCH('IEPR Gas Prices Nominal'!$B262,'GDP Deflator'!$B$5:$B$89,0))/100)</f>
        <v>3.0833948746277979</v>
      </c>
      <c r="H262" s="270">
        <f>'IEPR Gas Prices Real'!H262*(INDEX('GDP Deflator'!$C$5:$C$89,MATCH('IEPR Gas Prices Nominal'!$B262,'GDP Deflator'!$B$5:$B$89,0))/100)</f>
        <v>10.649219910181504</v>
      </c>
      <c r="I262" s="269">
        <f>'IEPR Gas Prices Real'!I262*(INDEX('GDP Deflator'!$C$5:$C$89,MATCH('IEPR Gas Prices Nominal'!$B262,'GDP Deflator'!$B$5:$B$89,0))/100)</f>
        <v>7.9349559376944656</v>
      </c>
      <c r="J262" s="269">
        <f>'IEPR Gas Prices Real'!J262*(INDEX('GDP Deflator'!$C$5:$C$89,MATCH('IEPR Gas Prices Nominal'!$B262,'GDP Deflator'!$B$5:$B$89,0))/100)</f>
        <v>5.092092964929007</v>
      </c>
      <c r="K262" s="269">
        <f>'IEPR Gas Prices Real'!K262*(INDEX('GDP Deflator'!$C$5:$C$89,MATCH('IEPR Gas Prices Nominal'!$B262,'GDP Deflator'!$B$5:$B$89,0))/100)</f>
        <v>13.027048902623473</v>
      </c>
      <c r="L262" s="268">
        <f>'IEPR Gas Prices Real'!L262*(INDEX('GDP Deflator'!$C$5:$C$89,MATCH('IEPR Gas Prices Nominal'!$B262,'GDP Deflator'!$B$5:$B$89,0))/100)</f>
        <v>8.2255997013351596</v>
      </c>
      <c r="M262" s="269">
        <f>'IEPR Gas Prices Real'!M262*(INDEX('GDP Deflator'!$C$5:$C$89,MATCH('IEPR Gas Prices Nominal'!$B262,'GDP Deflator'!$B$5:$B$89,0))/100)</f>
        <v>2.4047617155230783</v>
      </c>
      <c r="N262" s="270">
        <f>'IEPR Gas Prices Real'!N262*(INDEX('GDP Deflator'!$C$5:$C$89,MATCH('IEPR Gas Prices Nominal'!$B262,'GDP Deflator'!$B$5:$B$89,0))/100)</f>
        <v>10.630361416858237</v>
      </c>
      <c r="O262" s="1"/>
      <c r="P262" s="274">
        <f t="shared" ref="P262:P325" si="27">AVERAGE(F262,I262,L262)</f>
        <v>7.9087935581944437</v>
      </c>
      <c r="Q262" s="275">
        <f t="shared" si="26"/>
        <v>11.435543409887737</v>
      </c>
      <c r="R262" s="171"/>
    </row>
    <row r="263" spans="2:18">
      <c r="B263" s="94">
        <f t="shared" ref="B263:B326" si="28">YEAR(D263)</f>
        <v>2043</v>
      </c>
      <c r="C263" s="1">
        <f t="shared" ref="C263:C326" si="29">MONTH(D263)</f>
        <v>6</v>
      </c>
      <c r="D263" s="213">
        <v>52383</v>
      </c>
      <c r="E263" s="1" t="str">
        <f t="shared" ref="E263:E326" si="30">C263&amp;"-"&amp;B263</f>
        <v>6-2043</v>
      </c>
      <c r="F263" s="268">
        <f>'IEPR Gas Prices Real'!F263*(INDEX('GDP Deflator'!$C$5:$C$89,MATCH('IEPR Gas Prices Nominal'!$B263,'GDP Deflator'!$B$5:$B$89,0))/100)</f>
        <v>7.7613269346073812</v>
      </c>
      <c r="G263" s="269">
        <f>'IEPR Gas Prices Real'!G263*(INDEX('GDP Deflator'!$C$5:$C$89,MATCH('IEPR Gas Prices Nominal'!$B263,'GDP Deflator'!$B$5:$B$89,0))/100)</f>
        <v>3.0833948746277979</v>
      </c>
      <c r="H263" s="270">
        <f>'IEPR Gas Prices Real'!H263*(INDEX('GDP Deflator'!$C$5:$C$89,MATCH('IEPR Gas Prices Nominal'!$B263,'GDP Deflator'!$B$5:$B$89,0))/100)</f>
        <v>10.844721809235178</v>
      </c>
      <c r="I263" s="269">
        <f>'IEPR Gas Prices Real'!I263*(INDEX('GDP Deflator'!$C$5:$C$89,MATCH('IEPR Gas Prices Nominal'!$B263,'GDP Deflator'!$B$5:$B$89,0))/100)</f>
        <v>8.1399041778726247</v>
      </c>
      <c r="J263" s="269">
        <f>'IEPR Gas Prices Real'!J263*(INDEX('GDP Deflator'!$C$5:$C$89,MATCH('IEPR Gas Prices Nominal'!$B263,'GDP Deflator'!$B$5:$B$89,0))/100)</f>
        <v>5.092092964929007</v>
      </c>
      <c r="K263" s="269">
        <f>'IEPR Gas Prices Real'!K263*(INDEX('GDP Deflator'!$C$5:$C$89,MATCH('IEPR Gas Prices Nominal'!$B263,'GDP Deflator'!$B$5:$B$89,0))/100)</f>
        <v>13.231997142801633</v>
      </c>
      <c r="L263" s="268">
        <f>'IEPR Gas Prices Real'!L263*(INDEX('GDP Deflator'!$C$5:$C$89,MATCH('IEPR Gas Prices Nominal'!$B263,'GDP Deflator'!$B$5:$B$89,0))/100)</f>
        <v>8.4380586458527578</v>
      </c>
      <c r="M263" s="269">
        <f>'IEPR Gas Prices Real'!M263*(INDEX('GDP Deflator'!$C$5:$C$89,MATCH('IEPR Gas Prices Nominal'!$B263,'GDP Deflator'!$B$5:$B$89,0))/100)</f>
        <v>2.4047617155230783</v>
      </c>
      <c r="N263" s="270">
        <f>'IEPR Gas Prices Real'!N263*(INDEX('GDP Deflator'!$C$5:$C$89,MATCH('IEPR Gas Prices Nominal'!$B263,'GDP Deflator'!$B$5:$B$89,0))/100)</f>
        <v>10.842820361375836</v>
      </c>
      <c r="O263" s="1"/>
      <c r="P263" s="274">
        <f t="shared" si="27"/>
        <v>8.1130965861109203</v>
      </c>
      <c r="Q263" s="275">
        <f t="shared" ref="Q263:Q326" si="31">AVERAGE(H263,K263,N263)</f>
        <v>11.639846437804216</v>
      </c>
      <c r="R263" s="171"/>
    </row>
    <row r="264" spans="2:18">
      <c r="B264" s="94">
        <f t="shared" si="28"/>
        <v>2043</v>
      </c>
      <c r="C264" s="1">
        <f t="shared" si="29"/>
        <v>7</v>
      </c>
      <c r="D264" s="213">
        <v>52413</v>
      </c>
      <c r="E264" s="1" t="str">
        <f t="shared" si="30"/>
        <v>7-2043</v>
      </c>
      <c r="F264" s="268">
        <f>'IEPR Gas Prices Real'!F264*(INDEX('GDP Deflator'!$C$5:$C$89,MATCH('IEPR Gas Prices Nominal'!$B264,'GDP Deflator'!$B$5:$B$89,0))/100)</f>
        <v>7.8228103092562993</v>
      </c>
      <c r="G264" s="269">
        <f>'IEPR Gas Prices Real'!G264*(INDEX('GDP Deflator'!$C$5:$C$89,MATCH('IEPR Gas Prices Nominal'!$B264,'GDP Deflator'!$B$5:$B$89,0))/100)</f>
        <v>3.0833948746277979</v>
      </c>
      <c r="H264" s="270">
        <f>'IEPR Gas Prices Real'!H264*(INDEX('GDP Deflator'!$C$5:$C$89,MATCH('IEPR Gas Prices Nominal'!$B264,'GDP Deflator'!$B$5:$B$89,0))/100)</f>
        <v>10.906205183884097</v>
      </c>
      <c r="I264" s="269">
        <f>'IEPR Gas Prices Real'!I264*(INDEX('GDP Deflator'!$C$5:$C$89,MATCH('IEPR Gas Prices Nominal'!$B264,'GDP Deflator'!$B$5:$B$89,0))/100)</f>
        <v>8.2042937625460102</v>
      </c>
      <c r="J264" s="269">
        <f>'IEPR Gas Prices Real'!J264*(INDEX('GDP Deflator'!$C$5:$C$89,MATCH('IEPR Gas Prices Nominal'!$B264,'GDP Deflator'!$B$5:$B$89,0))/100)</f>
        <v>5.092092964929007</v>
      </c>
      <c r="K264" s="269">
        <f>'IEPR Gas Prices Real'!K264*(INDEX('GDP Deflator'!$C$5:$C$89,MATCH('IEPR Gas Prices Nominal'!$B264,'GDP Deflator'!$B$5:$B$89,0))/100)</f>
        <v>13.296386727475015</v>
      </c>
      <c r="L264" s="268">
        <f>'IEPR Gas Prices Real'!L264*(INDEX('GDP Deflator'!$C$5:$C$89,MATCH('IEPR Gas Prices Nominal'!$B264,'GDP Deflator'!$B$5:$B$89,0))/100)</f>
        <v>8.5048105741736109</v>
      </c>
      <c r="M264" s="269">
        <f>'IEPR Gas Prices Real'!M264*(INDEX('GDP Deflator'!$C$5:$C$89,MATCH('IEPR Gas Prices Nominal'!$B264,'GDP Deflator'!$B$5:$B$89,0))/100)</f>
        <v>2.4047617155230783</v>
      </c>
      <c r="N264" s="270">
        <f>'IEPR Gas Prices Real'!N264*(INDEX('GDP Deflator'!$C$5:$C$89,MATCH('IEPR Gas Prices Nominal'!$B264,'GDP Deflator'!$B$5:$B$89,0))/100)</f>
        <v>10.909572289696689</v>
      </c>
      <c r="O264" s="1"/>
      <c r="P264" s="274">
        <f t="shared" si="27"/>
        <v>8.177304881991974</v>
      </c>
      <c r="Q264" s="275">
        <f t="shared" si="31"/>
        <v>11.704054733685268</v>
      </c>
      <c r="R264" s="171"/>
    </row>
    <row r="265" spans="2:18">
      <c r="B265" s="94">
        <f t="shared" si="28"/>
        <v>2043</v>
      </c>
      <c r="C265" s="1">
        <f t="shared" si="29"/>
        <v>8</v>
      </c>
      <c r="D265" s="213">
        <v>52444</v>
      </c>
      <c r="E265" s="1" t="str">
        <f t="shared" si="30"/>
        <v>8-2043</v>
      </c>
      <c r="F265" s="268">
        <f>'IEPR Gas Prices Real'!F265*(INDEX('GDP Deflator'!$C$5:$C$89,MATCH('IEPR Gas Prices Nominal'!$B265,'GDP Deflator'!$B$5:$B$89,0))/100)</f>
        <v>7.762296425275375</v>
      </c>
      <c r="G265" s="269">
        <f>'IEPR Gas Prices Real'!G265*(INDEX('GDP Deflator'!$C$5:$C$89,MATCH('IEPR Gas Prices Nominal'!$B265,'GDP Deflator'!$B$5:$B$89,0))/100)</f>
        <v>3.0833948746277979</v>
      </c>
      <c r="H265" s="270">
        <f>'IEPR Gas Prices Real'!H265*(INDEX('GDP Deflator'!$C$5:$C$89,MATCH('IEPR Gas Prices Nominal'!$B265,'GDP Deflator'!$B$5:$B$89,0))/100)</f>
        <v>10.845691299903173</v>
      </c>
      <c r="I265" s="269">
        <f>'IEPR Gas Prices Real'!I265*(INDEX('GDP Deflator'!$C$5:$C$89,MATCH('IEPR Gas Prices Nominal'!$B265,'GDP Deflator'!$B$5:$B$89,0))/100)</f>
        <v>8.1407368068724129</v>
      </c>
      <c r="J265" s="269">
        <f>'IEPR Gas Prices Real'!J265*(INDEX('GDP Deflator'!$C$5:$C$89,MATCH('IEPR Gas Prices Nominal'!$B265,'GDP Deflator'!$B$5:$B$89,0))/100)</f>
        <v>5.092092964929007</v>
      </c>
      <c r="K265" s="269">
        <f>'IEPR Gas Prices Real'!K265*(INDEX('GDP Deflator'!$C$5:$C$89,MATCH('IEPR Gas Prices Nominal'!$B265,'GDP Deflator'!$B$5:$B$89,0))/100)</f>
        <v>13.23282977180142</v>
      </c>
      <c r="L265" s="268">
        <f>'IEPR Gas Prices Real'!L265*(INDEX('GDP Deflator'!$C$5:$C$89,MATCH('IEPR Gas Prices Nominal'!$B265,'GDP Deflator'!$B$5:$B$89,0))/100)</f>
        <v>8.4389293821386744</v>
      </c>
      <c r="M265" s="269">
        <f>'IEPR Gas Prices Real'!M265*(INDEX('GDP Deflator'!$C$5:$C$89,MATCH('IEPR Gas Prices Nominal'!$B265,'GDP Deflator'!$B$5:$B$89,0))/100)</f>
        <v>2.4047617155230783</v>
      </c>
      <c r="N265" s="270">
        <f>'IEPR Gas Prices Real'!N265*(INDEX('GDP Deflator'!$C$5:$C$89,MATCH('IEPR Gas Prices Nominal'!$B265,'GDP Deflator'!$B$5:$B$89,0))/100)</f>
        <v>10.843691097661752</v>
      </c>
      <c r="O265" s="1"/>
      <c r="P265" s="274">
        <f t="shared" si="27"/>
        <v>8.113987538095488</v>
      </c>
      <c r="Q265" s="275">
        <f t="shared" si="31"/>
        <v>11.640737389788782</v>
      </c>
      <c r="R265" s="171"/>
    </row>
    <row r="266" spans="2:18">
      <c r="B266" s="94">
        <f t="shared" si="28"/>
        <v>2043</v>
      </c>
      <c r="C266" s="1">
        <f t="shared" si="29"/>
        <v>9</v>
      </c>
      <c r="D266" s="213">
        <v>52475</v>
      </c>
      <c r="E266" s="1" t="str">
        <f t="shared" si="30"/>
        <v>9-2043</v>
      </c>
      <c r="F266" s="268">
        <f>'IEPR Gas Prices Real'!F266*(INDEX('GDP Deflator'!$C$5:$C$89,MATCH('IEPR Gas Prices Nominal'!$B266,'GDP Deflator'!$B$5:$B$89,0))/100)</f>
        <v>7.8713888848267288</v>
      </c>
      <c r="G266" s="269">
        <f>'IEPR Gas Prices Real'!G266*(INDEX('GDP Deflator'!$C$5:$C$89,MATCH('IEPR Gas Prices Nominal'!$B266,'GDP Deflator'!$B$5:$B$89,0))/100)</f>
        <v>3.0833948746277979</v>
      </c>
      <c r="H266" s="270">
        <f>'IEPR Gas Prices Real'!H266*(INDEX('GDP Deflator'!$C$5:$C$89,MATCH('IEPR Gas Prices Nominal'!$B266,'GDP Deflator'!$B$5:$B$89,0))/100)</f>
        <v>10.954783759454527</v>
      </c>
      <c r="I266" s="269">
        <f>'IEPR Gas Prices Real'!I266*(INDEX('GDP Deflator'!$C$5:$C$89,MATCH('IEPR Gas Prices Nominal'!$B266,'GDP Deflator'!$B$5:$B$89,0))/100)</f>
        <v>8.2550545389620762</v>
      </c>
      <c r="J266" s="269">
        <f>'IEPR Gas Prices Real'!J266*(INDEX('GDP Deflator'!$C$5:$C$89,MATCH('IEPR Gas Prices Nominal'!$B266,'GDP Deflator'!$B$5:$B$89,0))/100)</f>
        <v>5.092092964929007</v>
      </c>
      <c r="K266" s="269">
        <f>'IEPR Gas Prices Real'!K266*(INDEX('GDP Deflator'!$C$5:$C$89,MATCH('IEPR Gas Prices Nominal'!$B266,'GDP Deflator'!$B$5:$B$89,0))/100)</f>
        <v>13.347147503891085</v>
      </c>
      <c r="L266" s="268">
        <f>'IEPR Gas Prices Real'!L266*(INDEX('GDP Deflator'!$C$5:$C$89,MATCH('IEPR Gas Prices Nominal'!$B266,'GDP Deflator'!$B$5:$B$89,0))/100)</f>
        <v>8.5574383947883401</v>
      </c>
      <c r="M266" s="269">
        <f>'IEPR Gas Prices Real'!M266*(INDEX('GDP Deflator'!$C$5:$C$89,MATCH('IEPR Gas Prices Nominal'!$B266,'GDP Deflator'!$B$5:$B$89,0))/100)</f>
        <v>2.4047617155230783</v>
      </c>
      <c r="N266" s="270">
        <f>'IEPR Gas Prices Real'!N266*(INDEX('GDP Deflator'!$C$5:$C$89,MATCH('IEPR Gas Prices Nominal'!$B266,'GDP Deflator'!$B$5:$B$89,0))/100)</f>
        <v>10.962200110311418</v>
      </c>
      <c r="O266" s="1"/>
      <c r="P266" s="274">
        <f t="shared" si="27"/>
        <v>8.2279606061923829</v>
      </c>
      <c r="Q266" s="275">
        <f t="shared" si="31"/>
        <v>11.754710457885677</v>
      </c>
      <c r="R266" s="171"/>
    </row>
    <row r="267" spans="2:18">
      <c r="B267" s="94">
        <f t="shared" si="28"/>
        <v>2043</v>
      </c>
      <c r="C267" s="1">
        <f t="shared" si="29"/>
        <v>10</v>
      </c>
      <c r="D267" s="213">
        <v>52505</v>
      </c>
      <c r="E267" s="1" t="str">
        <f t="shared" si="30"/>
        <v>10-2043</v>
      </c>
      <c r="F267" s="268">
        <f>'IEPR Gas Prices Real'!F267*(INDEX('GDP Deflator'!$C$5:$C$89,MATCH('IEPR Gas Prices Nominal'!$B267,'GDP Deflator'!$B$5:$B$89,0))/100)</f>
        <v>7.8259394500572483</v>
      </c>
      <c r="G267" s="269">
        <f>'IEPR Gas Prices Real'!G267*(INDEX('GDP Deflator'!$C$5:$C$89,MATCH('IEPR Gas Prices Nominal'!$B267,'GDP Deflator'!$B$5:$B$89,0))/100)</f>
        <v>3.0833948746277979</v>
      </c>
      <c r="H267" s="270">
        <f>'IEPR Gas Prices Real'!H267*(INDEX('GDP Deflator'!$C$5:$C$89,MATCH('IEPR Gas Prices Nominal'!$B267,'GDP Deflator'!$B$5:$B$89,0))/100)</f>
        <v>10.909334324685046</v>
      </c>
      <c r="I267" s="269">
        <f>'IEPR Gas Prices Real'!I267*(INDEX('GDP Deflator'!$C$5:$C$89,MATCH('IEPR Gas Prices Nominal'!$B267,'GDP Deflator'!$B$5:$B$89,0))/100)</f>
        <v>8.2072969618372618</v>
      </c>
      <c r="J267" s="269">
        <f>'IEPR Gas Prices Real'!J267*(INDEX('GDP Deflator'!$C$5:$C$89,MATCH('IEPR Gas Prices Nominal'!$B267,'GDP Deflator'!$B$5:$B$89,0))/100)</f>
        <v>5.092092964929007</v>
      </c>
      <c r="K267" s="269">
        <f>'IEPR Gas Prices Real'!K267*(INDEX('GDP Deflator'!$C$5:$C$89,MATCH('IEPR Gas Prices Nominal'!$B267,'GDP Deflator'!$B$5:$B$89,0))/100)</f>
        <v>13.299389926766267</v>
      </c>
      <c r="L267" s="268">
        <f>'IEPR Gas Prices Real'!L267*(INDEX('GDP Deflator'!$C$5:$C$89,MATCH('IEPR Gas Prices Nominal'!$B267,'GDP Deflator'!$B$5:$B$89,0))/100)</f>
        <v>8.5079352875377321</v>
      </c>
      <c r="M267" s="269">
        <f>'IEPR Gas Prices Real'!M267*(INDEX('GDP Deflator'!$C$5:$C$89,MATCH('IEPR Gas Prices Nominal'!$B267,'GDP Deflator'!$B$5:$B$89,0))/100)</f>
        <v>2.4047617155230783</v>
      </c>
      <c r="N267" s="270">
        <f>'IEPR Gas Prices Real'!N267*(INDEX('GDP Deflator'!$C$5:$C$89,MATCH('IEPR Gas Prices Nominal'!$B267,'GDP Deflator'!$B$5:$B$89,0))/100)</f>
        <v>10.91269700306081</v>
      </c>
      <c r="O267" s="1"/>
      <c r="P267" s="274">
        <f t="shared" si="27"/>
        <v>8.1803905664774135</v>
      </c>
      <c r="Q267" s="275">
        <f t="shared" si="31"/>
        <v>11.707140418170709</v>
      </c>
      <c r="R267" s="171"/>
    </row>
    <row r="268" spans="2:18">
      <c r="B268" s="94">
        <f t="shared" si="28"/>
        <v>2043</v>
      </c>
      <c r="C268" s="1">
        <f t="shared" si="29"/>
        <v>11</v>
      </c>
      <c r="D268" s="213">
        <v>52536</v>
      </c>
      <c r="E268" s="1" t="str">
        <f t="shared" si="30"/>
        <v>11-2043</v>
      </c>
      <c r="F268" s="268">
        <f>'IEPR Gas Prices Real'!F268*(INDEX('GDP Deflator'!$C$5:$C$89,MATCH('IEPR Gas Prices Nominal'!$B268,'GDP Deflator'!$B$5:$B$89,0))/100)</f>
        <v>8.2126559497468925</v>
      </c>
      <c r="G268" s="269">
        <f>'IEPR Gas Prices Real'!G268*(INDEX('GDP Deflator'!$C$5:$C$89,MATCH('IEPR Gas Prices Nominal'!$B268,'GDP Deflator'!$B$5:$B$89,0))/100)</f>
        <v>3.0833948746277979</v>
      </c>
      <c r="H268" s="270">
        <f>'IEPR Gas Prices Real'!H268*(INDEX('GDP Deflator'!$C$5:$C$89,MATCH('IEPR Gas Prices Nominal'!$B268,'GDP Deflator'!$B$5:$B$89,0))/100)</f>
        <v>11.29605082437469</v>
      </c>
      <c r="I268" s="269">
        <f>'IEPR Gas Prices Real'!I268*(INDEX('GDP Deflator'!$C$5:$C$89,MATCH('IEPR Gas Prices Nominal'!$B268,'GDP Deflator'!$B$5:$B$89,0))/100)</f>
        <v>8.6127606770209262</v>
      </c>
      <c r="J268" s="269">
        <f>'IEPR Gas Prices Real'!J268*(INDEX('GDP Deflator'!$C$5:$C$89,MATCH('IEPR Gas Prices Nominal'!$B268,'GDP Deflator'!$B$5:$B$89,0))/100)</f>
        <v>5.092092964929007</v>
      </c>
      <c r="K268" s="269">
        <f>'IEPR Gas Prices Real'!K268*(INDEX('GDP Deflator'!$C$5:$C$89,MATCH('IEPR Gas Prices Nominal'!$B268,'GDP Deflator'!$B$5:$B$89,0))/100)</f>
        <v>13.704853641949935</v>
      </c>
      <c r="L268" s="268">
        <f>'IEPR Gas Prices Real'!L268*(INDEX('GDP Deflator'!$C$5:$C$89,MATCH('IEPR Gas Prices Nominal'!$B268,'GDP Deflator'!$B$5:$B$89,0))/100)</f>
        <v>8.928255414488067</v>
      </c>
      <c r="M268" s="269">
        <f>'IEPR Gas Prices Real'!M268*(INDEX('GDP Deflator'!$C$5:$C$89,MATCH('IEPR Gas Prices Nominal'!$B268,'GDP Deflator'!$B$5:$B$89,0))/100)</f>
        <v>2.4047617155230783</v>
      </c>
      <c r="N268" s="270">
        <f>'IEPR Gas Prices Real'!N268*(INDEX('GDP Deflator'!$C$5:$C$89,MATCH('IEPR Gas Prices Nominal'!$B268,'GDP Deflator'!$B$5:$B$89,0))/100)</f>
        <v>11.333017130011145</v>
      </c>
      <c r="O268" s="1"/>
      <c r="P268" s="274">
        <f t="shared" si="27"/>
        <v>8.5845573470852958</v>
      </c>
      <c r="Q268" s="275">
        <f t="shared" si="31"/>
        <v>12.11130719877859</v>
      </c>
      <c r="R268" s="171"/>
    </row>
    <row r="269" spans="2:18">
      <c r="B269" s="94">
        <f t="shared" si="28"/>
        <v>2043</v>
      </c>
      <c r="C269" s="1">
        <f t="shared" si="29"/>
        <v>12</v>
      </c>
      <c r="D269" s="213">
        <v>52566</v>
      </c>
      <c r="E269" s="1" t="str">
        <f t="shared" si="30"/>
        <v>12-2043</v>
      </c>
      <c r="F269" s="268">
        <f>'IEPR Gas Prices Real'!F269*(INDEX('GDP Deflator'!$C$5:$C$89,MATCH('IEPR Gas Prices Nominal'!$B269,'GDP Deflator'!$B$5:$B$89,0))/100)</f>
        <v>8.2786184764184387</v>
      </c>
      <c r="G269" s="269">
        <f>'IEPR Gas Prices Real'!G269*(INDEX('GDP Deflator'!$C$5:$C$89,MATCH('IEPR Gas Prices Nominal'!$B269,'GDP Deflator'!$B$5:$B$89,0))/100)</f>
        <v>3.0833948746277979</v>
      </c>
      <c r="H269" s="270">
        <f>'IEPR Gas Prices Real'!H269*(INDEX('GDP Deflator'!$C$5:$C$89,MATCH('IEPR Gas Prices Nominal'!$B269,'GDP Deflator'!$B$5:$B$89,0))/100)</f>
        <v>11.362013351046237</v>
      </c>
      <c r="I269" s="269">
        <f>'IEPR Gas Prices Real'!I269*(INDEX('GDP Deflator'!$C$5:$C$89,MATCH('IEPR Gas Prices Nominal'!$B269,'GDP Deflator'!$B$5:$B$89,0))/100)</f>
        <v>8.6818385233445579</v>
      </c>
      <c r="J269" s="269">
        <f>'IEPR Gas Prices Real'!J269*(INDEX('GDP Deflator'!$C$5:$C$89,MATCH('IEPR Gas Prices Nominal'!$B269,'GDP Deflator'!$B$5:$B$89,0))/100)</f>
        <v>5.092092964929007</v>
      </c>
      <c r="K269" s="269">
        <f>'IEPR Gas Prices Real'!K269*(INDEX('GDP Deflator'!$C$5:$C$89,MATCH('IEPR Gas Prices Nominal'!$B269,'GDP Deflator'!$B$5:$B$89,0))/100)</f>
        <v>13.773931488273565</v>
      </c>
      <c r="L269" s="268">
        <f>'IEPR Gas Prices Real'!L269*(INDEX('GDP Deflator'!$C$5:$C$89,MATCH('IEPR Gas Prices Nominal'!$B269,'GDP Deflator'!$B$5:$B$89,0))/100)</f>
        <v>8.9998677168354764</v>
      </c>
      <c r="M269" s="269">
        <f>'IEPR Gas Prices Real'!M269*(INDEX('GDP Deflator'!$C$5:$C$89,MATCH('IEPR Gas Prices Nominal'!$B269,'GDP Deflator'!$B$5:$B$89,0))/100)</f>
        <v>2.4047617155230783</v>
      </c>
      <c r="N269" s="270">
        <f>'IEPR Gas Prices Real'!N269*(INDEX('GDP Deflator'!$C$5:$C$89,MATCH('IEPR Gas Prices Nominal'!$B269,'GDP Deflator'!$B$5:$B$89,0))/100)</f>
        <v>11.404629432358554</v>
      </c>
      <c r="O269" s="1"/>
      <c r="P269" s="274">
        <f t="shared" si="27"/>
        <v>8.6534415721994904</v>
      </c>
      <c r="Q269" s="275">
        <f t="shared" si="31"/>
        <v>12.180191423892785</v>
      </c>
      <c r="R269" s="171"/>
    </row>
    <row r="270" spans="2:18">
      <c r="B270" s="94">
        <f t="shared" si="28"/>
        <v>2044</v>
      </c>
      <c r="C270" s="1">
        <f t="shared" si="29"/>
        <v>1</v>
      </c>
      <c r="D270" s="213">
        <v>52597</v>
      </c>
      <c r="E270" s="1" t="str">
        <f t="shared" si="30"/>
        <v>1-2044</v>
      </c>
      <c r="F270" s="268">
        <f>'IEPR Gas Prices Real'!F270*(INDEX('GDP Deflator'!$C$5:$C$89,MATCH('IEPR Gas Prices Nominal'!$B270,'GDP Deflator'!$B$5:$B$89,0))/100)</f>
        <v>8.4672435391199627</v>
      </c>
      <c r="G270" s="269">
        <f>'IEPR Gas Prices Real'!G270*(INDEX('GDP Deflator'!$C$5:$C$89,MATCH('IEPR Gas Prices Nominal'!$B270,'GDP Deflator'!$B$5:$B$89,0))/100)</f>
        <v>3.2792119522902752</v>
      </c>
      <c r="H270" s="270">
        <f>'IEPR Gas Prices Real'!H270*(INDEX('GDP Deflator'!$C$5:$C$89,MATCH('IEPR Gas Prices Nominal'!$B270,'GDP Deflator'!$B$5:$B$89,0))/100)</f>
        <v>11.746455491410238</v>
      </c>
      <c r="I270" s="269">
        <f>'IEPR Gas Prices Real'!I270*(INDEX('GDP Deflator'!$C$5:$C$89,MATCH('IEPR Gas Prices Nominal'!$B270,'GDP Deflator'!$B$5:$B$89,0))/100)</f>
        <v>8.8795520083530413</v>
      </c>
      <c r="J270" s="269">
        <f>'IEPR Gas Prices Real'!J270*(INDEX('GDP Deflator'!$C$5:$C$89,MATCH('IEPR Gas Prices Nominal'!$B270,'GDP Deflator'!$B$5:$B$89,0))/100)</f>
        <v>5.4161807758842793</v>
      </c>
      <c r="K270" s="269">
        <f>'IEPR Gas Prices Real'!K270*(INDEX('GDP Deflator'!$C$5:$C$89,MATCH('IEPR Gas Prices Nominal'!$B270,'GDP Deflator'!$B$5:$B$89,0))/100)</f>
        <v>14.29573278423732</v>
      </c>
      <c r="L270" s="268">
        <f>'IEPR Gas Prices Real'!L270*(INDEX('GDP Deflator'!$C$5:$C$89,MATCH('IEPR Gas Prices Nominal'!$B270,'GDP Deflator'!$B$5:$B$89,0))/100)</f>
        <v>9.2048271638528885</v>
      </c>
      <c r="M270" s="269">
        <f>'IEPR Gas Prices Real'!M270*(INDEX('GDP Deflator'!$C$5:$C$89,MATCH('IEPR Gas Prices Nominal'!$B270,'GDP Deflator'!$B$5:$B$89,0))/100)</f>
        <v>2.557813508885963</v>
      </c>
      <c r="N270" s="270">
        <f>'IEPR Gas Prices Real'!N270*(INDEX('GDP Deflator'!$C$5:$C$89,MATCH('IEPR Gas Prices Nominal'!$B270,'GDP Deflator'!$B$5:$B$89,0))/100)</f>
        <v>11.762640672738851</v>
      </c>
      <c r="O270" s="1"/>
      <c r="P270" s="274">
        <f t="shared" si="27"/>
        <v>8.8505409037752969</v>
      </c>
      <c r="Q270" s="275">
        <f t="shared" si="31"/>
        <v>12.601609649462135</v>
      </c>
      <c r="R270" s="171"/>
    </row>
    <row r="271" spans="2:18">
      <c r="B271" s="94">
        <f t="shared" si="28"/>
        <v>2044</v>
      </c>
      <c r="C271" s="1">
        <f t="shared" si="29"/>
        <v>2</v>
      </c>
      <c r="D271" s="213">
        <v>52628</v>
      </c>
      <c r="E271" s="1" t="str">
        <f t="shared" si="30"/>
        <v>2-2044</v>
      </c>
      <c r="F271" s="268">
        <f>'IEPR Gas Prices Real'!F271*(INDEX('GDP Deflator'!$C$5:$C$89,MATCH('IEPR Gas Prices Nominal'!$B271,'GDP Deflator'!$B$5:$B$89,0))/100)</f>
        <v>8.281509733535378</v>
      </c>
      <c r="G271" s="269">
        <f>'IEPR Gas Prices Real'!G271*(INDEX('GDP Deflator'!$C$5:$C$89,MATCH('IEPR Gas Prices Nominal'!$B271,'GDP Deflator'!$B$5:$B$89,0))/100)</f>
        <v>3.2792119522902752</v>
      </c>
      <c r="H271" s="270">
        <f>'IEPR Gas Prices Real'!H271*(INDEX('GDP Deflator'!$C$5:$C$89,MATCH('IEPR Gas Prices Nominal'!$B271,'GDP Deflator'!$B$5:$B$89,0))/100)</f>
        <v>11.560721685825653</v>
      </c>
      <c r="I271" s="269">
        <f>'IEPR Gas Prices Real'!I271*(INDEX('GDP Deflator'!$C$5:$C$89,MATCH('IEPR Gas Prices Nominal'!$B271,'GDP Deflator'!$B$5:$B$89,0))/100)</f>
        <v>8.6846773509780686</v>
      </c>
      <c r="J271" s="269">
        <f>'IEPR Gas Prices Real'!J271*(INDEX('GDP Deflator'!$C$5:$C$89,MATCH('IEPR Gas Prices Nominal'!$B271,'GDP Deflator'!$B$5:$B$89,0))/100)</f>
        <v>5.4161807758842793</v>
      </c>
      <c r="K271" s="269">
        <f>'IEPR Gas Prices Real'!K271*(INDEX('GDP Deflator'!$C$5:$C$89,MATCH('IEPR Gas Prices Nominal'!$B271,'GDP Deflator'!$B$5:$B$89,0))/100)</f>
        <v>14.100858126862347</v>
      </c>
      <c r="L271" s="268">
        <f>'IEPR Gas Prices Real'!L271*(INDEX('GDP Deflator'!$C$5:$C$89,MATCH('IEPR Gas Prices Nominal'!$B271,'GDP Deflator'!$B$5:$B$89,0))/100)</f>
        <v>9.0028172074172019</v>
      </c>
      <c r="M271" s="269">
        <f>'IEPR Gas Prices Real'!M271*(INDEX('GDP Deflator'!$C$5:$C$89,MATCH('IEPR Gas Prices Nominal'!$B271,'GDP Deflator'!$B$5:$B$89,0))/100)</f>
        <v>2.557813508885963</v>
      </c>
      <c r="N271" s="270">
        <f>'IEPR Gas Prices Real'!N271*(INDEX('GDP Deflator'!$C$5:$C$89,MATCH('IEPR Gas Prices Nominal'!$B271,'GDP Deflator'!$B$5:$B$89,0))/100)</f>
        <v>11.560630716303166</v>
      </c>
      <c r="O271" s="1"/>
      <c r="P271" s="274">
        <f t="shared" si="27"/>
        <v>8.6563347639768828</v>
      </c>
      <c r="Q271" s="275">
        <f t="shared" si="31"/>
        <v>12.407403509663723</v>
      </c>
      <c r="R271" s="171"/>
    </row>
    <row r="272" spans="2:18">
      <c r="B272" s="94">
        <f t="shared" si="28"/>
        <v>2044</v>
      </c>
      <c r="C272" s="1">
        <f t="shared" si="29"/>
        <v>3</v>
      </c>
      <c r="D272" s="213">
        <v>52657</v>
      </c>
      <c r="E272" s="1" t="str">
        <f t="shared" si="30"/>
        <v>3-2044</v>
      </c>
      <c r="F272" s="268">
        <f>'IEPR Gas Prices Real'!F272*(INDEX('GDP Deflator'!$C$5:$C$89,MATCH('IEPR Gas Prices Nominal'!$B272,'GDP Deflator'!$B$5:$B$89,0))/100)</f>
        <v>7.6023656841746492</v>
      </c>
      <c r="G272" s="269">
        <f>'IEPR Gas Prices Real'!G272*(INDEX('GDP Deflator'!$C$5:$C$89,MATCH('IEPR Gas Prices Nominal'!$B272,'GDP Deflator'!$B$5:$B$89,0))/100)</f>
        <v>3.2792119522902752</v>
      </c>
      <c r="H272" s="270">
        <f>'IEPR Gas Prices Real'!H272*(INDEX('GDP Deflator'!$C$5:$C$89,MATCH('IEPR Gas Prices Nominal'!$B272,'GDP Deflator'!$B$5:$B$89,0))/100)</f>
        <v>10.881577636464923</v>
      </c>
      <c r="I272" s="269">
        <f>'IEPR Gas Prices Real'!I272*(INDEX('GDP Deflator'!$C$5:$C$89,MATCH('IEPR Gas Prices Nominal'!$B272,'GDP Deflator'!$B$5:$B$89,0))/100)</f>
        <v>7.9723819080391669</v>
      </c>
      <c r="J272" s="269">
        <f>'IEPR Gas Prices Real'!J272*(INDEX('GDP Deflator'!$C$5:$C$89,MATCH('IEPR Gas Prices Nominal'!$B272,'GDP Deflator'!$B$5:$B$89,0))/100)</f>
        <v>5.4161807758842793</v>
      </c>
      <c r="K272" s="269">
        <f>'IEPR Gas Prices Real'!K272*(INDEX('GDP Deflator'!$C$5:$C$89,MATCH('IEPR Gas Prices Nominal'!$B272,'GDP Deflator'!$B$5:$B$89,0))/100)</f>
        <v>13.388562683923446</v>
      </c>
      <c r="L272" s="268">
        <f>'IEPR Gas Prices Real'!L272*(INDEX('GDP Deflator'!$C$5:$C$89,MATCH('IEPR Gas Prices Nominal'!$B272,'GDP Deflator'!$B$5:$B$89,0))/100)</f>
        <v>8.2644317949042527</v>
      </c>
      <c r="M272" s="269">
        <f>'IEPR Gas Prices Real'!M272*(INDEX('GDP Deflator'!$C$5:$C$89,MATCH('IEPR Gas Prices Nominal'!$B272,'GDP Deflator'!$B$5:$B$89,0))/100)</f>
        <v>2.557813508885963</v>
      </c>
      <c r="N272" s="270">
        <f>'IEPR Gas Prices Real'!N272*(INDEX('GDP Deflator'!$C$5:$C$89,MATCH('IEPR Gas Prices Nominal'!$B272,'GDP Deflator'!$B$5:$B$89,0))/100)</f>
        <v>10.822245303790215</v>
      </c>
      <c r="O272" s="1"/>
      <c r="P272" s="274">
        <f t="shared" si="27"/>
        <v>7.9463931290393566</v>
      </c>
      <c r="Q272" s="275">
        <f t="shared" si="31"/>
        <v>11.697461874726196</v>
      </c>
      <c r="R272" s="171"/>
    </row>
    <row r="273" spans="2:18">
      <c r="B273" s="94">
        <f t="shared" si="28"/>
        <v>2044</v>
      </c>
      <c r="C273" s="1">
        <f t="shared" si="29"/>
        <v>4</v>
      </c>
      <c r="D273" s="213">
        <v>52688</v>
      </c>
      <c r="E273" s="1" t="str">
        <f t="shared" si="30"/>
        <v>4-2044</v>
      </c>
      <c r="F273" s="268">
        <f>'IEPR Gas Prices Real'!F273*(INDEX('GDP Deflator'!$C$5:$C$89,MATCH('IEPR Gas Prices Nominal'!$B273,'GDP Deflator'!$B$5:$B$89,0))/100)</f>
        <v>7.4729270316404941</v>
      </c>
      <c r="G273" s="269">
        <f>'IEPR Gas Prices Real'!G273*(INDEX('GDP Deflator'!$C$5:$C$89,MATCH('IEPR Gas Prices Nominal'!$B273,'GDP Deflator'!$B$5:$B$89,0))/100)</f>
        <v>3.2792119522902752</v>
      </c>
      <c r="H273" s="270">
        <f>'IEPR Gas Prices Real'!H273*(INDEX('GDP Deflator'!$C$5:$C$89,MATCH('IEPR Gas Prices Nominal'!$B273,'GDP Deflator'!$B$5:$B$89,0))/100)</f>
        <v>10.75213898393077</v>
      </c>
      <c r="I273" s="269">
        <f>'IEPR Gas Prices Real'!I273*(INDEX('GDP Deflator'!$C$5:$C$89,MATCH('IEPR Gas Prices Nominal'!$B273,'GDP Deflator'!$B$5:$B$89,0))/100)</f>
        <v>7.8365561071796286</v>
      </c>
      <c r="J273" s="269">
        <f>'IEPR Gas Prices Real'!J273*(INDEX('GDP Deflator'!$C$5:$C$89,MATCH('IEPR Gas Prices Nominal'!$B273,'GDP Deflator'!$B$5:$B$89,0))/100)</f>
        <v>5.4161807758842793</v>
      </c>
      <c r="K273" s="269">
        <f>'IEPR Gas Prices Real'!K273*(INDEX('GDP Deflator'!$C$5:$C$89,MATCH('IEPR Gas Prices Nominal'!$B273,'GDP Deflator'!$B$5:$B$89,0))/100)</f>
        <v>13.252736883063909</v>
      </c>
      <c r="L273" s="268">
        <f>'IEPR Gas Prices Real'!L273*(INDEX('GDP Deflator'!$C$5:$C$89,MATCH('IEPR Gas Prices Nominal'!$B273,'GDP Deflator'!$B$5:$B$89,0))/100)</f>
        <v>8.123633339327899</v>
      </c>
      <c r="M273" s="269">
        <f>'IEPR Gas Prices Real'!M273*(INDEX('GDP Deflator'!$C$5:$C$89,MATCH('IEPR Gas Prices Nominal'!$B273,'GDP Deflator'!$B$5:$B$89,0))/100)</f>
        <v>2.557813508885963</v>
      </c>
      <c r="N273" s="270">
        <f>'IEPR Gas Prices Real'!N273*(INDEX('GDP Deflator'!$C$5:$C$89,MATCH('IEPR Gas Prices Nominal'!$B273,'GDP Deflator'!$B$5:$B$89,0))/100)</f>
        <v>10.681446848213863</v>
      </c>
      <c r="O273" s="1"/>
      <c r="P273" s="274">
        <f t="shared" si="27"/>
        <v>7.8110388260493409</v>
      </c>
      <c r="Q273" s="275">
        <f t="shared" si="31"/>
        <v>11.562107571736183</v>
      </c>
      <c r="R273" s="171"/>
    </row>
    <row r="274" spans="2:18">
      <c r="B274" s="94">
        <f t="shared" si="28"/>
        <v>2044</v>
      </c>
      <c r="C274" s="1">
        <f t="shared" si="29"/>
        <v>5</v>
      </c>
      <c r="D274" s="213">
        <v>52718</v>
      </c>
      <c r="E274" s="1" t="str">
        <f t="shared" si="30"/>
        <v>5-2044</v>
      </c>
      <c r="F274" s="268">
        <f>'IEPR Gas Prices Real'!F274*(INDEX('GDP Deflator'!$C$5:$C$89,MATCH('IEPR Gas Prices Nominal'!$B274,'GDP Deflator'!$B$5:$B$89,0))/100)</f>
        <v>7.7329231472646214</v>
      </c>
      <c r="G274" s="269">
        <f>'IEPR Gas Prices Real'!G274*(INDEX('GDP Deflator'!$C$5:$C$89,MATCH('IEPR Gas Prices Nominal'!$B274,'GDP Deflator'!$B$5:$B$89,0))/100)</f>
        <v>3.2792119522902752</v>
      </c>
      <c r="H274" s="270">
        <f>'IEPR Gas Prices Real'!H274*(INDEX('GDP Deflator'!$C$5:$C$89,MATCH('IEPR Gas Prices Nominal'!$B274,'GDP Deflator'!$B$5:$B$89,0))/100)</f>
        <v>11.012135099554897</v>
      </c>
      <c r="I274" s="269">
        <f>'IEPR Gas Prices Real'!I274*(INDEX('GDP Deflator'!$C$5:$C$89,MATCH('IEPR Gas Prices Nominal'!$B274,'GDP Deflator'!$B$5:$B$89,0))/100)</f>
        <v>8.109113251934815</v>
      </c>
      <c r="J274" s="269">
        <f>'IEPR Gas Prices Real'!J274*(INDEX('GDP Deflator'!$C$5:$C$89,MATCH('IEPR Gas Prices Nominal'!$B274,'GDP Deflator'!$B$5:$B$89,0))/100)</f>
        <v>5.4161807758842793</v>
      </c>
      <c r="K274" s="269">
        <f>'IEPR Gas Prices Real'!K274*(INDEX('GDP Deflator'!$C$5:$C$89,MATCH('IEPR Gas Prices Nominal'!$B274,'GDP Deflator'!$B$5:$B$89,0))/100)</f>
        <v>13.525294027819095</v>
      </c>
      <c r="L274" s="268">
        <f>'IEPR Gas Prices Real'!L274*(INDEX('GDP Deflator'!$C$5:$C$89,MATCH('IEPR Gas Prices Nominal'!$B274,'GDP Deflator'!$B$5:$B$89,0))/100)</f>
        <v>8.4061782097839242</v>
      </c>
      <c r="M274" s="269">
        <f>'IEPR Gas Prices Real'!M274*(INDEX('GDP Deflator'!$C$5:$C$89,MATCH('IEPR Gas Prices Nominal'!$B274,'GDP Deflator'!$B$5:$B$89,0))/100)</f>
        <v>2.557813508885963</v>
      </c>
      <c r="N274" s="270">
        <f>'IEPR Gas Prices Real'!N274*(INDEX('GDP Deflator'!$C$5:$C$89,MATCH('IEPR Gas Prices Nominal'!$B274,'GDP Deflator'!$B$5:$B$89,0))/100)</f>
        <v>10.963991718669888</v>
      </c>
      <c r="O274" s="1"/>
      <c r="P274" s="274">
        <f t="shared" si="27"/>
        <v>8.0827382029944541</v>
      </c>
      <c r="Q274" s="275">
        <f t="shared" si="31"/>
        <v>11.833806948681293</v>
      </c>
      <c r="R274" s="171"/>
    </row>
    <row r="275" spans="2:18">
      <c r="B275" s="94">
        <f t="shared" si="28"/>
        <v>2044</v>
      </c>
      <c r="C275" s="1">
        <f t="shared" si="29"/>
        <v>6</v>
      </c>
      <c r="D275" s="213">
        <v>52749</v>
      </c>
      <c r="E275" s="1" t="str">
        <f t="shared" si="30"/>
        <v>6-2044</v>
      </c>
      <c r="F275" s="268">
        <f>'IEPR Gas Prices Real'!F275*(INDEX('GDP Deflator'!$C$5:$C$89,MATCH('IEPR Gas Prices Nominal'!$B275,'GDP Deflator'!$B$5:$B$89,0))/100)</f>
        <v>7.9327502532920358</v>
      </c>
      <c r="G275" s="269">
        <f>'IEPR Gas Prices Real'!G275*(INDEX('GDP Deflator'!$C$5:$C$89,MATCH('IEPR Gas Prices Nominal'!$B275,'GDP Deflator'!$B$5:$B$89,0))/100)</f>
        <v>3.2792119522902752</v>
      </c>
      <c r="H275" s="270">
        <f>'IEPR Gas Prices Real'!H275*(INDEX('GDP Deflator'!$C$5:$C$89,MATCH('IEPR Gas Prices Nominal'!$B275,'GDP Deflator'!$B$5:$B$89,0))/100)</f>
        <v>11.211962205582312</v>
      </c>
      <c r="I275" s="269">
        <f>'IEPR Gas Prices Real'!I275*(INDEX('GDP Deflator'!$C$5:$C$89,MATCH('IEPR Gas Prices Nominal'!$B275,'GDP Deflator'!$B$5:$B$89,0))/100)</f>
        <v>8.3185689172506176</v>
      </c>
      <c r="J275" s="269">
        <f>'IEPR Gas Prices Real'!J275*(INDEX('GDP Deflator'!$C$5:$C$89,MATCH('IEPR Gas Prices Nominal'!$B275,'GDP Deflator'!$B$5:$B$89,0))/100)</f>
        <v>5.4161807758842793</v>
      </c>
      <c r="K275" s="269">
        <f>'IEPR Gas Prices Real'!K275*(INDEX('GDP Deflator'!$C$5:$C$89,MATCH('IEPR Gas Prices Nominal'!$B275,'GDP Deflator'!$B$5:$B$89,0))/100)</f>
        <v>13.734749693134896</v>
      </c>
      <c r="L275" s="268">
        <f>'IEPR Gas Prices Real'!L275*(INDEX('GDP Deflator'!$C$5:$C$89,MATCH('IEPR Gas Prices Nominal'!$B275,'GDP Deflator'!$B$5:$B$89,0))/100)</f>
        <v>8.6233101602903623</v>
      </c>
      <c r="M275" s="269">
        <f>'IEPR Gas Prices Real'!M275*(INDEX('GDP Deflator'!$C$5:$C$89,MATCH('IEPR Gas Prices Nominal'!$B275,'GDP Deflator'!$B$5:$B$89,0))/100)</f>
        <v>2.557813508885963</v>
      </c>
      <c r="N275" s="270">
        <f>'IEPR Gas Prices Real'!N275*(INDEX('GDP Deflator'!$C$5:$C$89,MATCH('IEPR Gas Prices Nominal'!$B275,'GDP Deflator'!$B$5:$B$89,0))/100)</f>
        <v>11.181123669176324</v>
      </c>
      <c r="O275" s="1"/>
      <c r="P275" s="274">
        <f t="shared" si="27"/>
        <v>8.2915431102776722</v>
      </c>
      <c r="Q275" s="275">
        <f t="shared" si="31"/>
        <v>12.042611855964511</v>
      </c>
      <c r="R275" s="171"/>
    </row>
    <row r="276" spans="2:18">
      <c r="B276" s="94">
        <f t="shared" si="28"/>
        <v>2044</v>
      </c>
      <c r="C276" s="1">
        <f t="shared" si="29"/>
        <v>7</v>
      </c>
      <c r="D276" s="213">
        <v>52779</v>
      </c>
      <c r="E276" s="1" t="str">
        <f t="shared" si="30"/>
        <v>7-2044</v>
      </c>
      <c r="F276" s="268">
        <f>'IEPR Gas Prices Real'!F276*(INDEX('GDP Deflator'!$C$5:$C$89,MATCH('IEPR Gas Prices Nominal'!$B276,'GDP Deflator'!$B$5:$B$89,0))/100)</f>
        <v>7.9955990317462042</v>
      </c>
      <c r="G276" s="269">
        <f>'IEPR Gas Prices Real'!G276*(INDEX('GDP Deflator'!$C$5:$C$89,MATCH('IEPR Gas Prices Nominal'!$B276,'GDP Deflator'!$B$5:$B$89,0))/100)</f>
        <v>3.2792119522902752</v>
      </c>
      <c r="H276" s="270">
        <f>'IEPR Gas Prices Real'!H276*(INDEX('GDP Deflator'!$C$5:$C$89,MATCH('IEPR Gas Prices Nominal'!$B276,'GDP Deflator'!$B$5:$B$89,0))/100)</f>
        <v>11.274810984036479</v>
      </c>
      <c r="I276" s="269">
        <f>'IEPR Gas Prices Real'!I276*(INDEX('GDP Deflator'!$C$5:$C$89,MATCH('IEPR Gas Prices Nominal'!$B276,'GDP Deflator'!$B$5:$B$89,0))/100)</f>
        <v>8.3843810764411106</v>
      </c>
      <c r="J276" s="269">
        <f>'IEPR Gas Prices Real'!J276*(INDEX('GDP Deflator'!$C$5:$C$89,MATCH('IEPR Gas Prices Nominal'!$B276,'GDP Deflator'!$B$5:$B$89,0))/100)</f>
        <v>5.4161807758842793</v>
      </c>
      <c r="K276" s="269">
        <f>'IEPR Gas Prices Real'!K276*(INDEX('GDP Deflator'!$C$5:$C$89,MATCH('IEPR Gas Prices Nominal'!$B276,'GDP Deflator'!$B$5:$B$89,0))/100)</f>
        <v>13.800561852325389</v>
      </c>
      <c r="L276" s="268">
        <f>'IEPR Gas Prices Real'!L276*(INDEX('GDP Deflator'!$C$5:$C$89,MATCH('IEPR Gas Prices Nominal'!$B276,'GDP Deflator'!$B$5:$B$89,0))/100)</f>
        <v>8.6915364955859005</v>
      </c>
      <c r="M276" s="269">
        <f>'IEPR Gas Prices Real'!M276*(INDEX('GDP Deflator'!$C$5:$C$89,MATCH('IEPR Gas Prices Nominal'!$B276,'GDP Deflator'!$B$5:$B$89,0))/100)</f>
        <v>2.557813508885963</v>
      </c>
      <c r="N276" s="270">
        <f>'IEPR Gas Prices Real'!N276*(INDEX('GDP Deflator'!$C$5:$C$89,MATCH('IEPR Gas Prices Nominal'!$B276,'GDP Deflator'!$B$5:$B$89,0))/100)</f>
        <v>11.249350004471863</v>
      </c>
      <c r="O276" s="1"/>
      <c r="P276" s="274">
        <f t="shared" si="27"/>
        <v>8.3571722012577379</v>
      </c>
      <c r="Q276" s="275">
        <f t="shared" si="31"/>
        <v>12.108240946944576</v>
      </c>
      <c r="R276" s="171"/>
    </row>
    <row r="277" spans="2:18">
      <c r="B277" s="94">
        <f t="shared" si="28"/>
        <v>2044</v>
      </c>
      <c r="C277" s="1">
        <f t="shared" si="29"/>
        <v>8</v>
      </c>
      <c r="D277" s="213">
        <v>52810</v>
      </c>
      <c r="E277" s="1" t="str">
        <f t="shared" si="30"/>
        <v>8-2044</v>
      </c>
      <c r="F277" s="268">
        <f>'IEPR Gas Prices Real'!F277*(INDEX('GDP Deflator'!$C$5:$C$89,MATCH('IEPR Gas Prices Nominal'!$B277,'GDP Deflator'!$B$5:$B$89,0))/100)</f>
        <v>7.9337559014033223</v>
      </c>
      <c r="G277" s="269">
        <f>'IEPR Gas Prices Real'!G277*(INDEX('GDP Deflator'!$C$5:$C$89,MATCH('IEPR Gas Prices Nominal'!$B277,'GDP Deflator'!$B$5:$B$89,0))/100)</f>
        <v>3.2792119522902752</v>
      </c>
      <c r="H277" s="270">
        <f>'IEPR Gas Prices Real'!H277*(INDEX('GDP Deflator'!$C$5:$C$89,MATCH('IEPR Gas Prices Nominal'!$B277,'GDP Deflator'!$B$5:$B$89,0))/100)</f>
        <v>11.212967853693598</v>
      </c>
      <c r="I277" s="269">
        <f>'IEPR Gas Prices Real'!I277*(INDEX('GDP Deflator'!$C$5:$C$89,MATCH('IEPR Gas Prices Nominal'!$B277,'GDP Deflator'!$B$5:$B$89,0))/100)</f>
        <v>8.3194382230436243</v>
      </c>
      <c r="J277" s="269">
        <f>'IEPR Gas Prices Real'!J277*(INDEX('GDP Deflator'!$C$5:$C$89,MATCH('IEPR Gas Prices Nominal'!$B277,'GDP Deflator'!$B$5:$B$89,0))/100)</f>
        <v>5.4161807758842793</v>
      </c>
      <c r="K277" s="269">
        <f>'IEPR Gas Prices Real'!K277*(INDEX('GDP Deflator'!$C$5:$C$89,MATCH('IEPR Gas Prices Nominal'!$B277,'GDP Deflator'!$B$5:$B$89,0))/100)</f>
        <v>13.735618998927903</v>
      </c>
      <c r="L277" s="268">
        <f>'IEPR Gas Prices Real'!L277*(INDEX('GDP Deflator'!$C$5:$C$89,MATCH('IEPR Gas Prices Nominal'!$B277,'GDP Deflator'!$B$5:$B$89,0))/100)</f>
        <v>8.6242177086694589</v>
      </c>
      <c r="M277" s="269">
        <f>'IEPR Gas Prices Real'!M277*(INDEX('GDP Deflator'!$C$5:$C$89,MATCH('IEPR Gas Prices Nominal'!$B277,'GDP Deflator'!$B$5:$B$89,0))/100)</f>
        <v>2.557813508885963</v>
      </c>
      <c r="N277" s="270">
        <f>'IEPR Gas Prices Real'!N277*(INDEX('GDP Deflator'!$C$5:$C$89,MATCH('IEPR Gas Prices Nominal'!$B277,'GDP Deflator'!$B$5:$B$89,0))/100)</f>
        <v>11.182031217555423</v>
      </c>
      <c r="O277" s="1"/>
      <c r="P277" s="274">
        <f t="shared" si="27"/>
        <v>8.2924706110388016</v>
      </c>
      <c r="Q277" s="275">
        <f t="shared" si="31"/>
        <v>12.04353935672564</v>
      </c>
      <c r="R277" s="171"/>
    </row>
    <row r="278" spans="2:18">
      <c r="B278" s="94">
        <f t="shared" si="28"/>
        <v>2044</v>
      </c>
      <c r="C278" s="1">
        <f t="shared" si="29"/>
        <v>9</v>
      </c>
      <c r="D278" s="213">
        <v>52841</v>
      </c>
      <c r="E278" s="1" t="str">
        <f t="shared" si="30"/>
        <v>9-2044</v>
      </c>
      <c r="F278" s="268">
        <f>'IEPR Gas Prices Real'!F278*(INDEX('GDP Deflator'!$C$5:$C$89,MATCH('IEPR Gas Prices Nominal'!$B278,'GDP Deflator'!$B$5:$B$89,0))/100)</f>
        <v>8.0452655547648622</v>
      </c>
      <c r="G278" s="269">
        <f>'IEPR Gas Prices Real'!G278*(INDEX('GDP Deflator'!$C$5:$C$89,MATCH('IEPR Gas Prices Nominal'!$B278,'GDP Deflator'!$B$5:$B$89,0))/100)</f>
        <v>3.2792119522902752</v>
      </c>
      <c r="H278" s="270">
        <f>'IEPR Gas Prices Real'!H278*(INDEX('GDP Deflator'!$C$5:$C$89,MATCH('IEPR Gas Prices Nominal'!$B278,'GDP Deflator'!$B$5:$B$89,0))/100)</f>
        <v>11.324477507055136</v>
      </c>
      <c r="I278" s="269">
        <f>'IEPR Gas Prices Real'!I278*(INDEX('GDP Deflator'!$C$5:$C$89,MATCH('IEPR Gas Prices Nominal'!$B278,'GDP Deflator'!$B$5:$B$89,0))/100)</f>
        <v>8.4362747329007082</v>
      </c>
      <c r="J278" s="269">
        <f>'IEPR Gas Prices Real'!J278*(INDEX('GDP Deflator'!$C$5:$C$89,MATCH('IEPR Gas Prices Nominal'!$B278,'GDP Deflator'!$B$5:$B$89,0))/100)</f>
        <v>5.4161807758842793</v>
      </c>
      <c r="K278" s="269">
        <f>'IEPR Gas Prices Real'!K278*(INDEX('GDP Deflator'!$C$5:$C$89,MATCH('IEPR Gas Prices Nominal'!$B278,'GDP Deflator'!$B$5:$B$89,0))/100)</f>
        <v>13.852455508784987</v>
      </c>
      <c r="L278" s="268">
        <f>'IEPR Gas Prices Real'!L278*(INDEX('GDP Deflator'!$C$5:$C$89,MATCH('IEPR Gas Prices Nominal'!$B278,'GDP Deflator'!$B$5:$B$89,0))/100)</f>
        <v>8.7453377238731687</v>
      </c>
      <c r="M278" s="269">
        <f>'IEPR Gas Prices Real'!M278*(INDEX('GDP Deflator'!$C$5:$C$89,MATCH('IEPR Gas Prices Nominal'!$B278,'GDP Deflator'!$B$5:$B$89,0))/100)</f>
        <v>2.557813508885963</v>
      </c>
      <c r="N278" s="270">
        <f>'IEPR Gas Prices Real'!N278*(INDEX('GDP Deflator'!$C$5:$C$89,MATCH('IEPR Gas Prices Nominal'!$B278,'GDP Deflator'!$B$5:$B$89,0))/100)</f>
        <v>11.303151232759131</v>
      </c>
      <c r="O278" s="1"/>
      <c r="P278" s="274">
        <f t="shared" si="27"/>
        <v>8.4089593371795797</v>
      </c>
      <c r="Q278" s="275">
        <f t="shared" si="31"/>
        <v>12.160028082866418</v>
      </c>
      <c r="R278" s="171"/>
    </row>
    <row r="279" spans="2:18">
      <c r="B279" s="94">
        <f t="shared" si="28"/>
        <v>2044</v>
      </c>
      <c r="C279" s="1">
        <f t="shared" si="29"/>
        <v>10</v>
      </c>
      <c r="D279" s="213">
        <v>52871</v>
      </c>
      <c r="E279" s="1" t="str">
        <f t="shared" si="30"/>
        <v>10-2044</v>
      </c>
      <c r="F279" s="268">
        <f>'IEPR Gas Prices Real'!F279*(INDEX('GDP Deflator'!$C$5:$C$89,MATCH('IEPR Gas Prices Nominal'!$B279,'GDP Deflator'!$B$5:$B$89,0))/100)</f>
        <v>7.9988195899715011</v>
      </c>
      <c r="G279" s="269">
        <f>'IEPR Gas Prices Real'!G279*(INDEX('GDP Deflator'!$C$5:$C$89,MATCH('IEPR Gas Prices Nominal'!$B279,'GDP Deflator'!$B$5:$B$89,0))/100)</f>
        <v>3.2792119522902752</v>
      </c>
      <c r="H279" s="270">
        <f>'IEPR Gas Prices Real'!H279*(INDEX('GDP Deflator'!$C$5:$C$89,MATCH('IEPR Gas Prices Nominal'!$B279,'GDP Deflator'!$B$5:$B$89,0))/100)</f>
        <v>11.278031542261775</v>
      </c>
      <c r="I279" s="269">
        <f>'IEPR Gas Prices Real'!I279*(INDEX('GDP Deflator'!$C$5:$C$89,MATCH('IEPR Gas Prices Nominal'!$B279,'GDP Deflator'!$B$5:$B$89,0))/100)</f>
        <v>8.3874780299816685</v>
      </c>
      <c r="J279" s="269">
        <f>'IEPR Gas Prices Real'!J279*(INDEX('GDP Deflator'!$C$5:$C$89,MATCH('IEPR Gas Prices Nominal'!$B279,'GDP Deflator'!$B$5:$B$89,0))/100)</f>
        <v>5.4161807758842793</v>
      </c>
      <c r="K279" s="269">
        <f>'IEPR Gas Prices Real'!K279*(INDEX('GDP Deflator'!$C$5:$C$89,MATCH('IEPR Gas Prices Nominal'!$B279,'GDP Deflator'!$B$5:$B$89,0))/100)</f>
        <v>13.803658805865947</v>
      </c>
      <c r="L279" s="268">
        <f>'IEPR Gas Prices Real'!L279*(INDEX('GDP Deflator'!$C$5:$C$89,MATCH('IEPR Gas Prices Nominal'!$B279,'GDP Deflator'!$B$5:$B$89,0))/100)</f>
        <v>8.6947565788242684</v>
      </c>
      <c r="M279" s="269">
        <f>'IEPR Gas Prices Real'!M279*(INDEX('GDP Deflator'!$C$5:$C$89,MATCH('IEPR Gas Prices Nominal'!$B279,'GDP Deflator'!$B$5:$B$89,0))/100)</f>
        <v>2.557813508885963</v>
      </c>
      <c r="N279" s="270">
        <f>'IEPR Gas Prices Real'!N279*(INDEX('GDP Deflator'!$C$5:$C$89,MATCH('IEPR Gas Prices Nominal'!$B279,'GDP Deflator'!$B$5:$B$89,0))/100)</f>
        <v>11.252570087710232</v>
      </c>
      <c r="O279" s="1"/>
      <c r="P279" s="274">
        <f t="shared" si="27"/>
        <v>8.3603513995924796</v>
      </c>
      <c r="Q279" s="275">
        <f t="shared" si="31"/>
        <v>12.111420145279318</v>
      </c>
      <c r="R279" s="171"/>
    </row>
    <row r="280" spans="2:18">
      <c r="B280" s="94">
        <f t="shared" si="28"/>
        <v>2044</v>
      </c>
      <c r="C280" s="1">
        <f t="shared" si="29"/>
        <v>11</v>
      </c>
      <c r="D280" s="213">
        <v>52902</v>
      </c>
      <c r="E280" s="1" t="str">
        <f t="shared" si="30"/>
        <v>11-2044</v>
      </c>
      <c r="F280" s="268">
        <f>'IEPR Gas Prices Real'!F280*(INDEX('GDP Deflator'!$C$5:$C$89,MATCH('IEPR Gas Prices Nominal'!$B280,'GDP Deflator'!$B$5:$B$89,0))/100)</f>
        <v>8.3940867138685817</v>
      </c>
      <c r="G280" s="269">
        <f>'IEPR Gas Prices Real'!G280*(INDEX('GDP Deflator'!$C$5:$C$89,MATCH('IEPR Gas Prices Nominal'!$B280,'GDP Deflator'!$B$5:$B$89,0))/100)</f>
        <v>3.2792119522902752</v>
      </c>
      <c r="H280" s="270">
        <f>'IEPR Gas Prices Real'!H280*(INDEX('GDP Deflator'!$C$5:$C$89,MATCH('IEPR Gas Prices Nominal'!$B280,'GDP Deflator'!$B$5:$B$89,0))/100)</f>
        <v>11.673298666158859</v>
      </c>
      <c r="I280" s="269">
        <f>'IEPR Gas Prices Real'!I280*(INDEX('GDP Deflator'!$C$5:$C$89,MATCH('IEPR Gas Prices Nominal'!$B280,'GDP Deflator'!$B$5:$B$89,0))/100)</f>
        <v>8.8018529387478583</v>
      </c>
      <c r="J280" s="269">
        <f>'IEPR Gas Prices Real'!J280*(INDEX('GDP Deflator'!$C$5:$C$89,MATCH('IEPR Gas Prices Nominal'!$B280,'GDP Deflator'!$B$5:$B$89,0))/100)</f>
        <v>5.4161807758842793</v>
      </c>
      <c r="K280" s="269">
        <f>'IEPR Gas Prices Real'!K280*(INDEX('GDP Deflator'!$C$5:$C$89,MATCH('IEPR Gas Prices Nominal'!$B280,'GDP Deflator'!$B$5:$B$89,0))/100)</f>
        <v>14.218033714632138</v>
      </c>
      <c r="L280" s="268">
        <f>'IEPR Gas Prices Real'!L280*(INDEX('GDP Deflator'!$C$5:$C$89,MATCH('IEPR Gas Prices Nominal'!$B280,'GDP Deflator'!$B$5:$B$89,0))/100)</f>
        <v>9.1243156602176008</v>
      </c>
      <c r="M280" s="269">
        <f>'IEPR Gas Prices Real'!M280*(INDEX('GDP Deflator'!$C$5:$C$89,MATCH('IEPR Gas Prices Nominal'!$B280,'GDP Deflator'!$B$5:$B$89,0))/100)</f>
        <v>2.557813508885963</v>
      </c>
      <c r="N280" s="270">
        <f>'IEPR Gas Prices Real'!N280*(INDEX('GDP Deflator'!$C$5:$C$89,MATCH('IEPR Gas Prices Nominal'!$B280,'GDP Deflator'!$B$5:$B$89,0))/100)</f>
        <v>11.682129169103563</v>
      </c>
      <c r="O280" s="1"/>
      <c r="P280" s="274">
        <f t="shared" si="27"/>
        <v>8.7734184376113458</v>
      </c>
      <c r="Q280" s="275">
        <f t="shared" si="31"/>
        <v>12.524487183298186</v>
      </c>
      <c r="R280" s="171"/>
    </row>
    <row r="281" spans="2:18">
      <c r="B281" s="94">
        <f t="shared" si="28"/>
        <v>2044</v>
      </c>
      <c r="C281" s="1">
        <f t="shared" si="29"/>
        <v>12</v>
      </c>
      <c r="D281" s="213">
        <v>52932</v>
      </c>
      <c r="E281" s="1" t="str">
        <f t="shared" si="30"/>
        <v>12-2044</v>
      </c>
      <c r="F281" s="268">
        <f>'IEPR Gas Prices Real'!F281*(INDEX('GDP Deflator'!$C$5:$C$89,MATCH('IEPR Gas Prices Nominal'!$B281,'GDP Deflator'!$B$5:$B$89,0))/100)</f>
        <v>8.4615143251015734</v>
      </c>
      <c r="G281" s="269">
        <f>'IEPR Gas Prices Real'!G281*(INDEX('GDP Deflator'!$C$5:$C$89,MATCH('IEPR Gas Prices Nominal'!$B281,'GDP Deflator'!$B$5:$B$89,0))/100)</f>
        <v>3.2792119522902752</v>
      </c>
      <c r="H281" s="270">
        <f>'IEPR Gas Prices Real'!H281*(INDEX('GDP Deflator'!$C$5:$C$89,MATCH('IEPR Gas Prices Nominal'!$B281,'GDP Deflator'!$B$5:$B$89,0))/100)</f>
        <v>11.740726277391849</v>
      </c>
      <c r="I281" s="269">
        <f>'IEPR Gas Prices Real'!I281*(INDEX('GDP Deflator'!$C$5:$C$89,MATCH('IEPR Gas Prices Nominal'!$B281,'GDP Deflator'!$B$5:$B$89,0))/100)</f>
        <v>8.8724571998496149</v>
      </c>
      <c r="J281" s="269">
        <f>'IEPR Gas Prices Real'!J281*(INDEX('GDP Deflator'!$C$5:$C$89,MATCH('IEPR Gas Prices Nominal'!$B281,'GDP Deflator'!$B$5:$B$89,0))/100)</f>
        <v>5.4161807758842793</v>
      </c>
      <c r="K281" s="269">
        <f>'IEPR Gas Prices Real'!K281*(INDEX('GDP Deflator'!$C$5:$C$89,MATCH('IEPR Gas Prices Nominal'!$B281,'GDP Deflator'!$B$5:$B$89,0))/100)</f>
        <v>14.288637975733893</v>
      </c>
      <c r="L281" s="268">
        <f>'IEPR Gas Prices Real'!L281*(INDEX('GDP Deflator'!$C$5:$C$89,MATCH('IEPR Gas Prices Nominal'!$B281,'GDP Deflator'!$B$5:$B$89,0))/100)</f>
        <v>9.1975099761186652</v>
      </c>
      <c r="M281" s="269">
        <f>'IEPR Gas Prices Real'!M281*(INDEX('GDP Deflator'!$C$5:$C$89,MATCH('IEPR Gas Prices Nominal'!$B281,'GDP Deflator'!$B$5:$B$89,0))/100)</f>
        <v>2.557813508885963</v>
      </c>
      <c r="N281" s="270">
        <f>'IEPR Gas Prices Real'!N281*(INDEX('GDP Deflator'!$C$5:$C$89,MATCH('IEPR Gas Prices Nominal'!$B281,'GDP Deflator'!$B$5:$B$89,0))/100)</f>
        <v>11.755323485004627</v>
      </c>
      <c r="O281" s="1"/>
      <c r="P281" s="274">
        <f t="shared" si="27"/>
        <v>8.8438271670232851</v>
      </c>
      <c r="Q281" s="275">
        <f t="shared" si="31"/>
        <v>12.594895912710124</v>
      </c>
      <c r="R281" s="171"/>
    </row>
    <row r="282" spans="2:18">
      <c r="B282" s="94">
        <f t="shared" si="28"/>
        <v>2045</v>
      </c>
      <c r="C282" s="1">
        <f t="shared" si="29"/>
        <v>1</v>
      </c>
      <c r="D282" s="213">
        <v>52963</v>
      </c>
      <c r="E282" s="1" t="str">
        <f t="shared" si="30"/>
        <v>1-2045</v>
      </c>
      <c r="F282" s="268">
        <f>'IEPR Gas Prices Real'!F282*(INDEX('GDP Deflator'!$C$5:$C$89,MATCH('IEPR Gas Prices Nominal'!$B282,'GDP Deflator'!$B$5:$B$89,0))/100)</f>
        <v>8.6539188693781988</v>
      </c>
      <c r="G282" s="269">
        <f>'IEPR Gas Prices Real'!G282*(INDEX('GDP Deflator'!$C$5:$C$89,MATCH('IEPR Gas Prices Nominal'!$B282,'GDP Deflator'!$B$5:$B$89,0))/100)</f>
        <v>3.4872963697279586</v>
      </c>
      <c r="H282" s="270">
        <f>'IEPR Gas Prices Real'!H282*(INDEX('GDP Deflator'!$C$5:$C$89,MATCH('IEPR Gas Prices Nominal'!$B282,'GDP Deflator'!$B$5:$B$89,0))/100)</f>
        <v>12.14121523910616</v>
      </c>
      <c r="I282" s="269">
        <f>'IEPR Gas Prices Real'!I282*(INDEX('GDP Deflator'!$C$5:$C$89,MATCH('IEPR Gas Prices Nominal'!$B282,'GDP Deflator'!$B$5:$B$89,0))/100)</f>
        <v>9.0741116062347444</v>
      </c>
      <c r="J282" s="269">
        <f>'IEPR Gas Prices Real'!J282*(INDEX('GDP Deflator'!$C$5:$C$89,MATCH('IEPR Gas Prices Nominal'!$B282,'GDP Deflator'!$B$5:$B$89,0))/100)</f>
        <v>5.760616942781053</v>
      </c>
      <c r="K282" s="269">
        <f>'IEPR Gas Prices Real'!K282*(INDEX('GDP Deflator'!$C$5:$C$89,MATCH('IEPR Gas Prices Nominal'!$B282,'GDP Deflator'!$B$5:$B$89,0))/100)</f>
        <v>14.834728549015797</v>
      </c>
      <c r="L282" s="268">
        <f>'IEPR Gas Prices Real'!L282*(INDEX('GDP Deflator'!$C$5:$C$89,MATCH('IEPR Gas Prices Nominal'!$B282,'GDP Deflator'!$B$5:$B$89,0))/100)</f>
        <v>9.4065563363234812</v>
      </c>
      <c r="M282" s="269">
        <f>'IEPR Gas Prices Real'!M282*(INDEX('GDP Deflator'!$C$5:$C$89,MATCH('IEPR Gas Prices Nominal'!$B282,'GDP Deflator'!$B$5:$B$89,0))/100)</f>
        <v>2.7204748965117527</v>
      </c>
      <c r="N282" s="270">
        <f>'IEPR Gas Prices Real'!N282*(INDEX('GDP Deflator'!$C$5:$C$89,MATCH('IEPR Gas Prices Nominal'!$B282,'GDP Deflator'!$B$5:$B$89,0))/100)</f>
        <v>12.127031232835234</v>
      </c>
      <c r="O282" s="1"/>
      <c r="P282" s="274">
        <f t="shared" si="27"/>
        <v>9.0448622706454742</v>
      </c>
      <c r="Q282" s="275">
        <f t="shared" si="31"/>
        <v>13.03432500698573</v>
      </c>
      <c r="R282" s="171"/>
    </row>
    <row r="283" spans="2:18">
      <c r="B283" s="94">
        <f t="shared" si="28"/>
        <v>2045</v>
      </c>
      <c r="C283" s="1">
        <f t="shared" si="29"/>
        <v>2</v>
      </c>
      <c r="D283" s="213">
        <v>52994</v>
      </c>
      <c r="E283" s="1" t="str">
        <f t="shared" si="30"/>
        <v>2-2045</v>
      </c>
      <c r="F283" s="268">
        <f>'IEPR Gas Prices Real'!F283*(INDEX('GDP Deflator'!$C$5:$C$89,MATCH('IEPR Gas Prices Nominal'!$B283,'GDP Deflator'!$B$5:$B$89,0))/100)</f>
        <v>8.4641199367289861</v>
      </c>
      <c r="G283" s="269">
        <f>'IEPR Gas Prices Real'!G283*(INDEX('GDP Deflator'!$C$5:$C$89,MATCH('IEPR Gas Prices Nominal'!$B283,'GDP Deflator'!$B$5:$B$89,0))/100)</f>
        <v>3.4872963697279586</v>
      </c>
      <c r="H283" s="270">
        <f>'IEPR Gas Prices Real'!H283*(INDEX('GDP Deflator'!$C$5:$C$89,MATCH('IEPR Gas Prices Nominal'!$B283,'GDP Deflator'!$B$5:$B$89,0))/100)</f>
        <v>11.951416306456943</v>
      </c>
      <c r="I283" s="269">
        <f>'IEPR Gas Prices Real'!I283*(INDEX('GDP Deflator'!$C$5:$C$89,MATCH('IEPR Gas Prices Nominal'!$B283,'GDP Deflator'!$B$5:$B$89,0))/100)</f>
        <v>8.875004533032314</v>
      </c>
      <c r="J283" s="269">
        <f>'IEPR Gas Prices Real'!J283*(INDEX('GDP Deflator'!$C$5:$C$89,MATCH('IEPR Gas Prices Nominal'!$B283,'GDP Deflator'!$B$5:$B$89,0))/100)</f>
        <v>5.760616942781053</v>
      </c>
      <c r="K283" s="269">
        <f>'IEPR Gas Prices Real'!K283*(INDEX('GDP Deflator'!$C$5:$C$89,MATCH('IEPR Gas Prices Nominal'!$B283,'GDP Deflator'!$B$5:$B$89,0))/100)</f>
        <v>14.635621475813368</v>
      </c>
      <c r="L283" s="268">
        <f>'IEPR Gas Prices Real'!L283*(INDEX('GDP Deflator'!$C$5:$C$89,MATCH('IEPR Gas Prices Nominal'!$B283,'GDP Deflator'!$B$5:$B$89,0))/100)</f>
        <v>9.2001586746827293</v>
      </c>
      <c r="M283" s="269">
        <f>'IEPR Gas Prices Real'!M283*(INDEX('GDP Deflator'!$C$5:$C$89,MATCH('IEPR Gas Prices Nominal'!$B283,'GDP Deflator'!$B$5:$B$89,0))/100)</f>
        <v>2.7204748965117527</v>
      </c>
      <c r="N283" s="270">
        <f>'IEPR Gas Prices Real'!N283*(INDEX('GDP Deflator'!$C$5:$C$89,MATCH('IEPR Gas Prices Nominal'!$B283,'GDP Deflator'!$B$5:$B$89,0))/100)</f>
        <v>11.920633571194481</v>
      </c>
      <c r="O283" s="1"/>
      <c r="P283" s="274">
        <f t="shared" si="27"/>
        <v>8.846427714814677</v>
      </c>
      <c r="Q283" s="275">
        <f t="shared" si="31"/>
        <v>12.835890451154931</v>
      </c>
      <c r="R283" s="171"/>
    </row>
    <row r="284" spans="2:18">
      <c r="B284" s="94">
        <f t="shared" si="28"/>
        <v>2045</v>
      </c>
      <c r="C284" s="1">
        <f t="shared" si="29"/>
        <v>3</v>
      </c>
      <c r="D284" s="213">
        <v>53022</v>
      </c>
      <c r="E284" s="1" t="str">
        <f t="shared" si="30"/>
        <v>3-2045</v>
      </c>
      <c r="F284" s="268">
        <f>'IEPR Gas Prices Real'!F284*(INDEX('GDP Deflator'!$C$5:$C$89,MATCH('IEPR Gas Prices Nominal'!$B284,'GDP Deflator'!$B$5:$B$89,0))/100)</f>
        <v>7.7700277917188441</v>
      </c>
      <c r="G284" s="269">
        <f>'IEPR Gas Prices Real'!G284*(INDEX('GDP Deflator'!$C$5:$C$89,MATCH('IEPR Gas Prices Nominal'!$B284,'GDP Deflator'!$B$5:$B$89,0))/100)</f>
        <v>3.4872963697279586</v>
      </c>
      <c r="H284" s="270">
        <f>'IEPR Gas Prices Real'!H284*(INDEX('GDP Deflator'!$C$5:$C$89,MATCH('IEPR Gas Prices Nominal'!$B284,'GDP Deflator'!$B$5:$B$89,0))/100)</f>
        <v>11.257324161446801</v>
      </c>
      <c r="I284" s="269">
        <f>'IEPR Gas Prices Real'!I284*(INDEX('GDP Deflator'!$C$5:$C$89,MATCH('IEPR Gas Prices Nominal'!$B284,'GDP Deflator'!$B$5:$B$89,0))/100)</f>
        <v>8.1471333397860288</v>
      </c>
      <c r="J284" s="269">
        <f>'IEPR Gas Prices Real'!J284*(INDEX('GDP Deflator'!$C$5:$C$89,MATCH('IEPR Gas Prices Nominal'!$B284,'GDP Deflator'!$B$5:$B$89,0))/100)</f>
        <v>5.760616942781053</v>
      </c>
      <c r="K284" s="269">
        <f>'IEPR Gas Prices Real'!K284*(INDEX('GDP Deflator'!$C$5:$C$89,MATCH('IEPR Gas Prices Nominal'!$B284,'GDP Deflator'!$B$5:$B$89,0))/100)</f>
        <v>13.907750282567081</v>
      </c>
      <c r="L284" s="268">
        <f>'IEPR Gas Prices Real'!L284*(INDEX('GDP Deflator'!$C$5:$C$89,MATCH('IEPR Gas Prices Nominal'!$B284,'GDP Deflator'!$B$5:$B$89,0))/100)</f>
        <v>8.4456241066362772</v>
      </c>
      <c r="M284" s="269">
        <f>'IEPR Gas Prices Real'!M284*(INDEX('GDP Deflator'!$C$5:$C$89,MATCH('IEPR Gas Prices Nominal'!$B284,'GDP Deflator'!$B$5:$B$89,0))/100)</f>
        <v>2.7204748965117527</v>
      </c>
      <c r="N284" s="270">
        <f>'IEPR Gas Prices Real'!N284*(INDEX('GDP Deflator'!$C$5:$C$89,MATCH('IEPR Gas Prices Nominal'!$B284,'GDP Deflator'!$B$5:$B$89,0))/100)</f>
        <v>11.166099003148029</v>
      </c>
      <c r="O284" s="1"/>
      <c r="P284" s="274">
        <f t="shared" si="27"/>
        <v>8.1209284127137167</v>
      </c>
      <c r="Q284" s="275">
        <f t="shared" si="31"/>
        <v>12.110391149053969</v>
      </c>
      <c r="R284" s="171"/>
    </row>
    <row r="285" spans="2:18">
      <c r="B285" s="94">
        <f t="shared" si="28"/>
        <v>2045</v>
      </c>
      <c r="C285" s="1">
        <f t="shared" si="29"/>
        <v>4</v>
      </c>
      <c r="D285" s="213">
        <v>53053</v>
      </c>
      <c r="E285" s="1" t="str">
        <f t="shared" si="30"/>
        <v>4-2045</v>
      </c>
      <c r="F285" s="268">
        <f>'IEPR Gas Prices Real'!F285*(INDEX('GDP Deflator'!$C$5:$C$89,MATCH('IEPR Gas Prices Nominal'!$B285,'GDP Deflator'!$B$5:$B$89,0))/100)</f>
        <v>7.637761315152237</v>
      </c>
      <c r="G285" s="269">
        <f>'IEPR Gas Prices Real'!G285*(INDEX('GDP Deflator'!$C$5:$C$89,MATCH('IEPR Gas Prices Nominal'!$B285,'GDP Deflator'!$B$5:$B$89,0))/100)</f>
        <v>3.4872963697279586</v>
      </c>
      <c r="H285" s="270">
        <f>'IEPR Gas Prices Real'!H285*(INDEX('GDP Deflator'!$C$5:$C$89,MATCH('IEPR Gas Prices Nominal'!$B285,'GDP Deflator'!$B$5:$B$89,0))/100)</f>
        <v>11.125057684880195</v>
      </c>
      <c r="I285" s="269">
        <f>'IEPR Gas Prices Real'!I285*(INDEX('GDP Deflator'!$C$5:$C$89,MATCH('IEPR Gas Prices Nominal'!$B285,'GDP Deflator'!$B$5:$B$89,0))/100)</f>
        <v>8.0083641171966313</v>
      </c>
      <c r="J285" s="269">
        <f>'IEPR Gas Prices Real'!J285*(INDEX('GDP Deflator'!$C$5:$C$89,MATCH('IEPR Gas Prices Nominal'!$B285,'GDP Deflator'!$B$5:$B$89,0))/100)</f>
        <v>5.760616942781053</v>
      </c>
      <c r="K285" s="269">
        <f>'IEPR Gas Prices Real'!K285*(INDEX('GDP Deflator'!$C$5:$C$89,MATCH('IEPR Gas Prices Nominal'!$B285,'GDP Deflator'!$B$5:$B$89,0))/100)</f>
        <v>13.768981059977685</v>
      </c>
      <c r="L285" s="268">
        <f>'IEPR Gas Prices Real'!L285*(INDEX('GDP Deflator'!$C$5:$C$89,MATCH('IEPR Gas Prices Nominal'!$B285,'GDP Deflator'!$B$5:$B$89,0))/100)</f>
        <v>8.3017743526918064</v>
      </c>
      <c r="M285" s="269">
        <f>'IEPR Gas Prices Real'!M285*(INDEX('GDP Deflator'!$C$5:$C$89,MATCH('IEPR Gas Prices Nominal'!$B285,'GDP Deflator'!$B$5:$B$89,0))/100)</f>
        <v>2.7204748965117527</v>
      </c>
      <c r="N285" s="270">
        <f>'IEPR Gas Prices Real'!N285*(INDEX('GDP Deflator'!$C$5:$C$89,MATCH('IEPR Gas Prices Nominal'!$B285,'GDP Deflator'!$B$5:$B$89,0))/100)</f>
        <v>11.022249249203558</v>
      </c>
      <c r="O285" s="1"/>
      <c r="P285" s="274">
        <f t="shared" si="27"/>
        <v>7.9826332616802249</v>
      </c>
      <c r="Q285" s="275">
        <f t="shared" si="31"/>
        <v>11.972095998020478</v>
      </c>
      <c r="R285" s="171"/>
    </row>
    <row r="286" spans="2:18">
      <c r="B286" s="94">
        <f t="shared" si="28"/>
        <v>2045</v>
      </c>
      <c r="C286" s="1">
        <f t="shared" si="29"/>
        <v>5</v>
      </c>
      <c r="D286" s="213">
        <v>53083</v>
      </c>
      <c r="E286" s="1" t="str">
        <f t="shared" si="30"/>
        <v>5-2045</v>
      </c>
      <c r="F286" s="268">
        <f>'IEPR Gas Prices Real'!F286*(INDEX('GDP Deflator'!$C$5:$C$89,MATCH('IEPR Gas Prices Nominal'!$B286,'GDP Deflator'!$B$5:$B$89,0))/100)</f>
        <v>7.903520045596963</v>
      </c>
      <c r="G286" s="269">
        <f>'IEPR Gas Prices Real'!G286*(INDEX('GDP Deflator'!$C$5:$C$89,MATCH('IEPR Gas Prices Nominal'!$B286,'GDP Deflator'!$B$5:$B$89,0))/100)</f>
        <v>3.4872963697279586</v>
      </c>
      <c r="H286" s="270">
        <f>'IEPR Gas Prices Real'!H286*(INDEX('GDP Deflator'!$C$5:$C$89,MATCH('IEPR Gas Prices Nominal'!$B286,'GDP Deflator'!$B$5:$B$89,0))/100)</f>
        <v>11.39081641532492</v>
      </c>
      <c r="I286" s="269">
        <f>'IEPR Gas Prices Real'!I286*(INDEX('GDP Deflator'!$C$5:$C$89,MATCH('IEPR Gas Prices Nominal'!$B286,'GDP Deflator'!$B$5:$B$89,0))/100)</f>
        <v>8.28693178888871</v>
      </c>
      <c r="J286" s="269">
        <f>'IEPR Gas Prices Real'!J286*(INDEX('GDP Deflator'!$C$5:$C$89,MATCH('IEPR Gas Prices Nominal'!$B286,'GDP Deflator'!$B$5:$B$89,0))/100)</f>
        <v>5.760616942781053</v>
      </c>
      <c r="K286" s="269">
        <f>'IEPR Gas Prices Real'!K286*(INDEX('GDP Deflator'!$C$5:$C$89,MATCH('IEPR Gas Prices Nominal'!$B286,'GDP Deflator'!$B$5:$B$89,0))/100)</f>
        <v>14.047548731669762</v>
      </c>
      <c r="L286" s="268">
        <f>'IEPR Gas Prices Real'!L286*(INDEX('GDP Deflator'!$C$5:$C$89,MATCH('IEPR Gas Prices Nominal'!$B286,'GDP Deflator'!$B$5:$B$89,0))/100)</f>
        <v>8.5905519350624076</v>
      </c>
      <c r="M286" s="269">
        <f>'IEPR Gas Prices Real'!M286*(INDEX('GDP Deflator'!$C$5:$C$89,MATCH('IEPR Gas Prices Nominal'!$B286,'GDP Deflator'!$B$5:$B$89,0))/100)</f>
        <v>2.7204748965117527</v>
      </c>
      <c r="N286" s="270">
        <f>'IEPR Gas Prices Real'!N286*(INDEX('GDP Deflator'!$C$5:$C$89,MATCH('IEPR Gas Prices Nominal'!$B286,'GDP Deflator'!$B$5:$B$89,0))/100)</f>
        <v>11.311026831574161</v>
      </c>
      <c r="O286" s="1"/>
      <c r="P286" s="274">
        <f t="shared" si="27"/>
        <v>8.260334589849359</v>
      </c>
      <c r="Q286" s="275">
        <f t="shared" si="31"/>
        <v>12.249797326189615</v>
      </c>
      <c r="R286" s="171"/>
    </row>
    <row r="287" spans="2:18">
      <c r="B287" s="94">
        <f t="shared" si="28"/>
        <v>2045</v>
      </c>
      <c r="C287" s="1">
        <f t="shared" si="29"/>
        <v>6</v>
      </c>
      <c r="D287" s="213">
        <v>53114</v>
      </c>
      <c r="E287" s="1" t="str">
        <f t="shared" si="30"/>
        <v>6-2045</v>
      </c>
      <c r="F287" s="268">
        <f>'IEPR Gas Prices Real'!F287*(INDEX('GDP Deflator'!$C$5:$C$89,MATCH('IEPR Gas Prices Nominal'!$B287,'GDP Deflator'!$B$5:$B$89,0))/100)</f>
        <v>8.107784023780626</v>
      </c>
      <c r="G287" s="269">
        <f>'IEPR Gas Prices Real'!G287*(INDEX('GDP Deflator'!$C$5:$C$89,MATCH('IEPR Gas Prices Nominal'!$B287,'GDP Deflator'!$B$5:$B$89,0))/100)</f>
        <v>3.4872963697279586</v>
      </c>
      <c r="H287" s="270">
        <f>'IEPR Gas Prices Real'!H287*(INDEX('GDP Deflator'!$C$5:$C$89,MATCH('IEPR Gas Prices Nominal'!$B287,'GDP Deflator'!$B$5:$B$89,0))/100)</f>
        <v>11.595080393508585</v>
      </c>
      <c r="I287" s="269">
        <f>'IEPR Gas Prices Real'!I287*(INDEX('GDP Deflator'!$C$5:$C$89,MATCH('IEPR Gas Prices Nominal'!$B287,'GDP Deflator'!$B$5:$B$89,0))/100)</f>
        <v>8.5010163624895814</v>
      </c>
      <c r="J287" s="269">
        <f>'IEPR Gas Prices Real'!J287*(INDEX('GDP Deflator'!$C$5:$C$89,MATCH('IEPR Gas Prices Nominal'!$B287,'GDP Deflator'!$B$5:$B$89,0))/100)</f>
        <v>5.760616942781053</v>
      </c>
      <c r="K287" s="269">
        <f>'IEPR Gas Prices Real'!K287*(INDEX('GDP Deflator'!$C$5:$C$89,MATCH('IEPR Gas Prices Nominal'!$B287,'GDP Deflator'!$B$5:$B$89,0))/100)</f>
        <v>14.261633305270635</v>
      </c>
      <c r="L287" s="268">
        <f>'IEPR Gas Prices Real'!L287*(INDEX('GDP Deflator'!$C$5:$C$89,MATCH('IEPR Gas Prices Nominal'!$B287,'GDP Deflator'!$B$5:$B$89,0))/100)</f>
        <v>8.8124840837783047</v>
      </c>
      <c r="M287" s="269">
        <f>'IEPR Gas Prices Real'!M287*(INDEX('GDP Deflator'!$C$5:$C$89,MATCH('IEPR Gas Prices Nominal'!$B287,'GDP Deflator'!$B$5:$B$89,0))/100)</f>
        <v>2.7204748965117527</v>
      </c>
      <c r="N287" s="270">
        <f>'IEPR Gas Prices Real'!N287*(INDEX('GDP Deflator'!$C$5:$C$89,MATCH('IEPR Gas Prices Nominal'!$B287,'GDP Deflator'!$B$5:$B$89,0))/100)</f>
        <v>11.532958980290058</v>
      </c>
      <c r="O287" s="1"/>
      <c r="P287" s="274">
        <f t="shared" si="27"/>
        <v>8.4737614900161713</v>
      </c>
      <c r="Q287" s="275">
        <f t="shared" si="31"/>
        <v>12.463224226356425</v>
      </c>
      <c r="R287" s="171"/>
    </row>
    <row r="288" spans="2:18">
      <c r="B288" s="94">
        <f t="shared" si="28"/>
        <v>2045</v>
      </c>
      <c r="C288" s="1">
        <f t="shared" si="29"/>
        <v>7</v>
      </c>
      <c r="D288" s="213">
        <v>53144</v>
      </c>
      <c r="E288" s="1" t="str">
        <f t="shared" si="30"/>
        <v>7-2045</v>
      </c>
      <c r="F288" s="268">
        <f>'IEPR Gas Prices Real'!F288*(INDEX('GDP Deflator'!$C$5:$C$89,MATCH('IEPR Gas Prices Nominal'!$B288,'GDP Deflator'!$B$5:$B$89,0))/100)</f>
        <v>8.1720482339304752</v>
      </c>
      <c r="G288" s="269">
        <f>'IEPR Gas Prices Real'!G288*(INDEX('GDP Deflator'!$C$5:$C$89,MATCH('IEPR Gas Prices Nominal'!$B288,'GDP Deflator'!$B$5:$B$89,0))/100)</f>
        <v>3.4872963697279586</v>
      </c>
      <c r="H288" s="270">
        <f>'IEPR Gas Prices Real'!H288*(INDEX('GDP Deflator'!$C$5:$C$89,MATCH('IEPR Gas Prices Nominal'!$B288,'GDP Deflator'!$B$5:$B$89,0))/100)</f>
        <v>11.659344603658433</v>
      </c>
      <c r="I288" s="269">
        <f>'IEPR Gas Prices Real'!I288*(INDEX('GDP Deflator'!$C$5:$C$89,MATCH('IEPR Gas Prices Nominal'!$B288,'GDP Deflator'!$B$5:$B$89,0))/100)</f>
        <v>8.5683081543679496</v>
      </c>
      <c r="J288" s="269">
        <f>'IEPR Gas Prices Real'!J288*(INDEX('GDP Deflator'!$C$5:$C$89,MATCH('IEPR Gas Prices Nominal'!$B288,'GDP Deflator'!$B$5:$B$89,0))/100)</f>
        <v>5.760616942781053</v>
      </c>
      <c r="K288" s="269">
        <f>'IEPR Gas Prices Real'!K288*(INDEX('GDP Deflator'!$C$5:$C$89,MATCH('IEPR Gas Prices Nominal'!$B288,'GDP Deflator'!$B$5:$B$89,0))/100)</f>
        <v>14.328925097149002</v>
      </c>
      <c r="L288" s="268">
        <f>'IEPR Gas Prices Real'!L288*(INDEX('GDP Deflator'!$C$5:$C$89,MATCH('IEPR Gas Prices Nominal'!$B288,'GDP Deflator'!$B$5:$B$89,0))/100)</f>
        <v>8.8822452556015055</v>
      </c>
      <c r="M288" s="269">
        <f>'IEPR Gas Prices Real'!M288*(INDEX('GDP Deflator'!$C$5:$C$89,MATCH('IEPR Gas Prices Nominal'!$B288,'GDP Deflator'!$B$5:$B$89,0))/100)</f>
        <v>2.7204748965117527</v>
      </c>
      <c r="N288" s="270">
        <f>'IEPR Gas Prices Real'!N288*(INDEX('GDP Deflator'!$C$5:$C$89,MATCH('IEPR Gas Prices Nominal'!$B288,'GDP Deflator'!$B$5:$B$89,0))/100)</f>
        <v>11.602720152113259</v>
      </c>
      <c r="O288" s="1"/>
      <c r="P288" s="274">
        <f t="shared" si="27"/>
        <v>8.5408672146333089</v>
      </c>
      <c r="Q288" s="275">
        <f t="shared" si="31"/>
        <v>12.530329950973565</v>
      </c>
      <c r="R288" s="171"/>
    </row>
    <row r="289" spans="2:18">
      <c r="B289" s="94">
        <f t="shared" si="28"/>
        <v>2045</v>
      </c>
      <c r="C289" s="1">
        <f t="shared" si="29"/>
        <v>8</v>
      </c>
      <c r="D289" s="213">
        <v>53175</v>
      </c>
      <c r="E289" s="1" t="str">
        <f t="shared" si="30"/>
        <v>8-2045</v>
      </c>
      <c r="F289" s="268">
        <f>'IEPR Gas Prices Real'!F289*(INDEX('GDP Deflator'!$C$5:$C$89,MATCH('IEPR Gas Prices Nominal'!$B289,'GDP Deflator'!$B$5:$B$89,0))/100)</f>
        <v>8.1088688046111645</v>
      </c>
      <c r="G289" s="269">
        <f>'IEPR Gas Prices Real'!G289*(INDEX('GDP Deflator'!$C$5:$C$89,MATCH('IEPR Gas Prices Nominal'!$B289,'GDP Deflator'!$B$5:$B$89,0))/100)</f>
        <v>3.4872963697279586</v>
      </c>
      <c r="H289" s="270">
        <f>'IEPR Gas Prices Real'!H289*(INDEX('GDP Deflator'!$C$5:$C$89,MATCH('IEPR Gas Prices Nominal'!$B289,'GDP Deflator'!$B$5:$B$89,0))/100)</f>
        <v>11.596165174339122</v>
      </c>
      <c r="I289" s="269">
        <f>'IEPR Gas Prices Real'!I289*(INDEX('GDP Deflator'!$C$5:$C$89,MATCH('IEPR Gas Prices Nominal'!$B289,'GDP Deflator'!$B$5:$B$89,0))/100)</f>
        <v>8.5019765862632433</v>
      </c>
      <c r="J289" s="269">
        <f>'IEPR Gas Prices Real'!J289*(INDEX('GDP Deflator'!$C$5:$C$89,MATCH('IEPR Gas Prices Nominal'!$B289,'GDP Deflator'!$B$5:$B$89,0))/100)</f>
        <v>5.760616942781053</v>
      </c>
      <c r="K289" s="269">
        <f>'IEPR Gas Prices Real'!K289*(INDEX('GDP Deflator'!$C$5:$C$89,MATCH('IEPR Gas Prices Nominal'!$B289,'GDP Deflator'!$B$5:$B$89,0))/100)</f>
        <v>14.262593529044297</v>
      </c>
      <c r="L289" s="268">
        <f>'IEPR Gas Prices Real'!L289*(INDEX('GDP Deflator'!$C$5:$C$89,MATCH('IEPR Gas Prices Nominal'!$B289,'GDP Deflator'!$B$5:$B$89,0))/100)</f>
        <v>8.8134871974652853</v>
      </c>
      <c r="M289" s="269">
        <f>'IEPR Gas Prices Real'!M289*(INDEX('GDP Deflator'!$C$5:$C$89,MATCH('IEPR Gas Prices Nominal'!$B289,'GDP Deflator'!$B$5:$B$89,0))/100)</f>
        <v>2.7204748965117527</v>
      </c>
      <c r="N289" s="270">
        <f>'IEPR Gas Prices Real'!N289*(INDEX('GDP Deflator'!$C$5:$C$89,MATCH('IEPR Gas Prices Nominal'!$B289,'GDP Deflator'!$B$5:$B$89,0))/100)</f>
        <v>11.533962093977038</v>
      </c>
      <c r="O289" s="1"/>
      <c r="P289" s="274">
        <f t="shared" si="27"/>
        <v>8.4747775294465644</v>
      </c>
      <c r="Q289" s="275">
        <f t="shared" si="31"/>
        <v>12.464240265786819</v>
      </c>
      <c r="R289" s="171"/>
    </row>
    <row r="290" spans="2:18">
      <c r="B290" s="94">
        <f t="shared" si="28"/>
        <v>2045</v>
      </c>
      <c r="C290" s="1">
        <f t="shared" si="29"/>
        <v>9</v>
      </c>
      <c r="D290" s="213">
        <v>53206</v>
      </c>
      <c r="E290" s="1" t="str">
        <f t="shared" si="30"/>
        <v>9-2045</v>
      </c>
      <c r="F290" s="268">
        <f>'IEPR Gas Prices Real'!F290*(INDEX('GDP Deflator'!$C$5:$C$89,MATCH('IEPR Gas Prices Nominal'!$B290,'GDP Deflator'!$B$5:$B$89,0))/100)</f>
        <v>8.2228685620015689</v>
      </c>
      <c r="G290" s="269">
        <f>'IEPR Gas Prices Real'!G290*(INDEX('GDP Deflator'!$C$5:$C$89,MATCH('IEPR Gas Prices Nominal'!$B290,'GDP Deflator'!$B$5:$B$89,0))/100)</f>
        <v>3.4872963697279586</v>
      </c>
      <c r="H290" s="270">
        <f>'IEPR Gas Prices Real'!H290*(INDEX('GDP Deflator'!$C$5:$C$89,MATCH('IEPR Gas Prices Nominal'!$B290,'GDP Deflator'!$B$5:$B$89,0))/100)</f>
        <v>11.710164931729528</v>
      </c>
      <c r="I290" s="269">
        <f>'IEPR Gas Prices Real'!I290*(INDEX('GDP Deflator'!$C$5:$C$89,MATCH('IEPR Gas Prices Nominal'!$B290,'GDP Deflator'!$B$5:$B$89,0))/100)</f>
        <v>8.621413065448543</v>
      </c>
      <c r="J290" s="269">
        <f>'IEPR Gas Prices Real'!J290*(INDEX('GDP Deflator'!$C$5:$C$89,MATCH('IEPR Gas Prices Nominal'!$B290,'GDP Deflator'!$B$5:$B$89,0))/100)</f>
        <v>5.760616942781053</v>
      </c>
      <c r="K290" s="269">
        <f>'IEPR Gas Prices Real'!K290*(INDEX('GDP Deflator'!$C$5:$C$89,MATCH('IEPR Gas Prices Nominal'!$B290,'GDP Deflator'!$B$5:$B$89,0))/100)</f>
        <v>14.382030008229597</v>
      </c>
      <c r="L290" s="268">
        <f>'IEPR Gas Prices Real'!L290*(INDEX('GDP Deflator'!$C$5:$C$89,MATCH('IEPR Gas Prices Nominal'!$B290,'GDP Deflator'!$B$5:$B$89,0))/100)</f>
        <v>8.9373037128426382</v>
      </c>
      <c r="M290" s="269">
        <f>'IEPR Gas Prices Real'!M290*(INDEX('GDP Deflator'!$C$5:$C$89,MATCH('IEPR Gas Prices Nominal'!$B290,'GDP Deflator'!$B$5:$B$89,0))/100)</f>
        <v>2.7204748965117527</v>
      </c>
      <c r="N290" s="270">
        <f>'IEPR Gas Prices Real'!N290*(INDEX('GDP Deflator'!$C$5:$C$89,MATCH('IEPR Gas Prices Nominal'!$B290,'GDP Deflator'!$B$5:$B$89,0))/100)</f>
        <v>11.657778609354391</v>
      </c>
      <c r="O290" s="1"/>
      <c r="P290" s="274">
        <f t="shared" si="27"/>
        <v>8.5938617800975834</v>
      </c>
      <c r="Q290" s="275">
        <f t="shared" si="31"/>
        <v>12.583324516437839</v>
      </c>
      <c r="R290" s="171"/>
    </row>
    <row r="291" spans="2:18">
      <c r="B291" s="94">
        <f t="shared" si="28"/>
        <v>2045</v>
      </c>
      <c r="C291" s="1">
        <f t="shared" si="29"/>
        <v>10</v>
      </c>
      <c r="D291" s="213">
        <v>53236</v>
      </c>
      <c r="E291" s="1" t="str">
        <f t="shared" si="30"/>
        <v>10-2045</v>
      </c>
      <c r="F291" s="268">
        <f>'IEPR Gas Prices Real'!F291*(INDEX('GDP Deflator'!$C$5:$C$89,MATCH('IEPR Gas Prices Nominal'!$B291,'GDP Deflator'!$B$5:$B$89,0))/100)</f>
        <v>8.1754259934870124</v>
      </c>
      <c r="G291" s="269">
        <f>'IEPR Gas Prices Real'!G291*(INDEX('GDP Deflator'!$C$5:$C$89,MATCH('IEPR Gas Prices Nominal'!$B291,'GDP Deflator'!$B$5:$B$89,0))/100)</f>
        <v>3.4872963697279586</v>
      </c>
      <c r="H291" s="270">
        <f>'IEPR Gas Prices Real'!H291*(INDEX('GDP Deflator'!$C$5:$C$89,MATCH('IEPR Gas Prices Nominal'!$B291,'GDP Deflator'!$B$5:$B$89,0))/100)</f>
        <v>11.662722363214971</v>
      </c>
      <c r="I291" s="269">
        <f>'IEPR Gas Prices Real'!I291*(INDEX('GDP Deflator'!$C$5:$C$89,MATCH('IEPR Gas Prices Nominal'!$B291,'GDP Deflator'!$B$5:$B$89,0))/100)</f>
        <v>8.5715817253828206</v>
      </c>
      <c r="J291" s="269">
        <f>'IEPR Gas Prices Real'!J291*(INDEX('GDP Deflator'!$C$5:$C$89,MATCH('IEPR Gas Prices Nominal'!$B291,'GDP Deflator'!$B$5:$B$89,0))/100)</f>
        <v>5.760616942781053</v>
      </c>
      <c r="K291" s="269">
        <f>'IEPR Gas Prices Real'!K291*(INDEX('GDP Deflator'!$C$5:$C$89,MATCH('IEPR Gas Prices Nominal'!$B291,'GDP Deflator'!$B$5:$B$89,0))/100)</f>
        <v>14.332198668163874</v>
      </c>
      <c r="L291" s="268">
        <f>'IEPR Gas Prices Real'!L291*(INDEX('GDP Deflator'!$C$5:$C$89,MATCH('IEPR Gas Prices Nominal'!$B291,'GDP Deflator'!$B$5:$B$89,0))/100)</f>
        <v>8.8856504273989199</v>
      </c>
      <c r="M291" s="269">
        <f>'IEPR Gas Prices Real'!M291*(INDEX('GDP Deflator'!$C$5:$C$89,MATCH('IEPR Gas Prices Nominal'!$B291,'GDP Deflator'!$B$5:$B$89,0))/100)</f>
        <v>2.7204748965117527</v>
      </c>
      <c r="N291" s="270">
        <f>'IEPR Gas Prices Real'!N291*(INDEX('GDP Deflator'!$C$5:$C$89,MATCH('IEPR Gas Prices Nominal'!$B291,'GDP Deflator'!$B$5:$B$89,0))/100)</f>
        <v>11.606125323910671</v>
      </c>
      <c r="O291" s="1"/>
      <c r="P291" s="274">
        <f t="shared" si="27"/>
        <v>8.5442193820895849</v>
      </c>
      <c r="Q291" s="275">
        <f t="shared" si="31"/>
        <v>12.533682118429837</v>
      </c>
      <c r="R291" s="171"/>
    </row>
    <row r="292" spans="2:18">
      <c r="B292" s="94">
        <f t="shared" si="28"/>
        <v>2045</v>
      </c>
      <c r="C292" s="1">
        <f t="shared" si="29"/>
        <v>11</v>
      </c>
      <c r="D292" s="213">
        <v>53267</v>
      </c>
      <c r="E292" s="1" t="str">
        <f t="shared" si="30"/>
        <v>11-2045</v>
      </c>
      <c r="F292" s="268">
        <f>'IEPR Gas Prices Real'!F292*(INDEX('GDP Deflator'!$C$5:$C$89,MATCH('IEPR Gas Prices Nominal'!$B292,'GDP Deflator'!$B$5:$B$89,0))/100)</f>
        <v>8.5794503779658253</v>
      </c>
      <c r="G292" s="269">
        <f>'IEPR Gas Prices Real'!G292*(INDEX('GDP Deflator'!$C$5:$C$89,MATCH('IEPR Gas Prices Nominal'!$B292,'GDP Deflator'!$B$5:$B$89,0))/100)</f>
        <v>3.4872963697279586</v>
      </c>
      <c r="H292" s="270">
        <f>'IEPR Gas Prices Real'!H292*(INDEX('GDP Deflator'!$C$5:$C$89,MATCH('IEPR Gas Prices Nominal'!$B292,'GDP Deflator'!$B$5:$B$89,0))/100)</f>
        <v>12.066746747693783</v>
      </c>
      <c r="I292" s="269">
        <f>'IEPR Gas Prices Real'!I292*(INDEX('GDP Deflator'!$C$5:$C$89,MATCH('IEPR Gas Prices Nominal'!$B292,'GDP Deflator'!$B$5:$B$89,0))/100)</f>
        <v>8.9950901179716976</v>
      </c>
      <c r="J292" s="269">
        <f>'IEPR Gas Prices Real'!J292*(INDEX('GDP Deflator'!$C$5:$C$89,MATCH('IEPR Gas Prices Nominal'!$B292,'GDP Deflator'!$B$5:$B$89,0))/100)</f>
        <v>5.760616942781053</v>
      </c>
      <c r="K292" s="269">
        <f>'IEPR Gas Prices Real'!K292*(INDEX('GDP Deflator'!$C$5:$C$89,MATCH('IEPR Gas Prices Nominal'!$B292,'GDP Deflator'!$B$5:$B$89,0))/100)</f>
        <v>14.75570706075275</v>
      </c>
      <c r="L292" s="268">
        <f>'IEPR Gas Prices Real'!L292*(INDEX('GDP Deflator'!$C$5:$C$89,MATCH('IEPR Gas Prices Nominal'!$B292,'GDP Deflator'!$B$5:$B$89,0))/100)</f>
        <v>9.3246805407856765</v>
      </c>
      <c r="M292" s="269">
        <f>'IEPR Gas Prices Real'!M292*(INDEX('GDP Deflator'!$C$5:$C$89,MATCH('IEPR Gas Prices Nominal'!$B292,'GDP Deflator'!$B$5:$B$89,0))/100)</f>
        <v>2.7204748965117527</v>
      </c>
      <c r="N292" s="270">
        <f>'IEPR Gas Prices Real'!N292*(INDEX('GDP Deflator'!$C$5:$C$89,MATCH('IEPR Gas Prices Nominal'!$B292,'GDP Deflator'!$B$5:$B$89,0))/100)</f>
        <v>12.04515543729743</v>
      </c>
      <c r="O292" s="1"/>
      <c r="P292" s="274">
        <f t="shared" si="27"/>
        <v>8.9664070122410653</v>
      </c>
      <c r="Q292" s="275">
        <f t="shared" si="31"/>
        <v>12.955869748581321</v>
      </c>
      <c r="R292" s="171"/>
    </row>
    <row r="293" spans="2:18">
      <c r="B293" s="94">
        <f t="shared" si="28"/>
        <v>2045</v>
      </c>
      <c r="C293" s="1">
        <f t="shared" si="29"/>
        <v>12</v>
      </c>
      <c r="D293" s="213">
        <v>53297</v>
      </c>
      <c r="E293" s="1" t="str">
        <f t="shared" si="30"/>
        <v>12-2045</v>
      </c>
      <c r="F293" s="268">
        <f>'IEPR Gas Prices Real'!F293*(INDEX('GDP Deflator'!$C$5:$C$89,MATCH('IEPR Gas Prices Nominal'!$B293,'GDP Deflator'!$B$5:$B$89,0))/100)</f>
        <v>8.6483973494058848</v>
      </c>
      <c r="G293" s="269">
        <f>'IEPR Gas Prices Real'!G293*(INDEX('GDP Deflator'!$C$5:$C$89,MATCH('IEPR Gas Prices Nominal'!$B293,'GDP Deflator'!$B$5:$B$89,0))/100)</f>
        <v>3.4872963697279586</v>
      </c>
      <c r="H293" s="270">
        <f>'IEPR Gas Prices Real'!H293*(INDEX('GDP Deflator'!$C$5:$C$89,MATCH('IEPR Gas Prices Nominal'!$B293,'GDP Deflator'!$B$5:$B$89,0))/100)</f>
        <v>12.135693719133844</v>
      </c>
      <c r="I293" s="269">
        <f>'IEPR Gas Prices Real'!I293*(INDEX('GDP Deflator'!$C$5:$C$89,MATCH('IEPR Gas Prices Nominal'!$B293,'GDP Deflator'!$B$5:$B$89,0))/100)</f>
        <v>9.0672827714306585</v>
      </c>
      <c r="J293" s="269">
        <f>'IEPR Gas Prices Real'!J293*(INDEX('GDP Deflator'!$C$5:$C$89,MATCH('IEPR Gas Prices Nominal'!$B293,'GDP Deflator'!$B$5:$B$89,0))/100)</f>
        <v>5.760616942781053</v>
      </c>
      <c r="K293" s="269">
        <f>'IEPR Gas Prices Real'!K293*(INDEX('GDP Deflator'!$C$5:$C$89,MATCH('IEPR Gas Prices Nominal'!$B293,'GDP Deflator'!$B$5:$B$89,0))/100)</f>
        <v>14.827899714211712</v>
      </c>
      <c r="L293" s="268">
        <f>'IEPR Gas Prices Real'!L293*(INDEX('GDP Deflator'!$C$5:$C$89,MATCH('IEPR Gas Prices Nominal'!$B293,'GDP Deflator'!$B$5:$B$89,0))/100)</f>
        <v>9.3995225285614268</v>
      </c>
      <c r="M293" s="269">
        <f>'IEPR Gas Prices Real'!M293*(INDEX('GDP Deflator'!$C$5:$C$89,MATCH('IEPR Gas Prices Nominal'!$B293,'GDP Deflator'!$B$5:$B$89,0))/100)</f>
        <v>2.7204748965117527</v>
      </c>
      <c r="N293" s="270">
        <f>'IEPR Gas Prices Real'!N293*(INDEX('GDP Deflator'!$C$5:$C$89,MATCH('IEPR Gas Prices Nominal'!$B293,'GDP Deflator'!$B$5:$B$89,0))/100)</f>
        <v>12.119997425073178</v>
      </c>
      <c r="O293" s="1"/>
      <c r="P293" s="274">
        <f t="shared" si="27"/>
        <v>9.0384008831326579</v>
      </c>
      <c r="Q293" s="275">
        <f t="shared" si="31"/>
        <v>13.027863619472912</v>
      </c>
      <c r="R293" s="171"/>
    </row>
    <row r="294" spans="2:18">
      <c r="B294" s="94">
        <f t="shared" si="28"/>
        <v>2046</v>
      </c>
      <c r="C294" s="1">
        <f t="shared" si="29"/>
        <v>1</v>
      </c>
      <c r="D294" s="213">
        <v>53328</v>
      </c>
      <c r="E294" s="1" t="str">
        <f t="shared" si="30"/>
        <v>1-2046</v>
      </c>
      <c r="F294" s="268">
        <f>'IEPR Gas Prices Real'!F294*(INDEX('GDP Deflator'!$C$5:$C$89,MATCH('IEPR Gas Prices Nominal'!$B294,'GDP Deflator'!$B$5:$B$89,0))/100)</f>
        <v>8.8452617044600217</v>
      </c>
      <c r="G294" s="269">
        <f>'IEPR Gas Prices Real'!G294*(INDEX('GDP Deflator'!$C$5:$C$89,MATCH('IEPR Gas Prices Nominal'!$B294,'GDP Deflator'!$B$5:$B$89,0))/100)</f>
        <v>3.7086712128445294</v>
      </c>
      <c r="H294" s="270">
        <f>'IEPR Gas Prices Real'!H294*(INDEX('GDP Deflator'!$C$5:$C$89,MATCH('IEPR Gas Prices Nominal'!$B294,'GDP Deflator'!$B$5:$B$89,0))/100)</f>
        <v>12.55393291730455</v>
      </c>
      <c r="I294" s="269">
        <f>'IEPR Gas Prices Real'!I294*(INDEX('GDP Deflator'!$C$5:$C$89,MATCH('IEPR Gas Prices Nominal'!$B294,'GDP Deflator'!$B$5:$B$89,0))/100)</f>
        <v>9.2735879909928371</v>
      </c>
      <c r="J294" s="269">
        <f>'IEPR Gas Prices Real'!J294*(INDEX('GDP Deflator'!$C$5:$C$89,MATCH('IEPR Gas Prices Nominal'!$B294,'GDP Deflator'!$B$5:$B$89,0))/100)</f>
        <v>6.1270996085014193</v>
      </c>
      <c r="K294" s="269">
        <f>'IEPR Gas Prices Real'!K294*(INDEX('GDP Deflator'!$C$5:$C$89,MATCH('IEPR Gas Prices Nominal'!$B294,'GDP Deflator'!$B$5:$B$89,0))/100)</f>
        <v>15.400687599494256</v>
      </c>
      <c r="L294" s="268">
        <f>'IEPR Gas Prices Real'!L294*(INDEX('GDP Deflator'!$C$5:$C$89,MATCH('IEPR Gas Prices Nominal'!$B294,'GDP Deflator'!$B$5:$B$89,0))/100)</f>
        <v>9.6133904781859716</v>
      </c>
      <c r="M294" s="269">
        <f>'IEPR Gas Prices Real'!M294*(INDEX('GDP Deflator'!$C$5:$C$89,MATCH('IEPR Gas Prices Nominal'!$B294,'GDP Deflator'!$B$5:$B$89,0))/100)</f>
        <v>2.893547833317311</v>
      </c>
      <c r="N294" s="270">
        <f>'IEPR Gas Prices Real'!N294*(INDEX('GDP Deflator'!$C$5:$C$89,MATCH('IEPR Gas Prices Nominal'!$B294,'GDP Deflator'!$B$5:$B$89,0))/100)</f>
        <v>12.506938311503284</v>
      </c>
      <c r="O294" s="1"/>
      <c r="P294" s="274">
        <f t="shared" si="27"/>
        <v>9.244080057879609</v>
      </c>
      <c r="Q294" s="275">
        <f t="shared" si="31"/>
        <v>13.487186276100696</v>
      </c>
      <c r="R294" s="171"/>
    </row>
    <row r="295" spans="2:18">
      <c r="B295" s="94">
        <f t="shared" si="28"/>
        <v>2046</v>
      </c>
      <c r="C295" s="1">
        <f t="shared" si="29"/>
        <v>2</v>
      </c>
      <c r="D295" s="213">
        <v>53359</v>
      </c>
      <c r="E295" s="1" t="str">
        <f t="shared" si="30"/>
        <v>2-2046</v>
      </c>
      <c r="F295" s="268">
        <f>'IEPR Gas Prices Real'!F295*(INDEX('GDP Deflator'!$C$5:$C$89,MATCH('IEPR Gas Prices Nominal'!$B295,'GDP Deflator'!$B$5:$B$89,0))/100)</f>
        <v>8.6512707817856924</v>
      </c>
      <c r="G295" s="269">
        <f>'IEPR Gas Prices Real'!G295*(INDEX('GDP Deflator'!$C$5:$C$89,MATCH('IEPR Gas Prices Nominal'!$B295,'GDP Deflator'!$B$5:$B$89,0))/100)</f>
        <v>3.7086712128445294</v>
      </c>
      <c r="H295" s="270">
        <f>'IEPR Gas Prices Real'!H295*(INDEX('GDP Deflator'!$C$5:$C$89,MATCH('IEPR Gas Prices Nominal'!$B295,'GDP Deflator'!$B$5:$B$89,0))/100)</f>
        <v>12.359941994630221</v>
      </c>
      <c r="I295" s="269">
        <f>'IEPR Gas Prices Real'!I295*(INDEX('GDP Deflator'!$C$5:$C$89,MATCH('IEPR Gas Prices Nominal'!$B295,'GDP Deflator'!$B$5:$B$89,0))/100)</f>
        <v>9.0701109699999041</v>
      </c>
      <c r="J295" s="269">
        <f>'IEPR Gas Prices Real'!J295*(INDEX('GDP Deflator'!$C$5:$C$89,MATCH('IEPR Gas Prices Nominal'!$B295,'GDP Deflator'!$B$5:$B$89,0))/100)</f>
        <v>6.1270996085014193</v>
      </c>
      <c r="K295" s="269">
        <f>'IEPR Gas Prices Real'!K295*(INDEX('GDP Deflator'!$C$5:$C$89,MATCH('IEPR Gas Prices Nominal'!$B295,'GDP Deflator'!$B$5:$B$89,0))/100)</f>
        <v>15.197210578501323</v>
      </c>
      <c r="L295" s="268">
        <f>'IEPR Gas Prices Real'!L295*(INDEX('GDP Deflator'!$C$5:$C$89,MATCH('IEPR Gas Prices Nominal'!$B295,'GDP Deflator'!$B$5:$B$89,0))/100)</f>
        <v>9.4024609621292168</v>
      </c>
      <c r="M295" s="269">
        <f>'IEPR Gas Prices Real'!M295*(INDEX('GDP Deflator'!$C$5:$C$89,MATCH('IEPR Gas Prices Nominal'!$B295,'GDP Deflator'!$B$5:$B$89,0))/100)</f>
        <v>2.893547833317311</v>
      </c>
      <c r="N295" s="270">
        <f>'IEPR Gas Prices Real'!N295*(INDEX('GDP Deflator'!$C$5:$C$89,MATCH('IEPR Gas Prices Nominal'!$B295,'GDP Deflator'!$B$5:$B$89,0))/100)</f>
        <v>12.296008795446529</v>
      </c>
      <c r="O295" s="1"/>
      <c r="P295" s="274">
        <f t="shared" si="27"/>
        <v>9.0412809046382705</v>
      </c>
      <c r="Q295" s="275">
        <f t="shared" si="31"/>
        <v>13.284387122859357</v>
      </c>
      <c r="R295" s="171"/>
    </row>
    <row r="296" spans="2:18">
      <c r="B296" s="94">
        <f t="shared" si="28"/>
        <v>2046</v>
      </c>
      <c r="C296" s="1">
        <f t="shared" si="29"/>
        <v>3</v>
      </c>
      <c r="D296" s="213">
        <v>53387</v>
      </c>
      <c r="E296" s="1" t="str">
        <f t="shared" si="30"/>
        <v>3-2046</v>
      </c>
      <c r="F296" s="268">
        <f>'IEPR Gas Prices Real'!F296*(INDEX('GDP Deflator'!$C$5:$C$89,MATCH('IEPR Gas Prices Nominal'!$B296,'GDP Deflator'!$B$5:$B$89,0))/100)</f>
        <v>7.9418357019384329</v>
      </c>
      <c r="G296" s="269">
        <f>'IEPR Gas Prices Real'!G296*(INDEX('GDP Deflator'!$C$5:$C$89,MATCH('IEPR Gas Prices Nominal'!$B296,'GDP Deflator'!$B$5:$B$89,0))/100)</f>
        <v>3.7086712128445294</v>
      </c>
      <c r="H296" s="270">
        <f>'IEPR Gas Prices Real'!H296*(INDEX('GDP Deflator'!$C$5:$C$89,MATCH('IEPR Gas Prices Nominal'!$B296,'GDP Deflator'!$B$5:$B$89,0))/100)</f>
        <v>11.650506914782962</v>
      </c>
      <c r="I296" s="269">
        <f>'IEPR Gas Prices Real'!I296*(INDEX('GDP Deflator'!$C$5:$C$89,MATCH('IEPR Gas Prices Nominal'!$B296,'GDP Deflator'!$B$5:$B$89,0))/100)</f>
        <v>8.3262448444012094</v>
      </c>
      <c r="J296" s="269">
        <f>'IEPR Gas Prices Real'!J296*(INDEX('GDP Deflator'!$C$5:$C$89,MATCH('IEPR Gas Prices Nominal'!$B296,'GDP Deflator'!$B$5:$B$89,0))/100)</f>
        <v>6.1270996085014193</v>
      </c>
      <c r="K296" s="269">
        <f>'IEPR Gas Prices Real'!K296*(INDEX('GDP Deflator'!$C$5:$C$89,MATCH('IEPR Gas Prices Nominal'!$B296,'GDP Deflator'!$B$5:$B$89,0))/100)</f>
        <v>14.453344452902629</v>
      </c>
      <c r="L296" s="268">
        <f>'IEPR Gas Prices Real'!L296*(INDEX('GDP Deflator'!$C$5:$C$89,MATCH('IEPR Gas Prices Nominal'!$B296,'GDP Deflator'!$B$5:$B$89,0))/100)</f>
        <v>8.6313408813798063</v>
      </c>
      <c r="M296" s="269">
        <f>'IEPR Gas Prices Real'!M296*(INDEX('GDP Deflator'!$C$5:$C$89,MATCH('IEPR Gas Prices Nominal'!$B296,'GDP Deflator'!$B$5:$B$89,0))/100)</f>
        <v>2.893547833317311</v>
      </c>
      <c r="N296" s="270">
        <f>'IEPR Gas Prices Real'!N296*(INDEX('GDP Deflator'!$C$5:$C$89,MATCH('IEPR Gas Prices Nominal'!$B296,'GDP Deflator'!$B$5:$B$89,0))/100)</f>
        <v>11.524888714697118</v>
      </c>
      <c r="O296" s="1"/>
      <c r="P296" s="274">
        <f t="shared" si="27"/>
        <v>8.2998071425731492</v>
      </c>
      <c r="Q296" s="275">
        <f t="shared" si="31"/>
        <v>12.542913360794238</v>
      </c>
      <c r="R296" s="171"/>
    </row>
    <row r="297" spans="2:18">
      <c r="B297" s="94">
        <f t="shared" si="28"/>
        <v>2046</v>
      </c>
      <c r="C297" s="1">
        <f t="shared" si="29"/>
        <v>4</v>
      </c>
      <c r="D297" s="213">
        <v>53418</v>
      </c>
      <c r="E297" s="1" t="str">
        <f t="shared" si="30"/>
        <v>4-2046</v>
      </c>
      <c r="F297" s="268">
        <f>'IEPR Gas Prices Real'!F297*(INDEX('GDP Deflator'!$C$5:$C$89,MATCH('IEPR Gas Prices Nominal'!$B297,'GDP Deflator'!$B$5:$B$89,0))/100)</f>
        <v>7.8066487212807765</v>
      </c>
      <c r="G297" s="269">
        <f>'IEPR Gas Prices Real'!G297*(INDEX('GDP Deflator'!$C$5:$C$89,MATCH('IEPR Gas Prices Nominal'!$B297,'GDP Deflator'!$B$5:$B$89,0))/100)</f>
        <v>3.7086712128445294</v>
      </c>
      <c r="H297" s="270">
        <f>'IEPR Gas Prices Real'!H297*(INDEX('GDP Deflator'!$C$5:$C$89,MATCH('IEPR Gas Prices Nominal'!$B297,'GDP Deflator'!$B$5:$B$89,0))/100)</f>
        <v>11.515319934125305</v>
      </c>
      <c r="I297" s="269">
        <f>'IEPR Gas Prices Real'!I297*(INDEX('GDP Deflator'!$C$5:$C$89,MATCH('IEPR Gas Prices Nominal'!$B297,'GDP Deflator'!$B$5:$B$89,0))/100)</f>
        <v>8.1844311777909748</v>
      </c>
      <c r="J297" s="269">
        <f>'IEPR Gas Prices Real'!J297*(INDEX('GDP Deflator'!$C$5:$C$89,MATCH('IEPR Gas Prices Nominal'!$B297,'GDP Deflator'!$B$5:$B$89,0))/100)</f>
        <v>6.1270996085014193</v>
      </c>
      <c r="K297" s="269">
        <f>'IEPR Gas Prices Real'!K297*(INDEX('GDP Deflator'!$C$5:$C$89,MATCH('IEPR Gas Prices Nominal'!$B297,'GDP Deflator'!$B$5:$B$89,0))/100)</f>
        <v>14.311530786292394</v>
      </c>
      <c r="L297" s="268">
        <f>'IEPR Gas Prices Real'!L297*(INDEX('GDP Deflator'!$C$5:$C$89,MATCH('IEPR Gas Prices Nominal'!$B297,'GDP Deflator'!$B$5:$B$89,0))/100)</f>
        <v>8.4843337610781582</v>
      </c>
      <c r="M297" s="269">
        <f>'IEPR Gas Prices Real'!M297*(INDEX('GDP Deflator'!$C$5:$C$89,MATCH('IEPR Gas Prices Nominal'!$B297,'GDP Deflator'!$B$5:$B$89,0))/100)</f>
        <v>2.893547833317311</v>
      </c>
      <c r="N297" s="270">
        <f>'IEPR Gas Prices Real'!N297*(INDEX('GDP Deflator'!$C$5:$C$89,MATCH('IEPR Gas Prices Nominal'!$B297,'GDP Deflator'!$B$5:$B$89,0))/100)</f>
        <v>11.377881594395468</v>
      </c>
      <c r="O297" s="1"/>
      <c r="P297" s="274">
        <f t="shared" si="27"/>
        <v>8.1584712200499698</v>
      </c>
      <c r="Q297" s="275">
        <f t="shared" si="31"/>
        <v>12.401577438271056</v>
      </c>
      <c r="R297" s="171"/>
    </row>
    <row r="298" spans="2:18">
      <c r="B298" s="94">
        <f t="shared" si="28"/>
        <v>2046</v>
      </c>
      <c r="C298" s="1">
        <f t="shared" si="29"/>
        <v>5</v>
      </c>
      <c r="D298" s="213">
        <v>53448</v>
      </c>
      <c r="E298" s="1" t="str">
        <f t="shared" si="30"/>
        <v>5-2046</v>
      </c>
      <c r="F298" s="268">
        <f>'IEPR Gas Prices Real'!F298*(INDEX('GDP Deflator'!$C$5:$C$89,MATCH('IEPR Gas Prices Nominal'!$B298,'GDP Deflator'!$B$5:$B$89,0))/100)</f>
        <v>8.078288217466115</v>
      </c>
      <c r="G298" s="269">
        <f>'IEPR Gas Prices Real'!G298*(INDEX('GDP Deflator'!$C$5:$C$89,MATCH('IEPR Gas Prices Nominal'!$B298,'GDP Deflator'!$B$5:$B$89,0))/100)</f>
        <v>3.7086712128445294</v>
      </c>
      <c r="H298" s="270">
        <f>'IEPR Gas Prices Real'!H298*(INDEX('GDP Deflator'!$C$5:$C$89,MATCH('IEPR Gas Prices Nominal'!$B298,'GDP Deflator'!$B$5:$B$89,0))/100)</f>
        <v>11.786959430310644</v>
      </c>
      <c r="I298" s="269">
        <f>'IEPR Gas Prices Real'!I298*(INDEX('GDP Deflator'!$C$5:$C$89,MATCH('IEPR Gas Prices Nominal'!$B298,'GDP Deflator'!$B$5:$B$89,0))/100)</f>
        <v>8.4691298340618655</v>
      </c>
      <c r="J298" s="269">
        <f>'IEPR Gas Prices Real'!J298*(INDEX('GDP Deflator'!$C$5:$C$89,MATCH('IEPR Gas Prices Nominal'!$B298,'GDP Deflator'!$B$5:$B$89,0))/100)</f>
        <v>6.1270996085014193</v>
      </c>
      <c r="K298" s="269">
        <f>'IEPR Gas Prices Real'!K298*(INDEX('GDP Deflator'!$C$5:$C$89,MATCH('IEPR Gas Prices Nominal'!$B298,'GDP Deflator'!$B$5:$B$89,0))/100)</f>
        <v>14.596229442563287</v>
      </c>
      <c r="L298" s="268">
        <f>'IEPR Gas Prices Real'!L298*(INDEX('GDP Deflator'!$C$5:$C$89,MATCH('IEPR Gas Prices Nominal'!$B298,'GDP Deflator'!$B$5:$B$89,0))/100)</f>
        <v>8.7794677316876104</v>
      </c>
      <c r="M298" s="269">
        <f>'IEPR Gas Prices Real'!M298*(INDEX('GDP Deflator'!$C$5:$C$89,MATCH('IEPR Gas Prices Nominal'!$B298,'GDP Deflator'!$B$5:$B$89,0))/100)</f>
        <v>2.893547833317311</v>
      </c>
      <c r="N298" s="270">
        <f>'IEPR Gas Prices Real'!N298*(INDEX('GDP Deflator'!$C$5:$C$89,MATCH('IEPR Gas Prices Nominal'!$B298,'GDP Deflator'!$B$5:$B$89,0))/100)</f>
        <v>11.673015565004922</v>
      </c>
      <c r="O298" s="1"/>
      <c r="P298" s="274">
        <f t="shared" si="27"/>
        <v>8.4422952610718642</v>
      </c>
      <c r="Q298" s="275">
        <f t="shared" si="31"/>
        <v>12.685401479292951</v>
      </c>
      <c r="R298" s="171"/>
    </row>
    <row r="299" spans="2:18">
      <c r="B299" s="94">
        <f t="shared" si="28"/>
        <v>2046</v>
      </c>
      <c r="C299" s="1">
        <f t="shared" si="29"/>
        <v>6</v>
      </c>
      <c r="D299" s="213">
        <v>53479</v>
      </c>
      <c r="E299" s="1" t="str">
        <f t="shared" si="30"/>
        <v>6-2046</v>
      </c>
      <c r="F299" s="268">
        <f>'IEPR Gas Prices Real'!F299*(INDEX('GDP Deflator'!$C$5:$C$89,MATCH('IEPR Gas Prices Nominal'!$B299,'GDP Deflator'!$B$5:$B$89,0))/100)</f>
        <v>8.2870734004751689</v>
      </c>
      <c r="G299" s="269">
        <f>'IEPR Gas Prices Real'!G299*(INDEX('GDP Deflator'!$C$5:$C$89,MATCH('IEPR Gas Prices Nominal'!$B299,'GDP Deflator'!$B$5:$B$89,0))/100)</f>
        <v>3.7086712128445294</v>
      </c>
      <c r="H299" s="270">
        <f>'IEPR Gas Prices Real'!H299*(INDEX('GDP Deflator'!$C$5:$C$89,MATCH('IEPR Gas Prices Nominal'!$B299,'GDP Deflator'!$B$5:$B$89,0))/100)</f>
        <v>11.995744613319697</v>
      </c>
      <c r="I299" s="269">
        <f>'IEPR Gas Prices Real'!I299*(INDEX('GDP Deflator'!$C$5:$C$89,MATCH('IEPR Gas Prices Nominal'!$B299,'GDP Deflator'!$B$5:$B$89,0))/100)</f>
        <v>8.6879280457017405</v>
      </c>
      <c r="J299" s="269">
        <f>'IEPR Gas Prices Real'!J299*(INDEX('GDP Deflator'!$C$5:$C$89,MATCH('IEPR Gas Prices Nominal'!$B299,'GDP Deflator'!$B$5:$B$89,0))/100)</f>
        <v>6.1270996085014193</v>
      </c>
      <c r="K299" s="269">
        <f>'IEPR Gas Prices Real'!K299*(INDEX('GDP Deflator'!$C$5:$C$89,MATCH('IEPR Gas Prices Nominal'!$B299,'GDP Deflator'!$B$5:$B$89,0))/100)</f>
        <v>14.815027654203162</v>
      </c>
      <c r="L299" s="268">
        <f>'IEPR Gas Prices Real'!L299*(INDEX('GDP Deflator'!$C$5:$C$89,MATCH('IEPR Gas Prices Nominal'!$B299,'GDP Deflator'!$B$5:$B$89,0))/100)</f>
        <v>9.0062866236508476</v>
      </c>
      <c r="M299" s="269">
        <f>'IEPR Gas Prices Real'!M299*(INDEX('GDP Deflator'!$C$5:$C$89,MATCH('IEPR Gas Prices Nominal'!$B299,'GDP Deflator'!$B$5:$B$89,0))/100)</f>
        <v>2.893547833317311</v>
      </c>
      <c r="N299" s="270">
        <f>'IEPR Gas Prices Real'!N299*(INDEX('GDP Deflator'!$C$5:$C$89,MATCH('IEPR Gas Prices Nominal'!$B299,'GDP Deflator'!$B$5:$B$89,0))/100)</f>
        <v>11.899834456968158</v>
      </c>
      <c r="O299" s="1"/>
      <c r="P299" s="274">
        <f t="shared" si="27"/>
        <v>8.6604293566092529</v>
      </c>
      <c r="Q299" s="275">
        <f t="shared" si="31"/>
        <v>12.903535574830338</v>
      </c>
      <c r="R299" s="171"/>
    </row>
    <row r="300" spans="2:18">
      <c r="B300" s="94">
        <f t="shared" si="28"/>
        <v>2046</v>
      </c>
      <c r="C300" s="1">
        <f t="shared" si="29"/>
        <v>7</v>
      </c>
      <c r="D300" s="213">
        <v>53509</v>
      </c>
      <c r="E300" s="1" t="str">
        <f t="shared" si="30"/>
        <v>7-2046</v>
      </c>
      <c r="F300" s="268">
        <f>'IEPR Gas Prices Real'!F300*(INDEX('GDP Deflator'!$C$5:$C$89,MATCH('IEPR Gas Prices Nominal'!$B300,'GDP Deflator'!$B$5:$B$89,0))/100)</f>
        <v>8.3527631123185131</v>
      </c>
      <c r="G300" s="269">
        <f>'IEPR Gas Prices Real'!G300*(INDEX('GDP Deflator'!$C$5:$C$89,MATCH('IEPR Gas Prices Nominal'!$B300,'GDP Deflator'!$B$5:$B$89,0))/100)</f>
        <v>3.7086712128445294</v>
      </c>
      <c r="H300" s="270">
        <f>'IEPR Gas Prices Real'!H300*(INDEX('GDP Deflator'!$C$5:$C$89,MATCH('IEPR Gas Prices Nominal'!$B300,'GDP Deflator'!$B$5:$B$89,0))/100)</f>
        <v>12.061434325163042</v>
      </c>
      <c r="I300" s="269">
        <f>'IEPR Gas Prices Real'!I300*(INDEX('GDP Deflator'!$C$5:$C$89,MATCH('IEPR Gas Prices Nominal'!$B300,'GDP Deflator'!$B$5:$B$89,0))/100)</f>
        <v>8.7567061692543309</v>
      </c>
      <c r="J300" s="269">
        <f>'IEPR Gas Prices Real'!J300*(INDEX('GDP Deflator'!$C$5:$C$89,MATCH('IEPR Gas Prices Nominal'!$B300,'GDP Deflator'!$B$5:$B$89,0))/100)</f>
        <v>6.1270996085014193</v>
      </c>
      <c r="K300" s="269">
        <f>'IEPR Gas Prices Real'!K300*(INDEX('GDP Deflator'!$C$5:$C$89,MATCH('IEPR Gas Prices Nominal'!$B300,'GDP Deflator'!$B$5:$B$89,0))/100)</f>
        <v>14.883805777755752</v>
      </c>
      <c r="L300" s="268">
        <f>'IEPR Gas Prices Real'!L300*(INDEX('GDP Deflator'!$C$5:$C$89,MATCH('IEPR Gas Prices Nominal'!$B300,'GDP Deflator'!$B$5:$B$89,0))/100)</f>
        <v>9.0775882286332283</v>
      </c>
      <c r="M300" s="269">
        <f>'IEPR Gas Prices Real'!M300*(INDEX('GDP Deflator'!$C$5:$C$89,MATCH('IEPR Gas Prices Nominal'!$B300,'GDP Deflator'!$B$5:$B$89,0))/100)</f>
        <v>2.893547833317311</v>
      </c>
      <c r="N300" s="270">
        <f>'IEPR Gas Prices Real'!N300*(INDEX('GDP Deflator'!$C$5:$C$89,MATCH('IEPR Gas Prices Nominal'!$B300,'GDP Deflator'!$B$5:$B$89,0))/100)</f>
        <v>11.97113606195054</v>
      </c>
      <c r="O300" s="1"/>
      <c r="P300" s="274">
        <f t="shared" si="27"/>
        <v>8.7290191700686908</v>
      </c>
      <c r="Q300" s="275">
        <f t="shared" si="31"/>
        <v>12.972125388289777</v>
      </c>
      <c r="R300" s="171"/>
    </row>
    <row r="301" spans="2:18">
      <c r="B301" s="94">
        <f t="shared" si="28"/>
        <v>2046</v>
      </c>
      <c r="C301" s="1">
        <f t="shared" si="29"/>
        <v>8</v>
      </c>
      <c r="D301" s="213">
        <v>53540</v>
      </c>
      <c r="E301" s="1" t="str">
        <f t="shared" si="30"/>
        <v>8-2046</v>
      </c>
      <c r="F301" s="268">
        <f>'IEPR Gas Prices Real'!F301*(INDEX('GDP Deflator'!$C$5:$C$89,MATCH('IEPR Gas Prices Nominal'!$B301,'GDP Deflator'!$B$5:$B$89,0))/100)</f>
        <v>8.2881909250762398</v>
      </c>
      <c r="G301" s="269">
        <f>'IEPR Gas Prices Real'!G301*(INDEX('GDP Deflator'!$C$5:$C$89,MATCH('IEPR Gas Prices Nominal'!$B301,'GDP Deflator'!$B$5:$B$89,0))/100)</f>
        <v>3.7086712128445294</v>
      </c>
      <c r="H301" s="270">
        <f>'IEPR Gas Prices Real'!H301*(INDEX('GDP Deflator'!$C$5:$C$89,MATCH('IEPR Gas Prices Nominal'!$B301,'GDP Deflator'!$B$5:$B$89,0))/100)</f>
        <v>11.99686213792077</v>
      </c>
      <c r="I301" s="269">
        <f>'IEPR Gas Prices Real'!I301*(INDEX('GDP Deflator'!$C$5:$C$89,MATCH('IEPR Gas Prices Nominal'!$B301,'GDP Deflator'!$B$5:$B$89,0))/100)</f>
        <v>8.6889228542742778</v>
      </c>
      <c r="J301" s="269">
        <f>'IEPR Gas Prices Real'!J301*(INDEX('GDP Deflator'!$C$5:$C$89,MATCH('IEPR Gas Prices Nominal'!$B301,'GDP Deflator'!$B$5:$B$89,0))/100)</f>
        <v>6.1270996085014193</v>
      </c>
      <c r="K301" s="269">
        <f>'IEPR Gas Prices Real'!K301*(INDEX('GDP Deflator'!$C$5:$C$89,MATCH('IEPR Gas Prices Nominal'!$B301,'GDP Deflator'!$B$5:$B$89,0))/100)</f>
        <v>14.816022462775697</v>
      </c>
      <c r="L301" s="268">
        <f>'IEPR Gas Prices Real'!L301*(INDEX('GDP Deflator'!$C$5:$C$89,MATCH('IEPR Gas Prices Nominal'!$B301,'GDP Deflator'!$B$5:$B$89,0))/100)</f>
        <v>9.0073242179004165</v>
      </c>
      <c r="M301" s="269">
        <f>'IEPR Gas Prices Real'!M301*(INDEX('GDP Deflator'!$C$5:$C$89,MATCH('IEPR Gas Prices Nominal'!$B301,'GDP Deflator'!$B$5:$B$89,0))/100)</f>
        <v>2.893547833317311</v>
      </c>
      <c r="N301" s="270">
        <f>'IEPR Gas Prices Real'!N301*(INDEX('GDP Deflator'!$C$5:$C$89,MATCH('IEPR Gas Prices Nominal'!$B301,'GDP Deflator'!$B$5:$B$89,0))/100)</f>
        <v>11.900872051217727</v>
      </c>
      <c r="O301" s="1"/>
      <c r="P301" s="274">
        <f t="shared" si="27"/>
        <v>8.6614793324169792</v>
      </c>
      <c r="Q301" s="275">
        <f t="shared" si="31"/>
        <v>12.904585550638066</v>
      </c>
      <c r="R301" s="171"/>
    </row>
    <row r="302" spans="2:18">
      <c r="B302" s="94">
        <f t="shared" si="28"/>
        <v>2046</v>
      </c>
      <c r="C302" s="1">
        <f t="shared" si="29"/>
        <v>9</v>
      </c>
      <c r="D302" s="213">
        <v>53571</v>
      </c>
      <c r="E302" s="1" t="str">
        <f t="shared" si="30"/>
        <v>9-2046</v>
      </c>
      <c r="F302" s="268">
        <f>'IEPR Gas Prices Real'!F302*(INDEX('GDP Deflator'!$C$5:$C$89,MATCH('IEPR Gas Prices Nominal'!$B302,'GDP Deflator'!$B$5:$B$89,0))/100)</f>
        <v>8.4047161496682534</v>
      </c>
      <c r="G302" s="269">
        <f>'IEPR Gas Prices Real'!G302*(INDEX('GDP Deflator'!$C$5:$C$89,MATCH('IEPR Gas Prices Nominal'!$B302,'GDP Deflator'!$B$5:$B$89,0))/100)</f>
        <v>3.7086712128445294</v>
      </c>
      <c r="H302" s="270">
        <f>'IEPR Gas Prices Real'!H302*(INDEX('GDP Deflator'!$C$5:$C$89,MATCH('IEPR Gas Prices Nominal'!$B302,'GDP Deflator'!$B$5:$B$89,0))/100)</f>
        <v>12.113387362512782</v>
      </c>
      <c r="I302" s="269">
        <f>'IEPR Gas Prices Real'!I302*(INDEX('GDP Deflator'!$C$5:$C$89,MATCH('IEPR Gas Prices Nominal'!$B302,'GDP Deflator'!$B$5:$B$89,0))/100)</f>
        <v>8.8109924023261179</v>
      </c>
      <c r="J302" s="269">
        <f>'IEPR Gas Prices Real'!J302*(INDEX('GDP Deflator'!$C$5:$C$89,MATCH('IEPR Gas Prices Nominal'!$B302,'GDP Deflator'!$B$5:$B$89,0))/100)</f>
        <v>6.1270996085014193</v>
      </c>
      <c r="K302" s="269">
        <f>'IEPR Gas Prices Real'!K302*(INDEX('GDP Deflator'!$C$5:$C$89,MATCH('IEPR Gas Prices Nominal'!$B302,'GDP Deflator'!$B$5:$B$89,0))/100)</f>
        <v>14.938092010827537</v>
      </c>
      <c r="L302" s="268">
        <f>'IEPR Gas Prices Real'!L302*(INDEX('GDP Deflator'!$C$5:$C$89,MATCH('IEPR Gas Prices Nominal'!$B302,'GDP Deflator'!$B$5:$B$89,0))/100)</f>
        <v>9.1338701564394693</v>
      </c>
      <c r="M302" s="269">
        <f>'IEPR Gas Prices Real'!M302*(INDEX('GDP Deflator'!$C$5:$C$89,MATCH('IEPR Gas Prices Nominal'!$B302,'GDP Deflator'!$B$5:$B$89,0))/100)</f>
        <v>2.893547833317311</v>
      </c>
      <c r="N302" s="270">
        <f>'IEPR Gas Prices Real'!N302*(INDEX('GDP Deflator'!$C$5:$C$89,MATCH('IEPR Gas Prices Nominal'!$B302,'GDP Deflator'!$B$5:$B$89,0))/100)</f>
        <v>12.027417989756779</v>
      </c>
      <c r="O302" s="1"/>
      <c r="P302" s="274">
        <f t="shared" si="27"/>
        <v>8.7831929028112796</v>
      </c>
      <c r="Q302" s="275">
        <f t="shared" si="31"/>
        <v>13.026299121032366</v>
      </c>
      <c r="R302" s="171"/>
    </row>
    <row r="303" spans="2:18">
      <c r="B303" s="94">
        <f t="shared" si="28"/>
        <v>2046</v>
      </c>
      <c r="C303" s="1">
        <f t="shared" si="29"/>
        <v>10</v>
      </c>
      <c r="D303" s="213">
        <v>53601</v>
      </c>
      <c r="E303" s="1" t="str">
        <f t="shared" si="30"/>
        <v>10-2046</v>
      </c>
      <c r="F303" s="268">
        <f>'IEPR Gas Prices Real'!F303*(INDEX('GDP Deflator'!$C$5:$C$89,MATCH('IEPR Gas Prices Nominal'!$B303,'GDP Deflator'!$B$5:$B$89,0))/100)</f>
        <v>8.356228810278358</v>
      </c>
      <c r="G303" s="269">
        <f>'IEPR Gas Prices Real'!G303*(INDEX('GDP Deflator'!$C$5:$C$89,MATCH('IEPR Gas Prices Nominal'!$B303,'GDP Deflator'!$B$5:$B$89,0))/100)</f>
        <v>3.7086712128445294</v>
      </c>
      <c r="H303" s="270">
        <f>'IEPR Gas Prices Real'!H303*(INDEX('GDP Deflator'!$C$5:$C$89,MATCH('IEPR Gas Prices Nominal'!$B303,'GDP Deflator'!$B$5:$B$89,0))/100)</f>
        <v>12.064900023122886</v>
      </c>
      <c r="I303" s="269">
        <f>'IEPR Gas Prices Real'!I303*(INDEX('GDP Deflator'!$C$5:$C$89,MATCH('IEPR Gas Prices Nominal'!$B303,'GDP Deflator'!$B$5:$B$89,0))/100)</f>
        <v>8.7600720964456045</v>
      </c>
      <c r="J303" s="269">
        <f>'IEPR Gas Prices Real'!J303*(INDEX('GDP Deflator'!$C$5:$C$89,MATCH('IEPR Gas Prices Nominal'!$B303,'GDP Deflator'!$B$5:$B$89,0))/100)</f>
        <v>6.1270996085014193</v>
      </c>
      <c r="K303" s="269">
        <f>'IEPR Gas Prices Real'!K303*(INDEX('GDP Deflator'!$C$5:$C$89,MATCH('IEPR Gas Prices Nominal'!$B303,'GDP Deflator'!$B$5:$B$89,0))/100)</f>
        <v>14.887171704947024</v>
      </c>
      <c r="L303" s="268">
        <f>'IEPR Gas Prices Real'!L303*(INDEX('GDP Deflator'!$C$5:$C$89,MATCH('IEPR Gas Prices Nominal'!$B303,'GDP Deflator'!$B$5:$B$89,0))/100)</f>
        <v>9.081087075012622</v>
      </c>
      <c r="M303" s="269">
        <f>'IEPR Gas Prices Real'!M303*(INDEX('GDP Deflator'!$C$5:$C$89,MATCH('IEPR Gas Prices Nominal'!$B303,'GDP Deflator'!$B$5:$B$89,0))/100)</f>
        <v>2.893547833317311</v>
      </c>
      <c r="N303" s="270">
        <f>'IEPR Gas Prices Real'!N303*(INDEX('GDP Deflator'!$C$5:$C$89,MATCH('IEPR Gas Prices Nominal'!$B303,'GDP Deflator'!$B$5:$B$89,0))/100)</f>
        <v>11.974634908329934</v>
      </c>
      <c r="O303" s="1"/>
      <c r="P303" s="274">
        <f t="shared" si="27"/>
        <v>8.7324626605788627</v>
      </c>
      <c r="Q303" s="275">
        <f t="shared" si="31"/>
        <v>12.975568878799947</v>
      </c>
      <c r="R303" s="171"/>
    </row>
    <row r="304" spans="2:18">
      <c r="B304" s="94">
        <f t="shared" si="28"/>
        <v>2046</v>
      </c>
      <c r="C304" s="1">
        <f t="shared" si="29"/>
        <v>11</v>
      </c>
      <c r="D304" s="213">
        <v>53632</v>
      </c>
      <c r="E304" s="1" t="str">
        <f t="shared" si="30"/>
        <v>11-2046</v>
      </c>
      <c r="F304" s="268">
        <f>'IEPR Gas Prices Real'!F304*(INDEX('GDP Deflator'!$C$5:$C$89,MATCH('IEPR Gas Prices Nominal'!$B304,'GDP Deflator'!$B$5:$B$89,0))/100)</f>
        <v>8.7691929891914171</v>
      </c>
      <c r="G304" s="269">
        <f>'IEPR Gas Prices Real'!G304*(INDEX('GDP Deflator'!$C$5:$C$89,MATCH('IEPR Gas Prices Nominal'!$B304,'GDP Deflator'!$B$5:$B$89,0))/100)</f>
        <v>3.7086712128445294</v>
      </c>
      <c r="H304" s="270">
        <f>'IEPR Gas Prices Real'!H304*(INDEX('GDP Deflator'!$C$5:$C$89,MATCH('IEPR Gas Prices Nominal'!$B304,'GDP Deflator'!$B$5:$B$89,0))/100)</f>
        <v>12.477864202035946</v>
      </c>
      <c r="I304" s="269">
        <f>'IEPR Gas Prices Real'!I304*(INDEX('GDP Deflator'!$C$5:$C$89,MATCH('IEPR Gas Prices Nominal'!$B304,'GDP Deflator'!$B$5:$B$89,0))/100)</f>
        <v>9.1929006321192972</v>
      </c>
      <c r="J304" s="269">
        <f>'IEPR Gas Prices Real'!J304*(INDEX('GDP Deflator'!$C$5:$C$89,MATCH('IEPR Gas Prices Nominal'!$B304,'GDP Deflator'!$B$5:$B$89,0))/100)</f>
        <v>6.1270996085014193</v>
      </c>
      <c r="K304" s="269">
        <f>'IEPR Gas Prices Real'!K304*(INDEX('GDP Deflator'!$C$5:$C$89,MATCH('IEPR Gas Prices Nominal'!$B304,'GDP Deflator'!$B$5:$B$89,0))/100)</f>
        <v>15.320000240620717</v>
      </c>
      <c r="L304" s="268">
        <f>'IEPR Gas Prices Real'!L304*(INDEX('GDP Deflator'!$C$5:$C$89,MATCH('IEPR Gas Prices Nominal'!$B304,'GDP Deflator'!$B$5:$B$89,0))/100)</f>
        <v>9.529780069018436</v>
      </c>
      <c r="M304" s="269">
        <f>'IEPR Gas Prices Real'!M304*(INDEX('GDP Deflator'!$C$5:$C$89,MATCH('IEPR Gas Prices Nominal'!$B304,'GDP Deflator'!$B$5:$B$89,0))/100)</f>
        <v>2.893547833317311</v>
      </c>
      <c r="N304" s="270">
        <f>'IEPR Gas Prices Real'!N304*(INDEX('GDP Deflator'!$C$5:$C$89,MATCH('IEPR Gas Prices Nominal'!$B304,'GDP Deflator'!$B$5:$B$89,0))/100)</f>
        <v>12.423327902335748</v>
      </c>
      <c r="O304" s="1"/>
      <c r="P304" s="274">
        <f t="shared" si="27"/>
        <v>9.1639578967763828</v>
      </c>
      <c r="Q304" s="275">
        <f t="shared" si="31"/>
        <v>13.407064114997469</v>
      </c>
      <c r="R304" s="171"/>
    </row>
    <row r="305" spans="2:18">
      <c r="B305" s="94">
        <f t="shared" si="28"/>
        <v>2046</v>
      </c>
      <c r="C305" s="1">
        <f t="shared" si="29"/>
        <v>12</v>
      </c>
      <c r="D305" s="213">
        <v>53662</v>
      </c>
      <c r="E305" s="1" t="str">
        <f t="shared" si="30"/>
        <v>12-2046</v>
      </c>
      <c r="F305" s="268">
        <f>'IEPR Gas Prices Real'!F305*(INDEX('GDP Deflator'!$C$5:$C$89,MATCH('IEPR Gas Prices Nominal'!$B305,'GDP Deflator'!$B$5:$B$89,0))/100)</f>
        <v>8.8396694589434883</v>
      </c>
      <c r="G305" s="269">
        <f>'IEPR Gas Prices Real'!G305*(INDEX('GDP Deflator'!$C$5:$C$89,MATCH('IEPR Gas Prices Nominal'!$B305,'GDP Deflator'!$B$5:$B$89,0))/100)</f>
        <v>3.7086712128445294</v>
      </c>
      <c r="H305" s="270">
        <f>'IEPR Gas Prices Real'!H305*(INDEX('GDP Deflator'!$C$5:$C$89,MATCH('IEPR Gas Prices Nominal'!$B305,'GDP Deflator'!$B$5:$B$89,0))/100)</f>
        <v>12.548340671788017</v>
      </c>
      <c r="I305" s="269">
        <f>'IEPR Gas Prices Real'!I305*(INDEX('GDP Deflator'!$C$5:$C$89,MATCH('IEPR Gas Prices Nominal'!$B305,'GDP Deflator'!$B$5:$B$89,0))/100)</f>
        <v>9.2666880580302688</v>
      </c>
      <c r="J305" s="269">
        <f>'IEPR Gas Prices Real'!J305*(INDEX('GDP Deflator'!$C$5:$C$89,MATCH('IEPR Gas Prices Nominal'!$B305,'GDP Deflator'!$B$5:$B$89,0))/100)</f>
        <v>6.1270996085014193</v>
      </c>
      <c r="K305" s="269">
        <f>'IEPR Gas Prices Real'!K305*(INDEX('GDP Deflator'!$C$5:$C$89,MATCH('IEPR Gas Prices Nominal'!$B305,'GDP Deflator'!$B$5:$B$89,0))/100)</f>
        <v>15.39378766653169</v>
      </c>
      <c r="L305" s="268">
        <f>'IEPR Gas Prices Real'!L305*(INDEX('GDP Deflator'!$C$5:$C$89,MATCH('IEPR Gas Prices Nominal'!$B305,'GDP Deflator'!$B$5:$B$89,0))/100)</f>
        <v>9.6062748584147499</v>
      </c>
      <c r="M305" s="269">
        <f>'IEPR Gas Prices Real'!M305*(INDEX('GDP Deflator'!$C$5:$C$89,MATCH('IEPR Gas Prices Nominal'!$B305,'GDP Deflator'!$B$5:$B$89,0))/100)</f>
        <v>2.893547833317311</v>
      </c>
      <c r="N305" s="270">
        <f>'IEPR Gas Prices Real'!N305*(INDEX('GDP Deflator'!$C$5:$C$89,MATCH('IEPR Gas Prices Nominal'!$B305,'GDP Deflator'!$B$5:$B$89,0))/100)</f>
        <v>12.499822691732062</v>
      </c>
      <c r="O305" s="1"/>
      <c r="P305" s="274">
        <f t="shared" si="27"/>
        <v>9.237544125129503</v>
      </c>
      <c r="Q305" s="275">
        <f t="shared" si="31"/>
        <v>13.48065034335059</v>
      </c>
      <c r="R305" s="171"/>
    </row>
    <row r="306" spans="2:18">
      <c r="B306" s="94">
        <f t="shared" si="28"/>
        <v>2047</v>
      </c>
      <c r="C306" s="1">
        <f t="shared" si="29"/>
        <v>1</v>
      </c>
      <c r="D306" s="213">
        <v>53693</v>
      </c>
      <c r="E306" s="1" t="str">
        <f t="shared" si="30"/>
        <v>1-2047</v>
      </c>
      <c r="F306" s="268">
        <f>'IEPR Gas Prices Real'!F306*(INDEX('GDP Deflator'!$C$5:$C$89,MATCH('IEPR Gas Prices Nominal'!$B306,'GDP Deflator'!$B$5:$B$89,0))/100)</f>
        <v>9.0412852317920187</v>
      </c>
      <c r="G306" s="269">
        <f>'IEPR Gas Prices Real'!G306*(INDEX('GDP Deflator'!$C$5:$C$89,MATCH('IEPR Gas Prices Nominal'!$B306,'GDP Deflator'!$B$5:$B$89,0))/100)</f>
        <v>3.9442574785617794</v>
      </c>
      <c r="H306" s="270">
        <f>'IEPR Gas Prices Real'!H306*(INDEX('GDP Deflator'!$C$5:$C$89,MATCH('IEPR Gas Prices Nominal'!$B306,'GDP Deflator'!$B$5:$B$89,0))/100)</f>
        <v>12.985542710353798</v>
      </c>
      <c r="I306" s="269">
        <f>'IEPR Gas Prices Real'!I306*(INDEX('GDP Deflator'!$C$5:$C$89,MATCH('IEPR Gas Prices Nominal'!$B306,'GDP Deflator'!$B$5:$B$89,0))/100)</f>
        <v>9.477952978099017</v>
      </c>
      <c r="J306" s="269">
        <f>'IEPR Gas Prices Real'!J306*(INDEX('GDP Deflator'!$C$5:$C$89,MATCH('IEPR Gas Prices Nominal'!$B306,'GDP Deflator'!$B$5:$B$89,0))/100)</f>
        <v>6.5171591112633553</v>
      </c>
      <c r="K306" s="269">
        <f>'IEPR Gas Prices Real'!K306*(INDEX('GDP Deflator'!$C$5:$C$89,MATCH('IEPR Gas Prices Nominal'!$B306,'GDP Deflator'!$B$5:$B$89,0))/100)</f>
        <v>15.995112089362372</v>
      </c>
      <c r="L306" s="268">
        <f>'IEPR Gas Prices Real'!L306*(INDEX('GDP Deflator'!$C$5:$C$89,MATCH('IEPR Gas Prices Nominal'!$B306,'GDP Deflator'!$B$5:$B$89,0))/100)</f>
        <v>9.8252859428027275</v>
      </c>
      <c r="M306" s="269">
        <f>'IEPR Gas Prices Real'!M306*(INDEX('GDP Deflator'!$C$5:$C$89,MATCH('IEPR Gas Prices Nominal'!$B306,'GDP Deflator'!$B$5:$B$89,0))/100)</f>
        <v>3.0777550277810013</v>
      </c>
      <c r="N306" s="270">
        <f>'IEPR Gas Prices Real'!N306*(INDEX('GDP Deflator'!$C$5:$C$89,MATCH('IEPR Gas Prices Nominal'!$B306,'GDP Deflator'!$B$5:$B$89,0))/100)</f>
        <v>12.903040970583728</v>
      </c>
      <c r="O306" s="1"/>
      <c r="P306" s="274">
        <f t="shared" si="27"/>
        <v>9.4481747175645889</v>
      </c>
      <c r="Q306" s="275">
        <f t="shared" si="31"/>
        <v>13.961231923433298</v>
      </c>
      <c r="R306" s="171"/>
    </row>
    <row r="307" spans="2:18">
      <c r="B307" s="94">
        <f t="shared" si="28"/>
        <v>2047</v>
      </c>
      <c r="C307" s="1">
        <f t="shared" si="29"/>
        <v>2</v>
      </c>
      <c r="D307" s="213">
        <v>53724</v>
      </c>
      <c r="E307" s="1" t="str">
        <f t="shared" si="30"/>
        <v>2-2047</v>
      </c>
      <c r="F307" s="268">
        <f>'IEPR Gas Prices Real'!F307*(INDEX('GDP Deflator'!$C$5:$C$89,MATCH('IEPR Gas Prices Nominal'!$B307,'GDP Deflator'!$B$5:$B$89,0))/100)</f>
        <v>8.8430288520353511</v>
      </c>
      <c r="G307" s="269">
        <f>'IEPR Gas Prices Real'!G307*(INDEX('GDP Deflator'!$C$5:$C$89,MATCH('IEPR Gas Prices Nominal'!$B307,'GDP Deflator'!$B$5:$B$89,0))/100)</f>
        <v>3.9442574785617794</v>
      </c>
      <c r="H307" s="270">
        <f>'IEPR Gas Prices Real'!H307*(INDEX('GDP Deflator'!$C$5:$C$89,MATCH('IEPR Gas Prices Nominal'!$B307,'GDP Deflator'!$B$5:$B$89,0))/100)</f>
        <v>12.78728633059713</v>
      </c>
      <c r="I307" s="269">
        <f>'IEPR Gas Prices Real'!I307*(INDEX('GDP Deflator'!$C$5:$C$89,MATCH('IEPR Gas Prices Nominal'!$B307,'GDP Deflator'!$B$5:$B$89,0))/100)</f>
        <v>9.270033043678799</v>
      </c>
      <c r="J307" s="269">
        <f>'IEPR Gas Prices Real'!J307*(INDEX('GDP Deflator'!$C$5:$C$89,MATCH('IEPR Gas Prices Nominal'!$B307,'GDP Deflator'!$B$5:$B$89,0))/100)</f>
        <v>6.5171591112633553</v>
      </c>
      <c r="K307" s="269">
        <f>'IEPR Gas Prices Real'!K307*(INDEX('GDP Deflator'!$C$5:$C$89,MATCH('IEPR Gas Prices Nominal'!$B307,'GDP Deflator'!$B$5:$B$89,0))/100)</f>
        <v>15.787192154942153</v>
      </c>
      <c r="L307" s="268">
        <f>'IEPR Gas Prices Real'!L307*(INDEX('GDP Deflator'!$C$5:$C$89,MATCH('IEPR Gas Prices Nominal'!$B307,'GDP Deflator'!$B$5:$B$89,0))/100)</f>
        <v>9.6097505539497856</v>
      </c>
      <c r="M307" s="269">
        <f>'IEPR Gas Prices Real'!M307*(INDEX('GDP Deflator'!$C$5:$C$89,MATCH('IEPR Gas Prices Nominal'!$B307,'GDP Deflator'!$B$5:$B$89,0))/100)</f>
        <v>3.0777550277810013</v>
      </c>
      <c r="N307" s="270">
        <f>'IEPR Gas Prices Real'!N307*(INDEX('GDP Deflator'!$C$5:$C$89,MATCH('IEPR Gas Prices Nominal'!$B307,'GDP Deflator'!$B$5:$B$89,0))/100)</f>
        <v>12.687505581730788</v>
      </c>
      <c r="O307" s="1"/>
      <c r="P307" s="274">
        <f t="shared" si="27"/>
        <v>9.2409374832213107</v>
      </c>
      <c r="Q307" s="275">
        <f t="shared" si="31"/>
        <v>13.753994689090023</v>
      </c>
      <c r="R307" s="171"/>
    </row>
    <row r="308" spans="2:18">
      <c r="B308" s="94">
        <f t="shared" si="28"/>
        <v>2047</v>
      </c>
      <c r="C308" s="1">
        <f t="shared" si="29"/>
        <v>3</v>
      </c>
      <c r="D308" s="213">
        <v>53752</v>
      </c>
      <c r="E308" s="1" t="str">
        <f t="shared" si="30"/>
        <v>3-2047</v>
      </c>
      <c r="F308" s="268">
        <f>'IEPR Gas Prices Real'!F308*(INDEX('GDP Deflator'!$C$5:$C$89,MATCH('IEPR Gas Prices Nominal'!$B308,'GDP Deflator'!$B$5:$B$89,0))/100)</f>
        <v>8.1178998256150603</v>
      </c>
      <c r="G308" s="269">
        <f>'IEPR Gas Prices Real'!G308*(INDEX('GDP Deflator'!$C$5:$C$89,MATCH('IEPR Gas Prices Nominal'!$B308,'GDP Deflator'!$B$5:$B$89,0))/100)</f>
        <v>3.9442574785617794</v>
      </c>
      <c r="H308" s="270">
        <f>'IEPR Gas Prices Real'!H308*(INDEX('GDP Deflator'!$C$5:$C$89,MATCH('IEPR Gas Prices Nominal'!$B308,'GDP Deflator'!$B$5:$B$89,0))/100)</f>
        <v>12.062157304176841</v>
      </c>
      <c r="I308" s="269">
        <f>'IEPR Gas Prices Real'!I308*(INDEX('GDP Deflator'!$C$5:$C$89,MATCH('IEPR Gas Prices Nominal'!$B308,'GDP Deflator'!$B$5:$B$89,0))/100)</f>
        <v>8.5098085301403259</v>
      </c>
      <c r="J308" s="269">
        <f>'IEPR Gas Prices Real'!J308*(INDEX('GDP Deflator'!$C$5:$C$89,MATCH('IEPR Gas Prices Nominal'!$B308,'GDP Deflator'!$B$5:$B$89,0))/100)</f>
        <v>6.5171591112633553</v>
      </c>
      <c r="K308" s="269">
        <f>'IEPR Gas Prices Real'!K308*(INDEX('GDP Deflator'!$C$5:$C$89,MATCH('IEPR Gas Prices Nominal'!$B308,'GDP Deflator'!$B$5:$B$89,0))/100)</f>
        <v>15.026967641403681</v>
      </c>
      <c r="L308" s="268">
        <f>'IEPR Gas Prices Real'!L308*(INDEX('GDP Deflator'!$C$5:$C$89,MATCH('IEPR Gas Prices Nominal'!$B308,'GDP Deflator'!$B$5:$B$89,0))/100)</f>
        <v>8.821669938783085</v>
      </c>
      <c r="M308" s="269">
        <f>'IEPR Gas Prices Real'!M308*(INDEX('GDP Deflator'!$C$5:$C$89,MATCH('IEPR Gas Prices Nominal'!$B308,'GDP Deflator'!$B$5:$B$89,0))/100)</f>
        <v>3.0777550277810013</v>
      </c>
      <c r="N308" s="270">
        <f>'IEPR Gas Prices Real'!N308*(INDEX('GDP Deflator'!$C$5:$C$89,MATCH('IEPR Gas Prices Nominal'!$B308,'GDP Deflator'!$B$5:$B$89,0))/100)</f>
        <v>11.899424966564087</v>
      </c>
      <c r="O308" s="1"/>
      <c r="P308" s="274">
        <f t="shared" si="27"/>
        <v>8.4831260981794916</v>
      </c>
      <c r="Q308" s="275">
        <f t="shared" si="31"/>
        <v>12.996183304048202</v>
      </c>
      <c r="R308" s="171"/>
    </row>
    <row r="309" spans="2:18">
      <c r="B309" s="94">
        <f t="shared" si="28"/>
        <v>2047</v>
      </c>
      <c r="C309" s="1">
        <f t="shared" si="29"/>
        <v>4</v>
      </c>
      <c r="D309" s="213">
        <v>53783</v>
      </c>
      <c r="E309" s="1" t="str">
        <f t="shared" si="30"/>
        <v>4-2047</v>
      </c>
      <c r="F309" s="268">
        <f>'IEPR Gas Prices Real'!F309*(INDEX('GDP Deflator'!$C$5:$C$89,MATCH('IEPR Gas Prices Nominal'!$B309,'GDP Deflator'!$B$5:$B$89,0))/100)</f>
        <v>7.9797462346134163</v>
      </c>
      <c r="G309" s="269">
        <f>'IEPR Gas Prices Real'!G309*(INDEX('GDP Deflator'!$C$5:$C$89,MATCH('IEPR Gas Prices Nominal'!$B309,'GDP Deflator'!$B$5:$B$89,0))/100)</f>
        <v>3.9442574785617794</v>
      </c>
      <c r="H309" s="270">
        <f>'IEPR Gas Prices Real'!H309*(INDEX('GDP Deflator'!$C$5:$C$89,MATCH('IEPR Gas Prices Nominal'!$B309,'GDP Deflator'!$B$5:$B$89,0))/100)</f>
        <v>11.924003713175196</v>
      </c>
      <c r="I309" s="269">
        <f>'IEPR Gas Prices Real'!I309*(INDEX('GDP Deflator'!$C$5:$C$89,MATCH('IEPR Gas Prices Nominal'!$B309,'GDP Deflator'!$B$5:$B$89,0))/100)</f>
        <v>8.3649055454519345</v>
      </c>
      <c r="J309" s="269">
        <f>'IEPR Gas Prices Real'!J309*(INDEX('GDP Deflator'!$C$5:$C$89,MATCH('IEPR Gas Prices Nominal'!$B309,'GDP Deflator'!$B$5:$B$89,0))/100)</f>
        <v>6.5171591112633553</v>
      </c>
      <c r="K309" s="269">
        <f>'IEPR Gas Prices Real'!K309*(INDEX('GDP Deflator'!$C$5:$C$89,MATCH('IEPR Gas Prices Nominal'!$B309,'GDP Deflator'!$B$5:$B$89,0))/100)</f>
        <v>14.882064656715292</v>
      </c>
      <c r="L309" s="268">
        <f>'IEPR Gas Prices Real'!L309*(INDEX('GDP Deflator'!$C$5:$C$89,MATCH('IEPR Gas Prices Nominal'!$B309,'GDP Deflator'!$B$5:$B$89,0))/100)</f>
        <v>8.671460321523762</v>
      </c>
      <c r="M309" s="269">
        <f>'IEPR Gas Prices Real'!M309*(INDEX('GDP Deflator'!$C$5:$C$89,MATCH('IEPR Gas Prices Nominal'!$B309,'GDP Deflator'!$B$5:$B$89,0))/100)</f>
        <v>3.0777550277810013</v>
      </c>
      <c r="N309" s="270">
        <f>'IEPR Gas Prices Real'!N309*(INDEX('GDP Deflator'!$C$5:$C$89,MATCH('IEPR Gas Prices Nominal'!$B309,'GDP Deflator'!$B$5:$B$89,0))/100)</f>
        <v>11.749215349304762</v>
      </c>
      <c r="O309" s="1"/>
      <c r="P309" s="274">
        <f t="shared" si="27"/>
        <v>8.3387040338630385</v>
      </c>
      <c r="Q309" s="275">
        <f t="shared" si="31"/>
        <v>12.851761239731751</v>
      </c>
      <c r="R309" s="171"/>
    </row>
    <row r="310" spans="2:18">
      <c r="B310" s="94">
        <f t="shared" si="28"/>
        <v>2047</v>
      </c>
      <c r="C310" s="1">
        <f t="shared" si="29"/>
        <v>5</v>
      </c>
      <c r="D310" s="213">
        <v>53813</v>
      </c>
      <c r="E310" s="1" t="str">
        <f t="shared" si="30"/>
        <v>5-2047</v>
      </c>
      <c r="F310" s="268">
        <f>'IEPR Gas Prices Real'!F310*(INDEX('GDP Deflator'!$C$5:$C$89,MATCH('IEPR Gas Prices Nominal'!$B310,'GDP Deflator'!$B$5:$B$89,0))/100)</f>
        <v>8.2574402539419687</v>
      </c>
      <c r="G310" s="269">
        <f>'IEPR Gas Prices Real'!G310*(INDEX('GDP Deflator'!$C$5:$C$89,MATCH('IEPR Gas Prices Nominal'!$B310,'GDP Deflator'!$B$5:$B$89,0))/100)</f>
        <v>3.9442574785617794</v>
      </c>
      <c r="H310" s="270">
        <f>'IEPR Gas Prices Real'!H310*(INDEX('GDP Deflator'!$C$5:$C$89,MATCH('IEPR Gas Prices Nominal'!$B310,'GDP Deflator'!$B$5:$B$89,0))/100)</f>
        <v>12.201697732503746</v>
      </c>
      <c r="I310" s="269">
        <f>'IEPR Gas Prices Real'!I310*(INDEX('GDP Deflator'!$C$5:$C$89,MATCH('IEPR Gas Prices Nominal'!$B310,'GDP Deflator'!$B$5:$B$89,0))/100)</f>
        <v>8.6559205328420727</v>
      </c>
      <c r="J310" s="269">
        <f>'IEPR Gas Prices Real'!J310*(INDEX('GDP Deflator'!$C$5:$C$89,MATCH('IEPR Gas Prices Nominal'!$B310,'GDP Deflator'!$B$5:$B$89,0))/100)</f>
        <v>6.5171591112633553</v>
      </c>
      <c r="K310" s="269">
        <f>'IEPR Gas Prices Real'!K310*(INDEX('GDP Deflator'!$C$5:$C$89,MATCH('IEPR Gas Prices Nominal'!$B310,'GDP Deflator'!$B$5:$B$89,0))/100)</f>
        <v>15.173079644105428</v>
      </c>
      <c r="L310" s="268">
        <f>'IEPR Gas Prices Real'!L310*(INDEX('GDP Deflator'!$C$5:$C$89,MATCH('IEPR Gas Prices Nominal'!$B310,'GDP Deflator'!$B$5:$B$89,0))/100)</f>
        <v>8.9731441437407415</v>
      </c>
      <c r="M310" s="269">
        <f>'IEPR Gas Prices Real'!M310*(INDEX('GDP Deflator'!$C$5:$C$89,MATCH('IEPR Gas Prices Nominal'!$B310,'GDP Deflator'!$B$5:$B$89,0))/100)</f>
        <v>3.0777550277810013</v>
      </c>
      <c r="N310" s="270">
        <f>'IEPR Gas Prices Real'!N310*(INDEX('GDP Deflator'!$C$5:$C$89,MATCH('IEPR Gas Prices Nominal'!$B310,'GDP Deflator'!$B$5:$B$89,0))/100)</f>
        <v>12.050899171521742</v>
      </c>
      <c r="O310" s="1"/>
      <c r="P310" s="274">
        <f t="shared" si="27"/>
        <v>8.6288349768415937</v>
      </c>
      <c r="Q310" s="275">
        <f t="shared" si="31"/>
        <v>13.141892182710306</v>
      </c>
      <c r="R310" s="171"/>
    </row>
    <row r="311" spans="2:18">
      <c r="B311" s="94">
        <f t="shared" si="28"/>
        <v>2047</v>
      </c>
      <c r="C311" s="1">
        <f t="shared" si="29"/>
        <v>6</v>
      </c>
      <c r="D311" s="213">
        <v>53844</v>
      </c>
      <c r="E311" s="1" t="str">
        <f t="shared" si="30"/>
        <v>6-2047</v>
      </c>
      <c r="F311" s="268">
        <f>'IEPR Gas Prices Real'!F311*(INDEX('GDP Deflator'!$C$5:$C$89,MATCH('IEPR Gas Prices Nominal'!$B311,'GDP Deflator'!$B$5:$B$89,0))/100)</f>
        <v>8.4708879139332307</v>
      </c>
      <c r="G311" s="269">
        <f>'IEPR Gas Prices Real'!G311*(INDEX('GDP Deflator'!$C$5:$C$89,MATCH('IEPR Gas Prices Nominal'!$B311,'GDP Deflator'!$B$5:$B$89,0))/100)</f>
        <v>3.9442574785617794</v>
      </c>
      <c r="H311" s="270">
        <f>'IEPR Gas Prices Real'!H311*(INDEX('GDP Deflator'!$C$5:$C$89,MATCH('IEPR Gas Prices Nominal'!$B311,'GDP Deflator'!$B$5:$B$89,0))/100)</f>
        <v>12.415145392495008</v>
      </c>
      <c r="I311" s="269">
        <f>'IEPR Gas Prices Real'!I311*(INDEX('GDP Deflator'!$C$5:$C$89,MATCH('IEPR Gas Prices Nominal'!$B311,'GDP Deflator'!$B$5:$B$89,0))/100)</f>
        <v>8.8795839009143283</v>
      </c>
      <c r="J311" s="269">
        <f>'IEPR Gas Prices Real'!J311*(INDEX('GDP Deflator'!$C$5:$C$89,MATCH('IEPR Gas Prices Nominal'!$B311,'GDP Deflator'!$B$5:$B$89,0))/100)</f>
        <v>6.5171591112633553</v>
      </c>
      <c r="K311" s="269">
        <f>'IEPR Gas Prices Real'!K311*(INDEX('GDP Deflator'!$C$5:$C$89,MATCH('IEPR Gas Prices Nominal'!$B311,'GDP Deflator'!$B$5:$B$89,0))/100)</f>
        <v>15.396743012177684</v>
      </c>
      <c r="L311" s="268">
        <f>'IEPR Gas Prices Real'!L311*(INDEX('GDP Deflator'!$C$5:$C$89,MATCH('IEPR Gas Prices Nominal'!$B311,'GDP Deflator'!$B$5:$B$89,0))/100)</f>
        <v>9.2050082595161307</v>
      </c>
      <c r="M311" s="269">
        <f>'IEPR Gas Prices Real'!M311*(INDEX('GDP Deflator'!$C$5:$C$89,MATCH('IEPR Gas Prices Nominal'!$B311,'GDP Deflator'!$B$5:$B$89,0))/100)</f>
        <v>3.0777550277810013</v>
      </c>
      <c r="N311" s="270">
        <f>'IEPR Gas Prices Real'!N311*(INDEX('GDP Deflator'!$C$5:$C$89,MATCH('IEPR Gas Prices Nominal'!$B311,'GDP Deflator'!$B$5:$B$89,0))/100)</f>
        <v>12.282763287297131</v>
      </c>
      <c r="O311" s="1"/>
      <c r="P311" s="274">
        <f t="shared" si="27"/>
        <v>8.8518266914545638</v>
      </c>
      <c r="Q311" s="275">
        <f t="shared" si="31"/>
        <v>13.364883897323274</v>
      </c>
      <c r="R311" s="171"/>
    </row>
    <row r="312" spans="2:18">
      <c r="B312" s="94">
        <f t="shared" si="28"/>
        <v>2047</v>
      </c>
      <c r="C312" s="1">
        <f t="shared" si="29"/>
        <v>7</v>
      </c>
      <c r="D312" s="213">
        <v>53874</v>
      </c>
      <c r="E312" s="1" t="str">
        <f t="shared" si="30"/>
        <v>7-2047</v>
      </c>
      <c r="F312" s="268">
        <f>'IEPR Gas Prices Real'!F312*(INDEX('GDP Deflator'!$C$5:$C$89,MATCH('IEPR Gas Prices Nominal'!$B312,'GDP Deflator'!$B$5:$B$89,0))/100)</f>
        <v>8.5380671918095619</v>
      </c>
      <c r="G312" s="269">
        <f>'IEPR Gas Prices Real'!G312*(INDEX('GDP Deflator'!$C$5:$C$89,MATCH('IEPR Gas Prices Nominal'!$B312,'GDP Deflator'!$B$5:$B$89,0))/100)</f>
        <v>3.9442574785617794</v>
      </c>
      <c r="H312" s="270">
        <f>'IEPR Gas Prices Real'!H312*(INDEX('GDP Deflator'!$C$5:$C$89,MATCH('IEPR Gas Prices Nominal'!$B312,'GDP Deflator'!$B$5:$B$89,0))/100)</f>
        <v>12.482324670371341</v>
      </c>
      <c r="I312" s="269">
        <f>'IEPR Gas Prices Real'!I312*(INDEX('GDP Deflator'!$C$5:$C$89,MATCH('IEPR Gas Prices Nominal'!$B312,'GDP Deflator'!$B$5:$B$89,0))/100)</f>
        <v>8.9499190456782411</v>
      </c>
      <c r="J312" s="269">
        <f>'IEPR Gas Prices Real'!J312*(INDEX('GDP Deflator'!$C$5:$C$89,MATCH('IEPR Gas Prices Nominal'!$B312,'GDP Deflator'!$B$5:$B$89,0))/100)</f>
        <v>6.5171591112633553</v>
      </c>
      <c r="K312" s="269">
        <f>'IEPR Gas Prices Real'!K312*(INDEX('GDP Deflator'!$C$5:$C$89,MATCH('IEPR Gas Prices Nominal'!$B312,'GDP Deflator'!$B$5:$B$89,0))/100)</f>
        <v>15.467078156941596</v>
      </c>
      <c r="L312" s="268">
        <f>'IEPR Gas Prices Real'!L312*(INDEX('GDP Deflator'!$C$5:$C$89,MATCH('IEPR Gas Prices Nominal'!$B312,'GDP Deflator'!$B$5:$B$89,0))/100)</f>
        <v>9.2779250159700837</v>
      </c>
      <c r="M312" s="269">
        <f>'IEPR Gas Prices Real'!M312*(INDEX('GDP Deflator'!$C$5:$C$89,MATCH('IEPR Gas Prices Nominal'!$B312,'GDP Deflator'!$B$5:$B$89,0))/100)</f>
        <v>3.0777550277810013</v>
      </c>
      <c r="N312" s="270">
        <f>'IEPR Gas Prices Real'!N312*(INDEX('GDP Deflator'!$C$5:$C$89,MATCH('IEPR Gas Prices Nominal'!$B312,'GDP Deflator'!$B$5:$B$89,0))/100)</f>
        <v>12.355680043751086</v>
      </c>
      <c r="O312" s="1"/>
      <c r="P312" s="274">
        <f t="shared" si="27"/>
        <v>8.9219704178192956</v>
      </c>
      <c r="Q312" s="275">
        <f t="shared" si="31"/>
        <v>13.435027623688008</v>
      </c>
      <c r="R312" s="171"/>
    </row>
    <row r="313" spans="2:18">
      <c r="B313" s="94">
        <f t="shared" si="28"/>
        <v>2047</v>
      </c>
      <c r="C313" s="1">
        <f t="shared" si="29"/>
        <v>8</v>
      </c>
      <c r="D313" s="213">
        <v>53905</v>
      </c>
      <c r="E313" s="1" t="str">
        <f t="shared" si="30"/>
        <v>8-2047</v>
      </c>
      <c r="F313" s="268">
        <f>'IEPR Gas Prices Real'!F313*(INDEX('GDP Deflator'!$C$5:$C$89,MATCH('IEPR Gas Prices Nominal'!$B313,'GDP Deflator'!$B$5:$B$89,0))/100)</f>
        <v>8.4720947485661675</v>
      </c>
      <c r="G313" s="269">
        <f>'IEPR Gas Prices Real'!G313*(INDEX('GDP Deflator'!$C$5:$C$89,MATCH('IEPR Gas Prices Nominal'!$B313,'GDP Deflator'!$B$5:$B$89,0))/100)</f>
        <v>3.9442574785617794</v>
      </c>
      <c r="H313" s="270">
        <f>'IEPR Gas Prices Real'!H313*(INDEX('GDP Deflator'!$C$5:$C$89,MATCH('IEPR Gas Prices Nominal'!$B313,'GDP Deflator'!$B$5:$B$89,0))/100)</f>
        <v>12.416352227127947</v>
      </c>
      <c r="I313" s="269">
        <f>'IEPR Gas Prices Real'!I313*(INDEX('GDP Deflator'!$C$5:$C$89,MATCH('IEPR Gas Prices Nominal'!$B313,'GDP Deflator'!$B$5:$B$89,0))/100)</f>
        <v>8.8806795928764224</v>
      </c>
      <c r="J313" s="269">
        <f>'IEPR Gas Prices Real'!J313*(INDEX('GDP Deflator'!$C$5:$C$89,MATCH('IEPR Gas Prices Nominal'!$B313,'GDP Deflator'!$B$5:$B$89,0))/100)</f>
        <v>6.5171591112633553</v>
      </c>
      <c r="K313" s="269">
        <f>'IEPR Gas Prices Real'!K313*(INDEX('GDP Deflator'!$C$5:$C$89,MATCH('IEPR Gas Prices Nominal'!$B313,'GDP Deflator'!$B$5:$B$89,0))/100)</f>
        <v>15.397838704139778</v>
      </c>
      <c r="L313" s="268">
        <f>'IEPR Gas Prices Real'!L313*(INDEX('GDP Deflator'!$C$5:$C$89,MATCH('IEPR Gas Prices Nominal'!$B313,'GDP Deflator'!$B$5:$B$89,0))/100)</f>
        <v>9.2061519002964687</v>
      </c>
      <c r="M313" s="269">
        <f>'IEPR Gas Prices Real'!M313*(INDEX('GDP Deflator'!$C$5:$C$89,MATCH('IEPR Gas Prices Nominal'!$B313,'GDP Deflator'!$B$5:$B$89,0))/100)</f>
        <v>3.0777550277810013</v>
      </c>
      <c r="N313" s="270">
        <f>'IEPR Gas Prices Real'!N313*(INDEX('GDP Deflator'!$C$5:$C$89,MATCH('IEPR Gas Prices Nominal'!$B313,'GDP Deflator'!$B$5:$B$89,0))/100)</f>
        <v>12.283906928077469</v>
      </c>
      <c r="O313" s="1"/>
      <c r="P313" s="274">
        <f t="shared" si="27"/>
        <v>8.8529754139130201</v>
      </c>
      <c r="Q313" s="275">
        <f t="shared" si="31"/>
        <v>13.366032619781732</v>
      </c>
      <c r="R313" s="171"/>
    </row>
    <row r="314" spans="2:18">
      <c r="B314" s="94">
        <f t="shared" si="28"/>
        <v>2047</v>
      </c>
      <c r="C314" s="1">
        <f t="shared" si="29"/>
        <v>9</v>
      </c>
      <c r="D314" s="213">
        <v>53936</v>
      </c>
      <c r="E314" s="1" t="str">
        <f t="shared" si="30"/>
        <v>9-2047</v>
      </c>
      <c r="F314" s="268">
        <f>'IEPR Gas Prices Real'!F314*(INDEX('GDP Deflator'!$C$5:$C$89,MATCH('IEPR Gas Prices Nominal'!$B314,'GDP Deflator'!$B$5:$B$89,0))/100)</f>
        <v>8.5912382308663151</v>
      </c>
      <c r="G314" s="269">
        <f>'IEPR Gas Prices Real'!G314*(INDEX('GDP Deflator'!$C$5:$C$89,MATCH('IEPR Gas Prices Nominal'!$B314,'GDP Deflator'!$B$5:$B$89,0))/100)</f>
        <v>3.9442574785617794</v>
      </c>
      <c r="H314" s="270">
        <f>'IEPR Gas Prices Real'!H314*(INDEX('GDP Deflator'!$C$5:$C$89,MATCH('IEPR Gas Prices Nominal'!$B314,'GDP Deflator'!$B$5:$B$89,0))/100)</f>
        <v>12.535495709428094</v>
      </c>
      <c r="I314" s="269">
        <f>'IEPR Gas Prices Real'!I314*(INDEX('GDP Deflator'!$C$5:$C$89,MATCH('IEPR Gas Prices Nominal'!$B314,'GDP Deflator'!$B$5:$B$89,0))/100)</f>
        <v>9.0054831369043757</v>
      </c>
      <c r="J314" s="269">
        <f>'IEPR Gas Prices Real'!J314*(INDEX('GDP Deflator'!$C$5:$C$89,MATCH('IEPR Gas Prices Nominal'!$B314,'GDP Deflator'!$B$5:$B$89,0))/100)</f>
        <v>6.5171591112633553</v>
      </c>
      <c r="K314" s="269">
        <f>'IEPR Gas Prices Real'!K314*(INDEX('GDP Deflator'!$C$5:$C$89,MATCH('IEPR Gas Prices Nominal'!$B314,'GDP Deflator'!$B$5:$B$89,0))/100)</f>
        <v>15.522642248167733</v>
      </c>
      <c r="L314" s="268">
        <f>'IEPR Gas Prices Real'!L314*(INDEX('GDP Deflator'!$C$5:$C$89,MATCH('IEPR Gas Prices Nominal'!$B314,'GDP Deflator'!$B$5:$B$89,0))/100)</f>
        <v>9.3355333815930628</v>
      </c>
      <c r="M314" s="269">
        <f>'IEPR Gas Prices Real'!M314*(INDEX('GDP Deflator'!$C$5:$C$89,MATCH('IEPR Gas Prices Nominal'!$B314,'GDP Deflator'!$B$5:$B$89,0))/100)</f>
        <v>3.0777550277810013</v>
      </c>
      <c r="N314" s="270">
        <f>'IEPR Gas Prices Real'!N314*(INDEX('GDP Deflator'!$C$5:$C$89,MATCH('IEPR Gas Prices Nominal'!$B314,'GDP Deflator'!$B$5:$B$89,0))/100)</f>
        <v>12.413288409374063</v>
      </c>
      <c r="O314" s="1"/>
      <c r="P314" s="274">
        <f t="shared" si="27"/>
        <v>8.9774182497879185</v>
      </c>
      <c r="Q314" s="275">
        <f t="shared" si="31"/>
        <v>13.490475455656629</v>
      </c>
      <c r="R314" s="171"/>
    </row>
    <row r="315" spans="2:18">
      <c r="B315" s="94">
        <f t="shared" si="28"/>
        <v>2047</v>
      </c>
      <c r="C315" s="1">
        <f t="shared" si="29"/>
        <v>10</v>
      </c>
      <c r="D315" s="213">
        <v>53966</v>
      </c>
      <c r="E315" s="1" t="str">
        <f t="shared" si="30"/>
        <v>10-2047</v>
      </c>
      <c r="F315" s="268">
        <f>'IEPR Gas Prices Real'!F315*(INDEX('GDP Deflator'!$C$5:$C$89,MATCH('IEPR Gas Prices Nominal'!$B315,'GDP Deflator'!$B$5:$B$89,0))/100)</f>
        <v>8.5417073676709947</v>
      </c>
      <c r="G315" s="269">
        <f>'IEPR Gas Prices Real'!G315*(INDEX('GDP Deflator'!$C$5:$C$89,MATCH('IEPR Gas Prices Nominal'!$B315,'GDP Deflator'!$B$5:$B$89,0))/100)</f>
        <v>3.9442574785617794</v>
      </c>
      <c r="H315" s="270">
        <f>'IEPR Gas Prices Real'!H315*(INDEX('GDP Deflator'!$C$5:$C$89,MATCH('IEPR Gas Prices Nominal'!$B315,'GDP Deflator'!$B$5:$B$89,0))/100)</f>
        <v>12.485964846232774</v>
      </c>
      <c r="I315" s="269">
        <f>'IEPR Gas Prices Real'!I315*(INDEX('GDP Deflator'!$C$5:$C$89,MATCH('IEPR Gas Prices Nominal'!$B315,'GDP Deflator'!$B$5:$B$89,0))/100)</f>
        <v>8.953478637968896</v>
      </c>
      <c r="J315" s="269">
        <f>'IEPR Gas Prices Real'!J315*(INDEX('GDP Deflator'!$C$5:$C$89,MATCH('IEPR Gas Prices Nominal'!$B315,'GDP Deflator'!$B$5:$B$89,0))/100)</f>
        <v>6.5171591112633553</v>
      </c>
      <c r="K315" s="269">
        <f>'IEPR Gas Prices Real'!K315*(INDEX('GDP Deflator'!$C$5:$C$89,MATCH('IEPR Gas Prices Nominal'!$B315,'GDP Deflator'!$B$5:$B$89,0))/100)</f>
        <v>15.470637749232253</v>
      </c>
      <c r="L315" s="268">
        <f>'IEPR Gas Prices Real'!L315*(INDEX('GDP Deflator'!$C$5:$C$89,MATCH('IEPR Gas Prices Nominal'!$B315,'GDP Deflator'!$B$5:$B$89,0))/100)</f>
        <v>9.2816268515090314</v>
      </c>
      <c r="M315" s="269">
        <f>'IEPR Gas Prices Real'!M315*(INDEX('GDP Deflator'!$C$5:$C$89,MATCH('IEPR Gas Prices Nominal'!$B315,'GDP Deflator'!$B$5:$B$89,0))/100)</f>
        <v>3.0777550277810013</v>
      </c>
      <c r="N315" s="270">
        <f>'IEPR Gas Prices Real'!N315*(INDEX('GDP Deflator'!$C$5:$C$89,MATCH('IEPR Gas Prices Nominal'!$B315,'GDP Deflator'!$B$5:$B$89,0))/100)</f>
        <v>12.359381879290034</v>
      </c>
      <c r="O315" s="1"/>
      <c r="P315" s="274">
        <f t="shared" si="27"/>
        <v>8.9256042857163074</v>
      </c>
      <c r="Q315" s="275">
        <f t="shared" si="31"/>
        <v>13.438661491585021</v>
      </c>
      <c r="R315" s="171"/>
    </row>
    <row r="316" spans="2:18">
      <c r="B316" s="94">
        <f t="shared" si="28"/>
        <v>2047</v>
      </c>
      <c r="C316" s="1">
        <f t="shared" si="29"/>
        <v>11</v>
      </c>
      <c r="D316" s="213">
        <v>53997</v>
      </c>
      <c r="E316" s="1" t="str">
        <f t="shared" si="30"/>
        <v>11-2047</v>
      </c>
      <c r="F316" s="268">
        <f>'IEPR Gas Prices Real'!F316*(INDEX('GDP Deflator'!$C$5:$C$89,MATCH('IEPR Gas Prices Nominal'!$B316,'GDP Deflator'!$B$5:$B$89,0))/100)</f>
        <v>8.9638720275005426</v>
      </c>
      <c r="G316" s="269">
        <f>'IEPR Gas Prices Real'!G316*(INDEX('GDP Deflator'!$C$5:$C$89,MATCH('IEPR Gas Prices Nominal'!$B316,'GDP Deflator'!$B$5:$B$89,0))/100)</f>
        <v>3.9442574785617794</v>
      </c>
      <c r="H316" s="270">
        <f>'IEPR Gas Prices Real'!H316*(INDEX('GDP Deflator'!$C$5:$C$89,MATCH('IEPR Gas Prices Nominal'!$B316,'GDP Deflator'!$B$5:$B$89,0))/100)</f>
        <v>12.908129506062322</v>
      </c>
      <c r="I316" s="269">
        <f>'IEPR Gas Prices Real'!I316*(INDEX('GDP Deflator'!$C$5:$C$89,MATCH('IEPR Gas Prices Nominal'!$B316,'GDP Deflator'!$B$5:$B$89,0))/100)</f>
        <v>9.3959050199190255</v>
      </c>
      <c r="J316" s="269">
        <f>'IEPR Gas Prices Real'!J316*(INDEX('GDP Deflator'!$C$5:$C$89,MATCH('IEPR Gas Prices Nominal'!$B316,'GDP Deflator'!$B$5:$B$89,0))/100)</f>
        <v>6.5171591112633553</v>
      </c>
      <c r="K316" s="269">
        <f>'IEPR Gas Prices Real'!K316*(INDEX('GDP Deflator'!$C$5:$C$89,MATCH('IEPR Gas Prices Nominal'!$B316,'GDP Deflator'!$B$5:$B$89,0))/100)</f>
        <v>15.913064131182381</v>
      </c>
      <c r="L316" s="268">
        <f>'IEPR Gas Prices Real'!L316*(INDEX('GDP Deflator'!$C$5:$C$89,MATCH('IEPR Gas Prices Nominal'!$B316,'GDP Deflator'!$B$5:$B$89,0))/100)</f>
        <v>9.7402724437912855</v>
      </c>
      <c r="M316" s="269">
        <f>'IEPR Gas Prices Real'!M316*(INDEX('GDP Deflator'!$C$5:$C$89,MATCH('IEPR Gas Prices Nominal'!$B316,'GDP Deflator'!$B$5:$B$89,0))/100)</f>
        <v>3.0777550277810013</v>
      </c>
      <c r="N316" s="270">
        <f>'IEPR Gas Prices Real'!N316*(INDEX('GDP Deflator'!$C$5:$C$89,MATCH('IEPR Gas Prices Nominal'!$B316,'GDP Deflator'!$B$5:$B$89,0))/100)</f>
        <v>12.818027471572288</v>
      </c>
      <c r="O316" s="1"/>
      <c r="P316" s="274">
        <f t="shared" si="27"/>
        <v>9.3666831637369512</v>
      </c>
      <c r="Q316" s="275">
        <f t="shared" si="31"/>
        <v>13.879740369605663</v>
      </c>
      <c r="R316" s="171"/>
    </row>
    <row r="317" spans="2:18">
      <c r="B317" s="94">
        <f t="shared" si="28"/>
        <v>2047</v>
      </c>
      <c r="C317" s="1">
        <f t="shared" si="29"/>
        <v>12</v>
      </c>
      <c r="D317" s="213">
        <v>54027</v>
      </c>
      <c r="E317" s="1" t="str">
        <f t="shared" si="30"/>
        <v>12-2047</v>
      </c>
      <c r="F317" s="268">
        <f>'IEPR Gas Prices Real'!F317*(INDEX('GDP Deflator'!$C$5:$C$89,MATCH('IEPR Gas Prices Nominal'!$B317,'GDP Deflator'!$B$5:$B$89,0))/100)</f>
        <v>9.0359475213846334</v>
      </c>
      <c r="G317" s="269">
        <f>'IEPR Gas Prices Real'!G317*(INDEX('GDP Deflator'!$C$5:$C$89,MATCH('IEPR Gas Prices Nominal'!$B317,'GDP Deflator'!$B$5:$B$89,0))/100)</f>
        <v>3.9442574785617794</v>
      </c>
      <c r="H317" s="270">
        <f>'IEPR Gas Prices Real'!H317*(INDEX('GDP Deflator'!$C$5:$C$89,MATCH('IEPR Gas Prices Nominal'!$B317,'GDP Deflator'!$B$5:$B$89,0))/100)</f>
        <v>12.980204999946412</v>
      </c>
      <c r="I317" s="269">
        <f>'IEPR Gas Prices Real'!I317*(INDEX('GDP Deflator'!$C$5:$C$89,MATCH('IEPR Gas Prices Nominal'!$B317,'GDP Deflator'!$B$5:$B$89,0))/100)</f>
        <v>9.4713639896071289</v>
      </c>
      <c r="J317" s="269">
        <f>'IEPR Gas Prices Real'!J317*(INDEX('GDP Deflator'!$C$5:$C$89,MATCH('IEPR Gas Prices Nominal'!$B317,'GDP Deflator'!$B$5:$B$89,0))/100)</f>
        <v>6.5171591112633553</v>
      </c>
      <c r="K317" s="269">
        <f>'IEPR Gas Prices Real'!K317*(INDEX('GDP Deflator'!$C$5:$C$89,MATCH('IEPR Gas Prices Nominal'!$B317,'GDP Deflator'!$B$5:$B$89,0))/100)</f>
        <v>15.988523100870486</v>
      </c>
      <c r="L317" s="268">
        <f>'IEPR Gas Prices Real'!L317*(INDEX('GDP Deflator'!$C$5:$C$89,MATCH('IEPR Gas Prices Nominal'!$B317,'GDP Deflator'!$B$5:$B$89,0))/100)</f>
        <v>9.8185012028116088</v>
      </c>
      <c r="M317" s="269">
        <f>'IEPR Gas Prices Real'!M317*(INDEX('GDP Deflator'!$C$5:$C$89,MATCH('IEPR Gas Prices Nominal'!$B317,'GDP Deflator'!$B$5:$B$89,0))/100)</f>
        <v>3.0777550277810013</v>
      </c>
      <c r="N317" s="270">
        <f>'IEPR Gas Prices Real'!N317*(INDEX('GDP Deflator'!$C$5:$C$89,MATCH('IEPR Gas Prices Nominal'!$B317,'GDP Deflator'!$B$5:$B$89,0))/100)</f>
        <v>12.896256230592609</v>
      </c>
      <c r="O317" s="1"/>
      <c r="P317" s="274">
        <f t="shared" si="27"/>
        <v>9.4419375712677915</v>
      </c>
      <c r="Q317" s="275">
        <f t="shared" si="31"/>
        <v>13.9549947771365</v>
      </c>
      <c r="R317" s="171"/>
    </row>
    <row r="318" spans="2:18">
      <c r="B318" s="94">
        <f t="shared" si="28"/>
        <v>2048</v>
      </c>
      <c r="C318" s="1">
        <f t="shared" si="29"/>
        <v>1</v>
      </c>
      <c r="D318" s="213">
        <v>54058</v>
      </c>
      <c r="E318" s="1" t="str">
        <f t="shared" si="30"/>
        <v>1-2048</v>
      </c>
      <c r="F318" s="268">
        <f>'IEPR Gas Prices Real'!F318*(INDEX('GDP Deflator'!$C$5:$C$89,MATCH('IEPR Gas Prices Nominal'!$B318,'GDP Deflator'!$B$5:$B$89,0))/100)</f>
        <v>9.2424857105209259</v>
      </c>
      <c r="G318" s="269">
        <f>'IEPR Gas Prices Real'!G318*(INDEX('GDP Deflator'!$C$5:$C$89,MATCH('IEPR Gas Prices Nominal'!$B318,'GDP Deflator'!$B$5:$B$89,0))/100)</f>
        <v>4.1949858715115678</v>
      </c>
      <c r="H318" s="270">
        <f>'IEPR Gas Prices Real'!H318*(INDEX('GDP Deflator'!$C$5:$C$89,MATCH('IEPR Gas Prices Nominal'!$B318,'GDP Deflator'!$B$5:$B$89,0))/100)</f>
        <v>13.437471582032494</v>
      </c>
      <c r="I318" s="269">
        <f>'IEPR Gas Prices Real'!I318*(INDEX('GDP Deflator'!$C$5:$C$89,MATCH('IEPR Gas Prices Nominal'!$B318,'GDP Deflator'!$B$5:$B$89,0))/100)</f>
        <v>9.6877046885936586</v>
      </c>
      <c r="J318" s="269">
        <f>'IEPR Gas Prices Real'!J318*(INDEX('GDP Deflator'!$C$5:$C$89,MATCH('IEPR Gas Prices Nominal'!$B318,'GDP Deflator'!$B$5:$B$89,0))/100)</f>
        <v>6.9323426223848079</v>
      </c>
      <c r="K318" s="269">
        <f>'IEPR Gas Prices Real'!K318*(INDEX('GDP Deflator'!$C$5:$C$89,MATCH('IEPR Gas Prices Nominal'!$B318,'GDP Deflator'!$B$5:$B$89,0))/100)</f>
        <v>16.620047310978467</v>
      </c>
      <c r="L318" s="268">
        <f>'IEPR Gas Prices Real'!L318*(INDEX('GDP Deflator'!$C$5:$C$89,MATCH('IEPR Gas Prices Nominal'!$B318,'GDP Deflator'!$B$5:$B$89,0))/100)</f>
        <v>10.042775755161573</v>
      </c>
      <c r="M318" s="269">
        <f>'IEPR Gas Prices Real'!M318*(INDEX('GDP Deflator'!$C$5:$C$89,MATCH('IEPR Gas Prices Nominal'!$B318,'GDP Deflator'!$B$5:$B$89,0))/100)</f>
        <v>3.2738271378814581</v>
      </c>
      <c r="N318" s="270">
        <f>'IEPR Gas Prices Real'!N318*(INDEX('GDP Deflator'!$C$5:$C$89,MATCH('IEPR Gas Prices Nominal'!$B318,'GDP Deflator'!$B$5:$B$89,0))/100)</f>
        <v>13.316602893043031</v>
      </c>
      <c r="O318" s="1"/>
      <c r="P318" s="274">
        <f t="shared" si="27"/>
        <v>9.6576553847587192</v>
      </c>
      <c r="Q318" s="275">
        <f t="shared" si="31"/>
        <v>14.45804059535133</v>
      </c>
      <c r="R318" s="171"/>
    </row>
    <row r="319" spans="2:18">
      <c r="B319" s="94">
        <f t="shared" si="28"/>
        <v>2048</v>
      </c>
      <c r="C319" s="1">
        <f t="shared" si="29"/>
        <v>2</v>
      </c>
      <c r="D319" s="213">
        <v>54089</v>
      </c>
      <c r="E319" s="1" t="str">
        <f t="shared" si="30"/>
        <v>2-2048</v>
      </c>
      <c r="F319" s="268">
        <f>'IEPR Gas Prices Real'!F319*(INDEX('GDP Deflator'!$C$5:$C$89,MATCH('IEPR Gas Prices Nominal'!$B319,'GDP Deflator'!$B$5:$B$89,0))/100)</f>
        <v>9.039872207243782</v>
      </c>
      <c r="G319" s="269">
        <f>'IEPR Gas Prices Real'!G319*(INDEX('GDP Deflator'!$C$5:$C$89,MATCH('IEPR Gas Prices Nominal'!$B319,'GDP Deflator'!$B$5:$B$89,0))/100)</f>
        <v>4.1949858715115678</v>
      </c>
      <c r="H319" s="270">
        <f>'IEPR Gas Prices Real'!H319*(INDEX('GDP Deflator'!$C$5:$C$89,MATCH('IEPR Gas Prices Nominal'!$B319,'GDP Deflator'!$B$5:$B$89,0))/100)</f>
        <v>13.234858078755352</v>
      </c>
      <c r="I319" s="269">
        <f>'IEPR Gas Prices Real'!I319*(INDEX('GDP Deflator'!$C$5:$C$89,MATCH('IEPR Gas Prices Nominal'!$B319,'GDP Deflator'!$B$5:$B$89,0))/100)</f>
        <v>9.4751844094693336</v>
      </c>
      <c r="J319" s="269">
        <f>'IEPR Gas Prices Real'!J319*(INDEX('GDP Deflator'!$C$5:$C$89,MATCH('IEPR Gas Prices Nominal'!$B319,'GDP Deflator'!$B$5:$B$89,0))/100)</f>
        <v>6.9323426223848079</v>
      </c>
      <c r="K319" s="269">
        <f>'IEPR Gas Prices Real'!K319*(INDEX('GDP Deflator'!$C$5:$C$89,MATCH('IEPR Gas Prices Nominal'!$B319,'GDP Deflator'!$B$5:$B$89,0))/100)</f>
        <v>16.407527031854141</v>
      </c>
      <c r="L319" s="268">
        <f>'IEPR Gas Prices Real'!L319*(INDEX('GDP Deflator'!$C$5:$C$89,MATCH('IEPR Gas Prices Nominal'!$B319,'GDP Deflator'!$B$5:$B$89,0))/100)</f>
        <v>9.8224708380716024</v>
      </c>
      <c r="M319" s="269">
        <f>'IEPR Gas Prices Real'!M319*(INDEX('GDP Deflator'!$C$5:$C$89,MATCH('IEPR Gas Prices Nominal'!$B319,'GDP Deflator'!$B$5:$B$89,0))/100)</f>
        <v>3.2738271378814581</v>
      </c>
      <c r="N319" s="270">
        <f>'IEPR Gas Prices Real'!N319*(INDEX('GDP Deflator'!$C$5:$C$89,MATCH('IEPR Gas Prices Nominal'!$B319,'GDP Deflator'!$B$5:$B$89,0))/100)</f>
        <v>13.09629797595306</v>
      </c>
      <c r="O319" s="1"/>
      <c r="P319" s="274">
        <f t="shared" si="27"/>
        <v>9.4458424849282405</v>
      </c>
      <c r="Q319" s="275">
        <f t="shared" si="31"/>
        <v>14.246227695520851</v>
      </c>
      <c r="R319" s="171"/>
    </row>
    <row r="320" spans="2:18">
      <c r="B320" s="94">
        <f t="shared" si="28"/>
        <v>2048</v>
      </c>
      <c r="C320" s="1">
        <f t="shared" si="29"/>
        <v>3</v>
      </c>
      <c r="D320" s="213">
        <v>54118</v>
      </c>
      <c r="E320" s="1" t="str">
        <f t="shared" si="30"/>
        <v>3-2048</v>
      </c>
      <c r="F320" s="268">
        <f>'IEPR Gas Prices Real'!F320*(INDEX('GDP Deflator'!$C$5:$C$89,MATCH('IEPR Gas Prices Nominal'!$B320,'GDP Deflator'!$B$5:$B$89,0))/100)</f>
        <v>8.2986523035504245</v>
      </c>
      <c r="G320" s="269">
        <f>'IEPR Gas Prices Real'!G320*(INDEX('GDP Deflator'!$C$5:$C$89,MATCH('IEPR Gas Prices Nominal'!$B320,'GDP Deflator'!$B$5:$B$89,0))/100)</f>
        <v>4.1949858715115678</v>
      </c>
      <c r="H320" s="270">
        <f>'IEPR Gas Prices Real'!H320*(INDEX('GDP Deflator'!$C$5:$C$89,MATCH('IEPR Gas Prices Nominal'!$B320,'GDP Deflator'!$B$5:$B$89,0))/100)</f>
        <v>12.493638175061994</v>
      </c>
      <c r="I320" s="269">
        <f>'IEPR Gas Prices Real'!I320*(INDEX('GDP Deflator'!$C$5:$C$89,MATCH('IEPR Gas Prices Nominal'!$B320,'GDP Deflator'!$B$5:$B$89,0))/100)</f>
        <v>8.6981366142403491</v>
      </c>
      <c r="J320" s="269">
        <f>'IEPR Gas Prices Real'!J320*(INDEX('GDP Deflator'!$C$5:$C$89,MATCH('IEPR Gas Prices Nominal'!$B320,'GDP Deflator'!$B$5:$B$89,0))/100)</f>
        <v>6.9323426223848079</v>
      </c>
      <c r="K320" s="269">
        <f>'IEPR Gas Prices Real'!K320*(INDEX('GDP Deflator'!$C$5:$C$89,MATCH('IEPR Gas Prices Nominal'!$B320,'GDP Deflator'!$B$5:$B$89,0))/100)</f>
        <v>15.630479236625156</v>
      </c>
      <c r="L320" s="268">
        <f>'IEPR Gas Prices Real'!L320*(INDEX('GDP Deflator'!$C$5:$C$89,MATCH('IEPR Gas Prices Nominal'!$B320,'GDP Deflator'!$B$5:$B$89,0))/100)</f>
        <v>9.0169467454258818</v>
      </c>
      <c r="M320" s="269">
        <f>'IEPR Gas Prices Real'!M320*(INDEX('GDP Deflator'!$C$5:$C$89,MATCH('IEPR Gas Prices Nominal'!$B320,'GDP Deflator'!$B$5:$B$89,0))/100)</f>
        <v>3.2738271378814581</v>
      </c>
      <c r="N320" s="270">
        <f>'IEPR Gas Prices Real'!N320*(INDEX('GDP Deflator'!$C$5:$C$89,MATCH('IEPR Gas Prices Nominal'!$B320,'GDP Deflator'!$B$5:$B$89,0))/100)</f>
        <v>12.290773883307342</v>
      </c>
      <c r="O320" s="1"/>
      <c r="P320" s="274">
        <f t="shared" si="27"/>
        <v>8.6712452210722191</v>
      </c>
      <c r="Q320" s="275">
        <f t="shared" si="31"/>
        <v>13.471630431664829</v>
      </c>
      <c r="R320" s="171"/>
    </row>
    <row r="321" spans="2:18">
      <c r="B321" s="94">
        <f t="shared" si="28"/>
        <v>2048</v>
      </c>
      <c r="C321" s="1">
        <f t="shared" si="29"/>
        <v>4</v>
      </c>
      <c r="D321" s="213">
        <v>54149</v>
      </c>
      <c r="E321" s="1" t="str">
        <f t="shared" si="30"/>
        <v>4-2048</v>
      </c>
      <c r="F321" s="268">
        <f>'IEPR Gas Prices Real'!F321*(INDEX('GDP Deflator'!$C$5:$C$89,MATCH('IEPR Gas Prices Nominal'!$B321,'GDP Deflator'!$B$5:$B$89,0))/100)</f>
        <v>8.1574720373244247</v>
      </c>
      <c r="G321" s="269">
        <f>'IEPR Gas Prices Real'!G321*(INDEX('GDP Deflator'!$C$5:$C$89,MATCH('IEPR Gas Prices Nominal'!$B321,'GDP Deflator'!$B$5:$B$89,0))/100)</f>
        <v>4.1949858715115678</v>
      </c>
      <c r="H321" s="270">
        <f>'IEPR Gas Prices Real'!H321*(INDEX('GDP Deflator'!$C$5:$C$89,MATCH('IEPR Gas Prices Nominal'!$B321,'GDP Deflator'!$B$5:$B$89,0))/100)</f>
        <v>12.352457908835992</v>
      </c>
      <c r="I321" s="269">
        <f>'IEPR Gas Prices Real'!I321*(INDEX('GDP Deflator'!$C$5:$C$89,MATCH('IEPR Gas Prices Nominal'!$B321,'GDP Deflator'!$B$5:$B$89,0))/100)</f>
        <v>8.5500277487282812</v>
      </c>
      <c r="J321" s="269">
        <f>'IEPR Gas Prices Real'!J321*(INDEX('GDP Deflator'!$C$5:$C$89,MATCH('IEPR Gas Prices Nominal'!$B321,'GDP Deflator'!$B$5:$B$89,0))/100)</f>
        <v>6.9323426223848079</v>
      </c>
      <c r="K321" s="269">
        <f>'IEPR Gas Prices Real'!K321*(INDEX('GDP Deflator'!$C$5:$C$89,MATCH('IEPR Gas Prices Nominal'!$B321,'GDP Deflator'!$B$5:$B$89,0))/100)</f>
        <v>15.482370371113088</v>
      </c>
      <c r="L321" s="268">
        <f>'IEPR Gas Prices Real'!L321*(INDEX('GDP Deflator'!$C$5:$C$89,MATCH('IEPR Gas Prices Nominal'!$B321,'GDP Deflator'!$B$5:$B$89,0))/100)</f>
        <v>8.8634134396259565</v>
      </c>
      <c r="M321" s="269">
        <f>'IEPR Gas Prices Real'!M321*(INDEX('GDP Deflator'!$C$5:$C$89,MATCH('IEPR Gas Prices Nominal'!$B321,'GDP Deflator'!$B$5:$B$89,0))/100)</f>
        <v>3.2738271378814581</v>
      </c>
      <c r="N321" s="270">
        <f>'IEPR Gas Prices Real'!N321*(INDEX('GDP Deflator'!$C$5:$C$89,MATCH('IEPR Gas Prices Nominal'!$B321,'GDP Deflator'!$B$5:$B$89,0))/100)</f>
        <v>12.137240577507415</v>
      </c>
      <c r="O321" s="1"/>
      <c r="P321" s="274">
        <f t="shared" si="27"/>
        <v>8.5236377418928893</v>
      </c>
      <c r="Q321" s="275">
        <f t="shared" si="31"/>
        <v>13.324022952485498</v>
      </c>
      <c r="R321" s="171"/>
    </row>
    <row r="322" spans="2:18">
      <c r="B322" s="94">
        <f t="shared" si="28"/>
        <v>2048</v>
      </c>
      <c r="C322" s="1">
        <f t="shared" si="29"/>
        <v>5</v>
      </c>
      <c r="D322" s="213">
        <v>54179</v>
      </c>
      <c r="E322" s="1" t="str">
        <f t="shared" si="30"/>
        <v>5-2048</v>
      </c>
      <c r="F322" s="268">
        <f>'IEPR Gas Prices Real'!F322*(INDEX('GDP Deflator'!$C$5:$C$89,MATCH('IEPR Gas Prices Nominal'!$B322,'GDP Deflator'!$B$5:$B$89,0))/100)</f>
        <v>8.441402055154164</v>
      </c>
      <c r="G322" s="269">
        <f>'IEPR Gas Prices Real'!G322*(INDEX('GDP Deflator'!$C$5:$C$89,MATCH('IEPR Gas Prices Nominal'!$B322,'GDP Deflator'!$B$5:$B$89,0))/100)</f>
        <v>4.1949858715115678</v>
      </c>
      <c r="H322" s="270">
        <f>'IEPR Gas Prices Real'!H322*(INDEX('GDP Deflator'!$C$5:$C$89,MATCH('IEPR Gas Prices Nominal'!$B322,'GDP Deflator'!$B$5:$B$89,0))/100)</f>
        <v>12.636387926665732</v>
      </c>
      <c r="I322" s="269">
        <f>'IEPR Gas Prices Real'!I322*(INDEX('GDP Deflator'!$C$5:$C$89,MATCH('IEPR Gas Prices Nominal'!$B322,'GDP Deflator'!$B$5:$B$89,0))/100)</f>
        <v>8.8474840929096796</v>
      </c>
      <c r="J322" s="269">
        <f>'IEPR Gas Prices Real'!J322*(INDEX('GDP Deflator'!$C$5:$C$89,MATCH('IEPR Gas Prices Nominal'!$B322,'GDP Deflator'!$B$5:$B$89,0))/100)</f>
        <v>6.9323426223848079</v>
      </c>
      <c r="K322" s="269">
        <f>'IEPR Gas Prices Real'!K322*(INDEX('GDP Deflator'!$C$5:$C$89,MATCH('IEPR Gas Prices Nominal'!$B322,'GDP Deflator'!$B$5:$B$89,0))/100)</f>
        <v>15.779826715294488</v>
      </c>
      <c r="L322" s="268">
        <f>'IEPR Gas Prices Real'!L322*(INDEX('GDP Deflator'!$C$5:$C$89,MATCH('IEPR Gas Prices Nominal'!$B322,'GDP Deflator'!$B$5:$B$89,0))/100)</f>
        <v>9.1717767974884499</v>
      </c>
      <c r="M322" s="269">
        <f>'IEPR Gas Prices Real'!M322*(INDEX('GDP Deflator'!$C$5:$C$89,MATCH('IEPR Gas Prices Nominal'!$B322,'GDP Deflator'!$B$5:$B$89,0))/100)</f>
        <v>3.2738271378814581</v>
      </c>
      <c r="N322" s="270">
        <f>'IEPR Gas Prices Real'!N322*(INDEX('GDP Deflator'!$C$5:$C$89,MATCH('IEPR Gas Prices Nominal'!$B322,'GDP Deflator'!$B$5:$B$89,0))/100)</f>
        <v>12.445603935369908</v>
      </c>
      <c r="O322" s="1"/>
      <c r="P322" s="274">
        <f t="shared" si="27"/>
        <v>8.8202209818507651</v>
      </c>
      <c r="Q322" s="275">
        <f t="shared" si="31"/>
        <v>13.620606192443375</v>
      </c>
      <c r="R322" s="171"/>
    </row>
    <row r="323" spans="2:18">
      <c r="B323" s="94">
        <f t="shared" si="28"/>
        <v>2048</v>
      </c>
      <c r="C323" s="1">
        <f t="shared" si="29"/>
        <v>6</v>
      </c>
      <c r="D323" s="213">
        <v>54210</v>
      </c>
      <c r="E323" s="1" t="str">
        <f t="shared" si="30"/>
        <v>6-2048</v>
      </c>
      <c r="F323" s="268">
        <f>'IEPR Gas Prices Real'!F323*(INDEX('GDP Deflator'!$C$5:$C$89,MATCH('IEPR Gas Prices Nominal'!$B323,'GDP Deflator'!$B$5:$B$89,0))/100)</f>
        <v>8.6596574614119923</v>
      </c>
      <c r="G323" s="269">
        <f>'IEPR Gas Prices Real'!G323*(INDEX('GDP Deflator'!$C$5:$C$89,MATCH('IEPR Gas Prices Nominal'!$B323,'GDP Deflator'!$B$5:$B$89,0))/100)</f>
        <v>4.1949858715115678</v>
      </c>
      <c r="H323" s="270">
        <f>'IEPR Gas Prices Real'!H323*(INDEX('GDP Deflator'!$C$5:$C$89,MATCH('IEPR Gas Prices Nominal'!$B323,'GDP Deflator'!$B$5:$B$89,0))/100)</f>
        <v>12.854643332923562</v>
      </c>
      <c r="I323" s="269">
        <f>'IEPR Gas Prices Real'!I323*(INDEX('GDP Deflator'!$C$5:$C$89,MATCH('IEPR Gas Prices Nominal'!$B323,'GDP Deflator'!$B$5:$B$89,0))/100)</f>
        <v>9.0760983209000088</v>
      </c>
      <c r="J323" s="269">
        <f>'IEPR Gas Prices Real'!J323*(INDEX('GDP Deflator'!$C$5:$C$89,MATCH('IEPR Gas Prices Nominal'!$B323,'GDP Deflator'!$B$5:$B$89,0))/100)</f>
        <v>6.9323426223848079</v>
      </c>
      <c r="K323" s="269">
        <f>'IEPR Gas Prices Real'!K323*(INDEX('GDP Deflator'!$C$5:$C$89,MATCH('IEPR Gas Prices Nominal'!$B323,'GDP Deflator'!$B$5:$B$89,0))/100)</f>
        <v>16.008440943284818</v>
      </c>
      <c r="L323" s="268">
        <f>'IEPR Gas Prices Real'!L323*(INDEX('GDP Deflator'!$C$5:$C$89,MATCH('IEPR Gas Prices Nominal'!$B323,'GDP Deflator'!$B$5:$B$89,0))/100)</f>
        <v>9.4087749791538471</v>
      </c>
      <c r="M323" s="269">
        <f>'IEPR Gas Prices Real'!M323*(INDEX('GDP Deflator'!$C$5:$C$89,MATCH('IEPR Gas Prices Nominal'!$B323,'GDP Deflator'!$B$5:$B$89,0))/100)</f>
        <v>3.2738271378814581</v>
      </c>
      <c r="N323" s="270">
        <f>'IEPR Gas Prices Real'!N323*(INDEX('GDP Deflator'!$C$5:$C$89,MATCH('IEPR Gas Prices Nominal'!$B323,'GDP Deflator'!$B$5:$B$89,0))/100)</f>
        <v>12.682602117035305</v>
      </c>
      <c r="O323" s="1"/>
      <c r="P323" s="274">
        <f t="shared" si="27"/>
        <v>9.0481769204886167</v>
      </c>
      <c r="Q323" s="275">
        <f t="shared" si="31"/>
        <v>13.848562131081229</v>
      </c>
      <c r="R323" s="171"/>
    </row>
    <row r="324" spans="2:18">
      <c r="B324" s="94">
        <f t="shared" si="28"/>
        <v>2048</v>
      </c>
      <c r="C324" s="1">
        <f t="shared" si="29"/>
        <v>7</v>
      </c>
      <c r="D324" s="213">
        <v>54240</v>
      </c>
      <c r="E324" s="1" t="str">
        <f t="shared" si="30"/>
        <v>7-2048</v>
      </c>
      <c r="F324" s="268">
        <f>'IEPR Gas Prices Real'!F324*(INDEX('GDP Deflator'!$C$5:$C$89,MATCH('IEPR Gas Prices Nominal'!$B324,'GDP Deflator'!$B$5:$B$89,0))/100)</f>
        <v>8.7283867107459105</v>
      </c>
      <c r="G324" s="269">
        <f>'IEPR Gas Prices Real'!G324*(INDEX('GDP Deflator'!$C$5:$C$89,MATCH('IEPR Gas Prices Nominal'!$B324,'GDP Deflator'!$B$5:$B$89,0))/100)</f>
        <v>4.1949858715115678</v>
      </c>
      <c r="H324" s="270">
        <f>'IEPR Gas Prices Real'!H324*(INDEX('GDP Deflator'!$C$5:$C$89,MATCH('IEPR Gas Prices Nominal'!$B324,'GDP Deflator'!$B$5:$B$89,0))/100)</f>
        <v>12.923372582257478</v>
      </c>
      <c r="I324" s="269">
        <f>'IEPR Gas Prices Real'!I324*(INDEX('GDP Deflator'!$C$5:$C$89,MATCH('IEPR Gas Prices Nominal'!$B324,'GDP Deflator'!$B$5:$B$89,0))/100)</f>
        <v>9.1479910452675135</v>
      </c>
      <c r="J324" s="269">
        <f>'IEPR Gas Prices Real'!J324*(INDEX('GDP Deflator'!$C$5:$C$89,MATCH('IEPR Gas Prices Nominal'!$B324,'GDP Deflator'!$B$5:$B$89,0))/100)</f>
        <v>6.9323426223848079</v>
      </c>
      <c r="K324" s="269">
        <f>'IEPR Gas Prices Real'!K324*(INDEX('GDP Deflator'!$C$5:$C$89,MATCH('IEPR Gas Prices Nominal'!$B324,'GDP Deflator'!$B$5:$B$89,0))/100)</f>
        <v>16.080333667652322</v>
      </c>
      <c r="L324" s="268">
        <f>'IEPR Gas Prices Real'!L324*(INDEX('GDP Deflator'!$C$5:$C$89,MATCH('IEPR Gas Prices Nominal'!$B324,'GDP Deflator'!$B$5:$B$89,0))/100)</f>
        <v>9.4833073102024219</v>
      </c>
      <c r="M324" s="269">
        <f>'IEPR Gas Prices Real'!M324*(INDEX('GDP Deflator'!$C$5:$C$89,MATCH('IEPR Gas Prices Nominal'!$B324,'GDP Deflator'!$B$5:$B$89,0))/100)</f>
        <v>3.2738271378814581</v>
      </c>
      <c r="N324" s="270">
        <f>'IEPR Gas Prices Real'!N324*(INDEX('GDP Deflator'!$C$5:$C$89,MATCH('IEPR Gas Prices Nominal'!$B324,'GDP Deflator'!$B$5:$B$89,0))/100)</f>
        <v>12.75713444808388</v>
      </c>
      <c r="O324" s="1"/>
      <c r="P324" s="274">
        <f t="shared" si="27"/>
        <v>9.1198950220719492</v>
      </c>
      <c r="Q324" s="275">
        <f t="shared" si="31"/>
        <v>13.92028023266456</v>
      </c>
      <c r="R324" s="171"/>
    </row>
    <row r="325" spans="2:18">
      <c r="B325" s="94">
        <f t="shared" si="28"/>
        <v>2048</v>
      </c>
      <c r="C325" s="1">
        <f t="shared" si="29"/>
        <v>8</v>
      </c>
      <c r="D325" s="213">
        <v>54271</v>
      </c>
      <c r="E325" s="1" t="str">
        <f t="shared" si="30"/>
        <v>8-2048</v>
      </c>
      <c r="F325" s="268">
        <f>'IEPR Gas Prices Real'!F325*(INDEX('GDP Deflator'!$C$5:$C$89,MATCH('IEPR Gas Prices Nominal'!$B325,'GDP Deflator'!$B$5:$B$89,0))/100)</f>
        <v>8.6609962056686953</v>
      </c>
      <c r="G325" s="269">
        <f>'IEPR Gas Prices Real'!G325*(INDEX('GDP Deflator'!$C$5:$C$89,MATCH('IEPR Gas Prices Nominal'!$B325,'GDP Deflator'!$B$5:$B$89,0))/100)</f>
        <v>4.1949858715115678</v>
      </c>
      <c r="H325" s="270">
        <f>'IEPR Gas Prices Real'!H325*(INDEX('GDP Deflator'!$C$5:$C$89,MATCH('IEPR Gas Prices Nominal'!$B325,'GDP Deflator'!$B$5:$B$89,0))/100)</f>
        <v>12.855982077180265</v>
      </c>
      <c r="I325" s="269">
        <f>'IEPR Gas Prices Real'!I325*(INDEX('GDP Deflator'!$C$5:$C$89,MATCH('IEPR Gas Prices Nominal'!$B325,'GDP Deflator'!$B$5:$B$89,0))/100)</f>
        <v>9.0772202259621135</v>
      </c>
      <c r="J325" s="269">
        <f>'IEPR Gas Prices Real'!J325*(INDEX('GDP Deflator'!$C$5:$C$89,MATCH('IEPR Gas Prices Nominal'!$B325,'GDP Deflator'!$B$5:$B$89,0))/100)</f>
        <v>6.9323426223848079</v>
      </c>
      <c r="K325" s="269">
        <f>'IEPR Gas Prices Real'!K325*(INDEX('GDP Deflator'!$C$5:$C$89,MATCH('IEPR Gas Prices Nominal'!$B325,'GDP Deflator'!$B$5:$B$89,0))/100)</f>
        <v>16.009562848346921</v>
      </c>
      <c r="L325" s="268">
        <f>'IEPR Gas Prices Real'!L325*(INDEX('GDP Deflator'!$C$5:$C$89,MATCH('IEPR Gas Prices Nominal'!$B325,'GDP Deflator'!$B$5:$B$89,0))/100)</f>
        <v>9.4099468185993107</v>
      </c>
      <c r="M325" s="269">
        <f>'IEPR Gas Prices Real'!M325*(INDEX('GDP Deflator'!$C$5:$C$89,MATCH('IEPR Gas Prices Nominal'!$B325,'GDP Deflator'!$B$5:$B$89,0))/100)</f>
        <v>3.2738271378814581</v>
      </c>
      <c r="N325" s="270">
        <f>'IEPR Gas Prices Real'!N325*(INDEX('GDP Deflator'!$C$5:$C$89,MATCH('IEPR Gas Prices Nominal'!$B325,'GDP Deflator'!$B$5:$B$89,0))/100)</f>
        <v>12.683773956480769</v>
      </c>
      <c r="O325" s="1"/>
      <c r="P325" s="274">
        <f t="shared" si="27"/>
        <v>9.0493877500767059</v>
      </c>
      <c r="Q325" s="275">
        <f t="shared" si="31"/>
        <v>13.849772960669318</v>
      </c>
      <c r="R325" s="171"/>
    </row>
    <row r="326" spans="2:18">
      <c r="B326" s="94">
        <f t="shared" si="28"/>
        <v>2048</v>
      </c>
      <c r="C326" s="1">
        <f t="shared" si="29"/>
        <v>9</v>
      </c>
      <c r="D326" s="213">
        <v>54302</v>
      </c>
      <c r="E326" s="1" t="str">
        <f t="shared" si="30"/>
        <v>9-2048</v>
      </c>
      <c r="F326" s="268">
        <f>'IEPR Gas Prices Real'!F326*(INDEX('GDP Deflator'!$C$5:$C$89,MATCH('IEPR Gas Prices Nominal'!$B326,'GDP Deflator'!$B$5:$B$89,0))/100)</f>
        <v>8.7828494718883885</v>
      </c>
      <c r="G326" s="269">
        <f>'IEPR Gas Prices Real'!G326*(INDEX('GDP Deflator'!$C$5:$C$89,MATCH('IEPR Gas Prices Nominal'!$B326,'GDP Deflator'!$B$5:$B$89,0))/100)</f>
        <v>4.1949858715115678</v>
      </c>
      <c r="H326" s="270">
        <f>'IEPR Gas Prices Real'!H326*(INDEX('GDP Deflator'!$C$5:$C$89,MATCH('IEPR Gas Prices Nominal'!$B326,'GDP Deflator'!$B$5:$B$89,0))/100)</f>
        <v>12.977835343399958</v>
      </c>
      <c r="I326" s="269">
        <f>'IEPR Gas Prices Real'!I326*(INDEX('GDP Deflator'!$C$5:$C$89,MATCH('IEPR Gas Prices Nominal'!$B326,'GDP Deflator'!$B$5:$B$89,0))/100)</f>
        <v>9.2047868258419676</v>
      </c>
      <c r="J326" s="269">
        <f>'IEPR Gas Prices Real'!J326*(INDEX('GDP Deflator'!$C$5:$C$89,MATCH('IEPR Gas Prices Nominal'!$B326,'GDP Deflator'!$B$5:$B$89,0))/100)</f>
        <v>6.9323426223848079</v>
      </c>
      <c r="K326" s="269">
        <f>'IEPR Gas Prices Real'!K326*(INDEX('GDP Deflator'!$C$5:$C$89,MATCH('IEPR Gas Prices Nominal'!$B326,'GDP Deflator'!$B$5:$B$89,0))/100)</f>
        <v>16.137129448226776</v>
      </c>
      <c r="L326" s="268">
        <f>'IEPR Gas Prices Real'!L326*(INDEX('GDP Deflator'!$C$5:$C$89,MATCH('IEPR Gas Prices Nominal'!$B326,'GDP Deflator'!$B$5:$B$89,0))/100)</f>
        <v>9.5421938560466408</v>
      </c>
      <c r="M326" s="269">
        <f>'IEPR Gas Prices Real'!M326*(INDEX('GDP Deflator'!$C$5:$C$89,MATCH('IEPR Gas Prices Nominal'!$B326,'GDP Deflator'!$B$5:$B$89,0))/100)</f>
        <v>3.2738271378814581</v>
      </c>
      <c r="N326" s="270">
        <f>'IEPR Gas Prices Real'!N326*(INDEX('GDP Deflator'!$C$5:$C$89,MATCH('IEPR Gas Prices Nominal'!$B326,'GDP Deflator'!$B$5:$B$89,0))/100)</f>
        <v>12.816020993928099</v>
      </c>
      <c r="O326" s="1"/>
      <c r="P326" s="274">
        <f t="shared" ref="P326:P389" si="32">AVERAGE(F326,I326,L326)</f>
        <v>9.176610051258999</v>
      </c>
      <c r="Q326" s="275">
        <f t="shared" si="31"/>
        <v>13.976995261851611</v>
      </c>
      <c r="R326" s="171"/>
    </row>
    <row r="327" spans="2:18">
      <c r="B327" s="94">
        <f t="shared" ref="B327:B390" si="33">YEAR(D327)</f>
        <v>2048</v>
      </c>
      <c r="C327" s="1">
        <f t="shared" ref="C327:C390" si="34">MONTH(D327)</f>
        <v>10</v>
      </c>
      <c r="D327" s="213">
        <v>54332</v>
      </c>
      <c r="E327" s="1" t="str">
        <f t="shared" ref="E327:E390" si="35">C327&amp;"-"&amp;B327</f>
        <v>10-2048</v>
      </c>
      <c r="F327" s="268">
        <f>'IEPR Gas Prices Real'!F327*(INDEX('GDP Deflator'!$C$5:$C$89,MATCH('IEPR Gas Prices Nominal'!$B327,'GDP Deflator'!$B$5:$B$89,0))/100)</f>
        <v>8.7322668681252207</v>
      </c>
      <c r="G327" s="269">
        <f>'IEPR Gas Prices Real'!G327*(INDEX('GDP Deflator'!$C$5:$C$89,MATCH('IEPR Gas Prices Nominal'!$B327,'GDP Deflator'!$B$5:$B$89,0))/100)</f>
        <v>4.1949858715115678</v>
      </c>
      <c r="H327" s="270">
        <f>'IEPR Gas Prices Real'!H327*(INDEX('GDP Deflator'!$C$5:$C$89,MATCH('IEPR Gas Prices Nominal'!$B327,'GDP Deflator'!$B$5:$B$89,0))/100)</f>
        <v>12.927252739636788</v>
      </c>
      <c r="I327" s="269">
        <f>'IEPR Gas Prices Real'!I327*(INDEX('GDP Deflator'!$C$5:$C$89,MATCH('IEPR Gas Prices Nominal'!$B327,'GDP Deflator'!$B$5:$B$89,0))/100)</f>
        <v>9.1516323865116522</v>
      </c>
      <c r="J327" s="269">
        <f>'IEPR Gas Prices Real'!J327*(INDEX('GDP Deflator'!$C$5:$C$89,MATCH('IEPR Gas Prices Nominal'!$B327,'GDP Deflator'!$B$5:$B$89,0))/100)</f>
        <v>6.9323426223848079</v>
      </c>
      <c r="K327" s="269">
        <f>'IEPR Gas Prices Real'!K327*(INDEX('GDP Deflator'!$C$5:$C$89,MATCH('IEPR Gas Prices Nominal'!$B327,'GDP Deflator'!$B$5:$B$89,0))/100)</f>
        <v>16.083975008896459</v>
      </c>
      <c r="L327" s="268">
        <f>'IEPR Gas Prices Real'!L327*(INDEX('GDP Deflator'!$C$5:$C$89,MATCH('IEPR Gas Prices Nominal'!$B327,'GDP Deflator'!$B$5:$B$89,0))/100)</f>
        <v>9.4870954518557653</v>
      </c>
      <c r="M327" s="269">
        <f>'IEPR Gas Prices Real'!M327*(INDEX('GDP Deflator'!$C$5:$C$89,MATCH('IEPR Gas Prices Nominal'!$B327,'GDP Deflator'!$B$5:$B$89,0))/100)</f>
        <v>3.2738271378814581</v>
      </c>
      <c r="N327" s="270">
        <f>'IEPR Gas Prices Real'!N327*(INDEX('GDP Deflator'!$C$5:$C$89,MATCH('IEPR Gas Prices Nominal'!$B327,'GDP Deflator'!$B$5:$B$89,0))/100)</f>
        <v>12.760922589737225</v>
      </c>
      <c r="O327" s="1"/>
      <c r="P327" s="274">
        <f t="shared" si="32"/>
        <v>9.1236649021642133</v>
      </c>
      <c r="Q327" s="275">
        <f t="shared" ref="Q327:Q390" si="36">AVERAGE(H327,K327,N327)</f>
        <v>13.924050112756824</v>
      </c>
      <c r="R327" s="171"/>
    </row>
    <row r="328" spans="2:18">
      <c r="B328" s="94">
        <f t="shared" si="33"/>
        <v>2048</v>
      </c>
      <c r="C328" s="1">
        <f t="shared" si="34"/>
        <v>11</v>
      </c>
      <c r="D328" s="213">
        <v>54363</v>
      </c>
      <c r="E328" s="1" t="str">
        <f t="shared" si="35"/>
        <v>11-2048</v>
      </c>
      <c r="F328" s="268">
        <f>'IEPR Gas Prices Real'!F328*(INDEX('GDP Deflator'!$C$5:$C$89,MATCH('IEPR Gas Prices Nominal'!$B328,'GDP Deflator'!$B$5:$B$89,0))/100)</f>
        <v>9.1639052986351821</v>
      </c>
      <c r="G328" s="269">
        <f>'IEPR Gas Prices Real'!G328*(INDEX('GDP Deflator'!$C$5:$C$89,MATCH('IEPR Gas Prices Nominal'!$B328,'GDP Deflator'!$B$5:$B$89,0))/100)</f>
        <v>4.1949858715115678</v>
      </c>
      <c r="H328" s="270">
        <f>'IEPR Gas Prices Real'!H328*(INDEX('GDP Deflator'!$C$5:$C$89,MATCH('IEPR Gas Prices Nominal'!$B328,'GDP Deflator'!$B$5:$B$89,0))/100)</f>
        <v>13.358891170146752</v>
      </c>
      <c r="I328" s="269">
        <f>'IEPR Gas Prices Real'!I328*(INDEX('GDP Deflator'!$C$5:$C$89,MATCH('IEPR Gas Prices Nominal'!$B328,'GDP Deflator'!$B$5:$B$89,0))/100)</f>
        <v>9.6038513593570087</v>
      </c>
      <c r="J328" s="269">
        <f>'IEPR Gas Prices Real'!J328*(INDEX('GDP Deflator'!$C$5:$C$89,MATCH('IEPR Gas Prices Nominal'!$B328,'GDP Deflator'!$B$5:$B$89,0))/100)</f>
        <v>6.9323426223848079</v>
      </c>
      <c r="K328" s="269">
        <f>'IEPR Gas Prices Real'!K328*(INDEX('GDP Deflator'!$C$5:$C$89,MATCH('IEPR Gas Prices Nominal'!$B328,'GDP Deflator'!$B$5:$B$89,0))/100)</f>
        <v>16.536193981741818</v>
      </c>
      <c r="L328" s="268">
        <f>'IEPR Gas Prices Real'!L328*(INDEX('GDP Deflator'!$C$5:$C$89,MATCH('IEPR Gas Prices Nominal'!$B328,'GDP Deflator'!$B$5:$B$89,0))/100)</f>
        <v>9.9558956676499797</v>
      </c>
      <c r="M328" s="269">
        <f>'IEPR Gas Prices Real'!M328*(INDEX('GDP Deflator'!$C$5:$C$89,MATCH('IEPR Gas Prices Nominal'!$B328,'GDP Deflator'!$B$5:$B$89,0))/100)</f>
        <v>3.2738271378814581</v>
      </c>
      <c r="N328" s="270">
        <f>'IEPR Gas Prices Real'!N328*(INDEX('GDP Deflator'!$C$5:$C$89,MATCH('IEPR Gas Prices Nominal'!$B328,'GDP Deflator'!$B$5:$B$89,0))/100)</f>
        <v>13.229722805531438</v>
      </c>
      <c r="O328" s="1"/>
      <c r="P328" s="274">
        <f t="shared" si="32"/>
        <v>9.5745507752140568</v>
      </c>
      <c r="Q328" s="275">
        <f t="shared" si="36"/>
        <v>14.374935985806667</v>
      </c>
      <c r="R328" s="171"/>
    </row>
    <row r="329" spans="2:18">
      <c r="B329" s="94">
        <f t="shared" si="33"/>
        <v>2048</v>
      </c>
      <c r="C329" s="1">
        <f t="shared" si="34"/>
        <v>12</v>
      </c>
      <c r="D329" s="213">
        <v>54393</v>
      </c>
      <c r="E329" s="1" t="str">
        <f t="shared" si="35"/>
        <v>12-2048</v>
      </c>
      <c r="F329" s="268">
        <f>'IEPR Gas Prices Real'!F329*(INDEX('GDP Deflator'!$C$5:$C$89,MATCH('IEPR Gas Prices Nominal'!$B329,'GDP Deflator'!$B$5:$B$89,0))/100)</f>
        <v>9.237645218138514</v>
      </c>
      <c r="G329" s="269">
        <f>'IEPR Gas Prices Real'!G329*(INDEX('GDP Deflator'!$C$5:$C$89,MATCH('IEPR Gas Prices Nominal'!$B329,'GDP Deflator'!$B$5:$B$89,0))/100)</f>
        <v>4.1949858715115678</v>
      </c>
      <c r="H329" s="270">
        <f>'IEPR Gas Prices Real'!H329*(INDEX('GDP Deflator'!$C$5:$C$89,MATCH('IEPR Gas Prices Nominal'!$B329,'GDP Deflator'!$B$5:$B$89,0))/100)</f>
        <v>13.432631089650082</v>
      </c>
      <c r="I329" s="269">
        <f>'IEPR Gas Prices Real'!I329*(INDEX('GDP Deflator'!$C$5:$C$89,MATCH('IEPR Gas Prices Nominal'!$B329,'GDP Deflator'!$B$5:$B$89,0))/100)</f>
        <v>9.6809814041852391</v>
      </c>
      <c r="J329" s="269">
        <f>'IEPR Gas Prices Real'!J329*(INDEX('GDP Deflator'!$C$5:$C$89,MATCH('IEPR Gas Prices Nominal'!$B329,'GDP Deflator'!$B$5:$B$89,0))/100)</f>
        <v>6.9323426223848079</v>
      </c>
      <c r="K329" s="269">
        <f>'IEPR Gas Prices Real'!K329*(INDEX('GDP Deflator'!$C$5:$C$89,MATCH('IEPR Gas Prices Nominal'!$B329,'GDP Deflator'!$B$5:$B$89,0))/100)</f>
        <v>16.613324026570048</v>
      </c>
      <c r="L329" s="268">
        <f>'IEPR Gas Prices Real'!L329*(INDEX('GDP Deflator'!$C$5:$C$89,MATCH('IEPR Gas Prices Nominal'!$B329,'GDP Deflator'!$B$5:$B$89,0))/100)</f>
        <v>10.035857737133277</v>
      </c>
      <c r="M329" s="269">
        <f>'IEPR Gas Prices Real'!M329*(INDEX('GDP Deflator'!$C$5:$C$89,MATCH('IEPR Gas Prices Nominal'!$B329,'GDP Deflator'!$B$5:$B$89,0))/100)</f>
        <v>3.2738271378814581</v>
      </c>
      <c r="N329" s="270">
        <f>'IEPR Gas Prices Real'!N329*(INDEX('GDP Deflator'!$C$5:$C$89,MATCH('IEPR Gas Prices Nominal'!$B329,'GDP Deflator'!$B$5:$B$89,0))/100)</f>
        <v>13.309684875014735</v>
      </c>
      <c r="O329" s="1"/>
      <c r="P329" s="274">
        <f t="shared" si="32"/>
        <v>9.6514947864856762</v>
      </c>
      <c r="Q329" s="275">
        <f t="shared" si="36"/>
        <v>14.451879997078288</v>
      </c>
      <c r="R329" s="171"/>
    </row>
    <row r="330" spans="2:18">
      <c r="B330" s="94">
        <f t="shared" si="33"/>
        <v>2049</v>
      </c>
      <c r="C330" s="1">
        <f t="shared" si="34"/>
        <v>1</v>
      </c>
      <c r="D330" s="213">
        <v>54424</v>
      </c>
      <c r="E330" s="1" t="str">
        <f t="shared" si="35"/>
        <v>1-2049</v>
      </c>
      <c r="F330" s="268">
        <f>'IEPR Gas Prices Real'!F330*(INDEX('GDP Deflator'!$C$5:$C$89,MATCH('IEPR Gas Prices Nominal'!$B330,'GDP Deflator'!$B$5:$B$89,0))/100)</f>
        <v>9.4484565294772747</v>
      </c>
      <c r="G330" s="269">
        <f>'IEPR Gas Prices Real'!G330*(INDEX('GDP Deflator'!$C$5:$C$89,MATCH('IEPR Gas Prices Nominal'!$B330,'GDP Deflator'!$B$5:$B$89,0))/100)</f>
        <v>4.4614775310614823</v>
      </c>
      <c r="H330" s="270">
        <f>'IEPR Gas Prices Real'!H330*(INDEX('GDP Deflator'!$C$5:$C$89,MATCH('IEPR Gas Prices Nominal'!$B330,'GDP Deflator'!$B$5:$B$89,0))/100)</f>
        <v>13.909934060538756</v>
      </c>
      <c r="I330" s="269">
        <f>'IEPR Gas Prices Real'!I330*(INDEX('GDP Deflator'!$C$5:$C$89,MATCH('IEPR Gas Prices Nominal'!$B330,'GDP Deflator'!$B$5:$B$89,0))/100)</f>
        <v>9.9017496769761344</v>
      </c>
      <c r="J330" s="269">
        <f>'IEPR Gas Prices Real'!J330*(INDEX('GDP Deflator'!$C$5:$C$89,MATCH('IEPR Gas Prices Nominal'!$B330,'GDP Deflator'!$B$5:$B$89,0))/100)</f>
        <v>7.3736864797161887</v>
      </c>
      <c r="K330" s="269">
        <f>'IEPR Gas Prices Real'!K330*(INDEX('GDP Deflator'!$C$5:$C$89,MATCH('IEPR Gas Prices Nominal'!$B330,'GDP Deflator'!$B$5:$B$89,0))/100)</f>
        <v>17.275436156692326</v>
      </c>
      <c r="L330" s="268">
        <f>'IEPR Gas Prices Real'!L330*(INDEX('GDP Deflator'!$C$5:$C$89,MATCH('IEPR Gas Prices Nominal'!$B330,'GDP Deflator'!$B$5:$B$89,0))/100)</f>
        <v>10.264723870515118</v>
      </c>
      <c r="M330" s="269">
        <f>'IEPR Gas Prices Real'!M330*(INDEX('GDP Deflator'!$C$5:$C$89,MATCH('IEPR Gas Prices Nominal'!$B330,'GDP Deflator'!$B$5:$B$89,0))/100)</f>
        <v>3.4822535784043445</v>
      </c>
      <c r="N330" s="270">
        <f>'IEPR Gas Prices Real'!N330*(INDEX('GDP Deflator'!$C$5:$C$89,MATCH('IEPR Gas Prices Nominal'!$B330,'GDP Deflator'!$B$5:$B$89,0))/100)</f>
        <v>13.746977448919463</v>
      </c>
      <c r="O330" s="1"/>
      <c r="P330" s="274">
        <f t="shared" si="32"/>
        <v>9.871643358989509</v>
      </c>
      <c r="Q330" s="275">
        <f t="shared" si="36"/>
        <v>14.977449222050183</v>
      </c>
      <c r="R330" s="171"/>
    </row>
    <row r="331" spans="2:18">
      <c r="B331" s="94">
        <f t="shared" si="33"/>
        <v>2049</v>
      </c>
      <c r="C331" s="1">
        <f t="shared" si="34"/>
        <v>2</v>
      </c>
      <c r="D331" s="213">
        <v>54455</v>
      </c>
      <c r="E331" s="1" t="str">
        <f t="shared" si="35"/>
        <v>2-2049</v>
      </c>
      <c r="F331" s="268">
        <f>'IEPR Gas Prices Real'!F331*(INDEX('GDP Deflator'!$C$5:$C$89,MATCH('IEPR Gas Prices Nominal'!$B331,'GDP Deflator'!$B$5:$B$89,0))/100)</f>
        <v>9.2413606995146242</v>
      </c>
      <c r="G331" s="269">
        <f>'IEPR Gas Prices Real'!G331*(INDEX('GDP Deflator'!$C$5:$C$89,MATCH('IEPR Gas Prices Nominal'!$B331,'GDP Deflator'!$B$5:$B$89,0))/100)</f>
        <v>4.4614775310614823</v>
      </c>
      <c r="H331" s="270">
        <f>'IEPR Gas Prices Real'!H331*(INDEX('GDP Deflator'!$C$5:$C$89,MATCH('IEPR Gas Prices Nominal'!$B331,'GDP Deflator'!$B$5:$B$89,0))/100)</f>
        <v>13.702838230576106</v>
      </c>
      <c r="I331" s="269">
        <f>'IEPR Gas Prices Real'!I331*(INDEX('GDP Deflator'!$C$5:$C$89,MATCH('IEPR Gas Prices Nominal'!$B331,'GDP Deflator'!$B$5:$B$89,0))/100)</f>
        <v>9.6845614869399732</v>
      </c>
      <c r="J331" s="269">
        <f>'IEPR Gas Prices Real'!J331*(INDEX('GDP Deflator'!$C$5:$C$89,MATCH('IEPR Gas Prices Nominal'!$B331,'GDP Deflator'!$B$5:$B$89,0))/100)</f>
        <v>7.3736864797161887</v>
      </c>
      <c r="K331" s="269">
        <f>'IEPR Gas Prices Real'!K331*(INDEX('GDP Deflator'!$C$5:$C$89,MATCH('IEPR Gas Prices Nominal'!$B331,'GDP Deflator'!$B$5:$B$89,0))/100)</f>
        <v>17.058247966656165</v>
      </c>
      <c r="L331" s="268">
        <f>'IEPR Gas Prices Real'!L331*(INDEX('GDP Deflator'!$C$5:$C$89,MATCH('IEPR Gas Prices Nominal'!$B331,'GDP Deflator'!$B$5:$B$89,0))/100)</f>
        <v>10.03957911881407</v>
      </c>
      <c r="M331" s="269">
        <f>'IEPR Gas Prices Real'!M331*(INDEX('GDP Deflator'!$C$5:$C$89,MATCH('IEPR Gas Prices Nominal'!$B331,'GDP Deflator'!$B$5:$B$89,0))/100)</f>
        <v>3.4822535784043445</v>
      </c>
      <c r="N331" s="270">
        <f>'IEPR Gas Prices Real'!N331*(INDEX('GDP Deflator'!$C$5:$C$89,MATCH('IEPR Gas Prices Nominal'!$B331,'GDP Deflator'!$B$5:$B$89,0))/100)</f>
        <v>13.521832697218414</v>
      </c>
      <c r="O331" s="1"/>
      <c r="P331" s="274">
        <f t="shared" si="32"/>
        <v>9.6551671017562217</v>
      </c>
      <c r="Q331" s="275">
        <f t="shared" si="36"/>
        <v>14.760972964816895</v>
      </c>
      <c r="R331" s="171"/>
    </row>
    <row r="332" spans="2:18">
      <c r="B332" s="94">
        <f t="shared" si="33"/>
        <v>2049</v>
      </c>
      <c r="C332" s="1">
        <f t="shared" si="34"/>
        <v>3</v>
      </c>
      <c r="D332" s="213">
        <v>54483</v>
      </c>
      <c r="E332" s="1" t="str">
        <f t="shared" si="35"/>
        <v>3-2049</v>
      </c>
      <c r="F332" s="268">
        <f>'IEPR Gas Prices Real'!F332*(INDEX('GDP Deflator'!$C$5:$C$89,MATCH('IEPR Gas Prices Nominal'!$B332,'GDP Deflator'!$B$5:$B$89,0))/100)</f>
        <v>8.4836501048158954</v>
      </c>
      <c r="G332" s="269">
        <f>'IEPR Gas Prices Real'!G332*(INDEX('GDP Deflator'!$C$5:$C$89,MATCH('IEPR Gas Prices Nominal'!$B332,'GDP Deflator'!$B$5:$B$89,0))/100)</f>
        <v>4.4614775310614823</v>
      </c>
      <c r="H332" s="270">
        <f>'IEPR Gas Prices Real'!H332*(INDEX('GDP Deflator'!$C$5:$C$89,MATCH('IEPR Gas Prices Nominal'!$B332,'GDP Deflator'!$B$5:$B$89,0))/100)</f>
        <v>12.945127635877377</v>
      </c>
      <c r="I332" s="269">
        <f>'IEPR Gas Prices Real'!I332*(INDEX('GDP Deflator'!$C$5:$C$89,MATCH('IEPR Gas Prices Nominal'!$B332,'GDP Deflator'!$B$5:$B$89,0))/100)</f>
        <v>8.8903683006111738</v>
      </c>
      <c r="J332" s="269">
        <f>'IEPR Gas Prices Real'!J332*(INDEX('GDP Deflator'!$C$5:$C$89,MATCH('IEPR Gas Prices Nominal'!$B332,'GDP Deflator'!$B$5:$B$89,0))/100)</f>
        <v>7.3736864797161887</v>
      </c>
      <c r="K332" s="269">
        <f>'IEPR Gas Prices Real'!K332*(INDEX('GDP Deflator'!$C$5:$C$89,MATCH('IEPR Gas Prices Nominal'!$B332,'GDP Deflator'!$B$5:$B$89,0))/100)</f>
        <v>16.264054780327363</v>
      </c>
      <c r="L332" s="268">
        <f>'IEPR Gas Prices Real'!L332*(INDEX('GDP Deflator'!$C$5:$C$89,MATCH('IEPR Gas Prices Nominal'!$B332,'GDP Deflator'!$B$5:$B$89,0))/100)</f>
        <v>9.2162769384260326</v>
      </c>
      <c r="M332" s="269">
        <f>'IEPR Gas Prices Real'!M332*(INDEX('GDP Deflator'!$C$5:$C$89,MATCH('IEPR Gas Prices Nominal'!$B332,'GDP Deflator'!$B$5:$B$89,0))/100)</f>
        <v>3.4822535784043445</v>
      </c>
      <c r="N332" s="270">
        <f>'IEPR Gas Prices Real'!N332*(INDEX('GDP Deflator'!$C$5:$C$89,MATCH('IEPR Gas Prices Nominal'!$B332,'GDP Deflator'!$B$5:$B$89,0))/100)</f>
        <v>12.698530516830377</v>
      </c>
      <c r="O332" s="1"/>
      <c r="P332" s="274">
        <f t="shared" si="32"/>
        <v>8.8634317812843673</v>
      </c>
      <c r="Q332" s="275">
        <f t="shared" si="36"/>
        <v>13.969237644345037</v>
      </c>
      <c r="R332" s="171"/>
    </row>
    <row r="333" spans="2:18">
      <c r="B333" s="94">
        <f t="shared" si="33"/>
        <v>2049</v>
      </c>
      <c r="C333" s="1">
        <f t="shared" si="34"/>
        <v>4</v>
      </c>
      <c r="D333" s="213">
        <v>54514</v>
      </c>
      <c r="E333" s="1" t="str">
        <f t="shared" si="35"/>
        <v>4-2049</v>
      </c>
      <c r="F333" s="268">
        <f>'IEPR Gas Prices Real'!F333*(INDEX('GDP Deflator'!$C$5:$C$89,MATCH('IEPR Gas Prices Nominal'!$B333,'GDP Deflator'!$B$5:$B$89,0))/100)</f>
        <v>8.3393523228448405</v>
      </c>
      <c r="G333" s="269">
        <f>'IEPR Gas Prices Real'!G333*(INDEX('GDP Deflator'!$C$5:$C$89,MATCH('IEPR Gas Prices Nominal'!$B333,'GDP Deflator'!$B$5:$B$89,0))/100)</f>
        <v>4.4614775310614823</v>
      </c>
      <c r="H333" s="270">
        <f>'IEPR Gas Prices Real'!H333*(INDEX('GDP Deflator'!$C$5:$C$89,MATCH('IEPR Gas Prices Nominal'!$B333,'GDP Deflator'!$B$5:$B$89,0))/100)</f>
        <v>12.800829853906322</v>
      </c>
      <c r="I333" s="269">
        <f>'IEPR Gas Prices Real'!I333*(INDEX('GDP Deflator'!$C$5:$C$89,MATCH('IEPR Gas Prices Nominal'!$B333,'GDP Deflator'!$B$5:$B$89,0))/100)</f>
        <v>8.7390111074132868</v>
      </c>
      <c r="J333" s="269">
        <f>'IEPR Gas Prices Real'!J333*(INDEX('GDP Deflator'!$C$5:$C$89,MATCH('IEPR Gas Prices Nominal'!$B333,'GDP Deflator'!$B$5:$B$89,0))/100)</f>
        <v>7.3736864797161887</v>
      </c>
      <c r="K333" s="269">
        <f>'IEPR Gas Prices Real'!K333*(INDEX('GDP Deflator'!$C$5:$C$89,MATCH('IEPR Gas Prices Nominal'!$B333,'GDP Deflator'!$B$5:$B$89,0))/100)</f>
        <v>16.112697587129478</v>
      </c>
      <c r="L333" s="268">
        <f>'IEPR Gas Prices Real'!L333*(INDEX('GDP Deflator'!$C$5:$C$89,MATCH('IEPR Gas Prices Nominal'!$B333,'GDP Deflator'!$B$5:$B$89,0))/100)</f>
        <v>9.0593757410074751</v>
      </c>
      <c r="M333" s="269">
        <f>'IEPR Gas Prices Real'!M333*(INDEX('GDP Deflator'!$C$5:$C$89,MATCH('IEPR Gas Prices Nominal'!$B333,'GDP Deflator'!$B$5:$B$89,0))/100)</f>
        <v>3.4822535784043445</v>
      </c>
      <c r="N333" s="270">
        <f>'IEPR Gas Prices Real'!N333*(INDEX('GDP Deflator'!$C$5:$C$89,MATCH('IEPR Gas Prices Nominal'!$B333,'GDP Deflator'!$B$5:$B$89,0))/100)</f>
        <v>12.541629319411818</v>
      </c>
      <c r="O333" s="1"/>
      <c r="P333" s="274">
        <f t="shared" si="32"/>
        <v>8.7125797237552014</v>
      </c>
      <c r="Q333" s="275">
        <f t="shared" si="36"/>
        <v>13.818385586815873</v>
      </c>
      <c r="R333" s="171"/>
    </row>
    <row r="334" spans="2:18">
      <c r="B334" s="94">
        <f t="shared" si="33"/>
        <v>2049</v>
      </c>
      <c r="C334" s="1">
        <f t="shared" si="34"/>
        <v>5</v>
      </c>
      <c r="D334" s="213">
        <v>54544</v>
      </c>
      <c r="E334" s="1" t="str">
        <f t="shared" si="35"/>
        <v>5-2049</v>
      </c>
      <c r="F334" s="268">
        <f>'IEPR Gas Prices Real'!F334*(INDEX('GDP Deflator'!$C$5:$C$89,MATCH('IEPR Gas Prices Nominal'!$B334,'GDP Deflator'!$B$5:$B$89,0))/100)</f>
        <v>8.6296436739167106</v>
      </c>
      <c r="G334" s="269">
        <f>'IEPR Gas Prices Real'!G334*(INDEX('GDP Deflator'!$C$5:$C$89,MATCH('IEPR Gas Prices Nominal'!$B334,'GDP Deflator'!$B$5:$B$89,0))/100)</f>
        <v>4.4614775310614823</v>
      </c>
      <c r="H334" s="270">
        <f>'IEPR Gas Prices Real'!H334*(INDEX('GDP Deflator'!$C$5:$C$89,MATCH('IEPR Gas Prices Nominal'!$B334,'GDP Deflator'!$B$5:$B$89,0))/100)</f>
        <v>13.091121204978192</v>
      </c>
      <c r="I334" s="269">
        <f>'IEPR Gas Prices Real'!I334*(INDEX('GDP Deflator'!$C$5:$C$89,MATCH('IEPR Gas Prices Nominal'!$B334,'GDP Deflator'!$B$5:$B$89,0))/100)</f>
        <v>9.0430679991328322</v>
      </c>
      <c r="J334" s="269">
        <f>'IEPR Gas Prices Real'!J334*(INDEX('GDP Deflator'!$C$5:$C$89,MATCH('IEPR Gas Prices Nominal'!$B334,'GDP Deflator'!$B$5:$B$89,0))/100)</f>
        <v>7.3736864797161887</v>
      </c>
      <c r="K334" s="269">
        <f>'IEPR Gas Prices Real'!K334*(INDEX('GDP Deflator'!$C$5:$C$89,MATCH('IEPR Gas Prices Nominal'!$B334,'GDP Deflator'!$B$5:$B$89,0))/100)</f>
        <v>16.416754478849022</v>
      </c>
      <c r="L334" s="268">
        <f>'IEPR Gas Prices Real'!L334*(INDEX('GDP Deflator'!$C$5:$C$89,MATCH('IEPR Gas Prices Nominal'!$B334,'GDP Deflator'!$B$5:$B$89,0))/100)</f>
        <v>9.3745837971440196</v>
      </c>
      <c r="M334" s="269">
        <f>'IEPR Gas Prices Real'!M334*(INDEX('GDP Deflator'!$C$5:$C$89,MATCH('IEPR Gas Prices Nominal'!$B334,'GDP Deflator'!$B$5:$B$89,0))/100)</f>
        <v>3.4822535784043445</v>
      </c>
      <c r="N334" s="270">
        <f>'IEPR Gas Prices Real'!N334*(INDEX('GDP Deflator'!$C$5:$C$89,MATCH('IEPR Gas Prices Nominal'!$B334,'GDP Deflator'!$B$5:$B$89,0))/100)</f>
        <v>12.856837375548364</v>
      </c>
      <c r="O334" s="1"/>
      <c r="P334" s="274">
        <f t="shared" si="32"/>
        <v>9.0157651567311863</v>
      </c>
      <c r="Q334" s="275">
        <f t="shared" si="36"/>
        <v>14.12157101979186</v>
      </c>
      <c r="R334" s="171"/>
    </row>
    <row r="335" spans="2:18">
      <c r="B335" s="94">
        <f t="shared" si="33"/>
        <v>2049</v>
      </c>
      <c r="C335" s="1">
        <f t="shared" si="34"/>
        <v>6</v>
      </c>
      <c r="D335" s="213">
        <v>54575</v>
      </c>
      <c r="E335" s="1" t="str">
        <f t="shared" si="35"/>
        <v>6-2049</v>
      </c>
      <c r="F335" s="268">
        <f>'IEPR Gas Prices Real'!F335*(INDEX('GDP Deflator'!$C$5:$C$89,MATCH('IEPR Gas Prices Nominal'!$B335,'GDP Deflator'!$B$5:$B$89,0))/100)</f>
        <v>8.8527977162314428</v>
      </c>
      <c r="G335" s="269">
        <f>'IEPR Gas Prices Real'!G335*(INDEX('GDP Deflator'!$C$5:$C$89,MATCH('IEPR Gas Prices Nominal'!$B335,'GDP Deflator'!$B$5:$B$89,0))/100)</f>
        <v>4.4614775310614823</v>
      </c>
      <c r="H335" s="270">
        <f>'IEPR Gas Prices Real'!H335*(INDEX('GDP Deflator'!$C$5:$C$89,MATCH('IEPR Gas Prices Nominal'!$B335,'GDP Deflator'!$B$5:$B$89,0))/100)</f>
        <v>13.314275247292924</v>
      </c>
      <c r="I335" s="269">
        <f>'IEPR Gas Prices Real'!I335*(INDEX('GDP Deflator'!$C$5:$C$89,MATCH('IEPR Gas Prices Nominal'!$B335,'GDP Deflator'!$B$5:$B$89,0))/100)</f>
        <v>9.276762476519389</v>
      </c>
      <c r="J335" s="269">
        <f>'IEPR Gas Prices Real'!J335*(INDEX('GDP Deflator'!$C$5:$C$89,MATCH('IEPR Gas Prices Nominal'!$B335,'GDP Deflator'!$B$5:$B$89,0))/100)</f>
        <v>7.3736864797161887</v>
      </c>
      <c r="K335" s="269">
        <f>'IEPR Gas Prices Real'!K335*(INDEX('GDP Deflator'!$C$5:$C$89,MATCH('IEPR Gas Prices Nominal'!$B335,'GDP Deflator'!$B$5:$B$89,0))/100)</f>
        <v>16.650448956235579</v>
      </c>
      <c r="L335" s="268">
        <f>'IEPR Gas Prices Real'!L335*(INDEX('GDP Deflator'!$C$5:$C$89,MATCH('IEPR Gas Prices Nominal'!$B335,'GDP Deflator'!$B$5:$B$89,0))/100)</f>
        <v>9.6168502567556615</v>
      </c>
      <c r="M335" s="269">
        <f>'IEPR Gas Prices Real'!M335*(INDEX('GDP Deflator'!$C$5:$C$89,MATCH('IEPR Gas Prices Nominal'!$B335,'GDP Deflator'!$B$5:$B$89,0))/100)</f>
        <v>3.4822535784043445</v>
      </c>
      <c r="N335" s="270">
        <f>'IEPR Gas Prices Real'!N335*(INDEX('GDP Deflator'!$C$5:$C$89,MATCH('IEPR Gas Prices Nominal'!$B335,'GDP Deflator'!$B$5:$B$89,0))/100)</f>
        <v>13.099103835160006</v>
      </c>
      <c r="O335" s="1"/>
      <c r="P335" s="274">
        <f t="shared" si="32"/>
        <v>9.2488034831688299</v>
      </c>
      <c r="Q335" s="275">
        <f t="shared" si="36"/>
        <v>14.354609346229504</v>
      </c>
      <c r="R335" s="171"/>
    </row>
    <row r="336" spans="2:18">
      <c r="B336" s="94">
        <f t="shared" si="33"/>
        <v>2049</v>
      </c>
      <c r="C336" s="1">
        <f t="shared" si="34"/>
        <v>7</v>
      </c>
      <c r="D336" s="213">
        <v>54605</v>
      </c>
      <c r="E336" s="1" t="str">
        <f t="shared" si="35"/>
        <v>7-2049</v>
      </c>
      <c r="F336" s="268">
        <f>'IEPR Gas Prices Real'!F336*(INDEX('GDP Deflator'!$C$5:$C$89,MATCH('IEPR Gas Prices Nominal'!$B336,'GDP Deflator'!$B$5:$B$89,0))/100)</f>
        <v>8.9230917012829547</v>
      </c>
      <c r="G336" s="269">
        <f>'IEPR Gas Prices Real'!G336*(INDEX('GDP Deflator'!$C$5:$C$89,MATCH('IEPR Gas Prices Nominal'!$B336,'GDP Deflator'!$B$5:$B$89,0))/100)</f>
        <v>4.4614775310614823</v>
      </c>
      <c r="H336" s="270">
        <f>'IEPR Gas Prices Real'!H336*(INDEX('GDP Deflator'!$C$5:$C$89,MATCH('IEPR Gas Prices Nominal'!$B336,'GDP Deflator'!$B$5:$B$89,0))/100)</f>
        <v>13.384569232344438</v>
      </c>
      <c r="I336" s="269">
        <f>'IEPR Gas Prices Real'!I336*(INDEX('GDP Deflator'!$C$5:$C$89,MATCH('IEPR Gas Prices Nominal'!$B336,'GDP Deflator'!$B$5:$B$89,0))/100)</f>
        <v>9.3502713616897211</v>
      </c>
      <c r="J336" s="269">
        <f>'IEPR Gas Prices Real'!J336*(INDEX('GDP Deflator'!$C$5:$C$89,MATCH('IEPR Gas Prices Nominal'!$B336,'GDP Deflator'!$B$5:$B$89,0))/100)</f>
        <v>7.3736864797161887</v>
      </c>
      <c r="K336" s="269">
        <f>'IEPR Gas Prices Real'!K336*(INDEX('GDP Deflator'!$C$5:$C$89,MATCH('IEPR Gas Prices Nominal'!$B336,'GDP Deflator'!$B$5:$B$89,0))/100)</f>
        <v>16.723957841405912</v>
      </c>
      <c r="L336" s="268">
        <f>'IEPR Gas Prices Real'!L336*(INDEX('GDP Deflator'!$C$5:$C$89,MATCH('IEPR Gas Prices Nominal'!$B336,'GDP Deflator'!$B$5:$B$89,0))/100)</f>
        <v>9.6930588517254854</v>
      </c>
      <c r="M336" s="269">
        <f>'IEPR Gas Prices Real'!M336*(INDEX('GDP Deflator'!$C$5:$C$89,MATCH('IEPR Gas Prices Nominal'!$B336,'GDP Deflator'!$B$5:$B$89,0))/100)</f>
        <v>3.4822535784043445</v>
      </c>
      <c r="N336" s="270">
        <f>'IEPR Gas Prices Real'!N336*(INDEX('GDP Deflator'!$C$5:$C$89,MATCH('IEPR Gas Prices Nominal'!$B336,'GDP Deflator'!$B$5:$B$89,0))/100)</f>
        <v>13.17531243012983</v>
      </c>
      <c r="O336" s="1"/>
      <c r="P336" s="274">
        <f t="shared" si="32"/>
        <v>9.322140638232721</v>
      </c>
      <c r="Q336" s="275">
        <f t="shared" si="36"/>
        <v>14.427946501293393</v>
      </c>
      <c r="R336" s="171"/>
    </row>
    <row r="337" spans="2:18">
      <c r="B337" s="94">
        <f t="shared" si="33"/>
        <v>2049</v>
      </c>
      <c r="C337" s="1">
        <f t="shared" si="34"/>
        <v>8</v>
      </c>
      <c r="D337" s="213">
        <v>54636</v>
      </c>
      <c r="E337" s="1" t="str">
        <f t="shared" si="35"/>
        <v>8-2049</v>
      </c>
      <c r="F337" s="268">
        <f>'IEPR Gas Prices Real'!F337*(INDEX('GDP Deflator'!$C$5:$C$89,MATCH('IEPR Gas Prices Nominal'!$B337,'GDP Deflator'!$B$5:$B$89,0))/100)</f>
        <v>8.8542295023395976</v>
      </c>
      <c r="G337" s="269">
        <f>'IEPR Gas Prices Real'!G337*(INDEX('GDP Deflator'!$C$5:$C$89,MATCH('IEPR Gas Prices Nominal'!$B337,'GDP Deflator'!$B$5:$B$89,0))/100)</f>
        <v>4.4614775310614823</v>
      </c>
      <c r="H337" s="270">
        <f>'IEPR Gas Prices Real'!H337*(INDEX('GDP Deflator'!$C$5:$C$89,MATCH('IEPR Gas Prices Nominal'!$B337,'GDP Deflator'!$B$5:$B$89,0))/100)</f>
        <v>13.315707033401081</v>
      </c>
      <c r="I337" s="269">
        <f>'IEPR Gas Prices Real'!I337*(INDEX('GDP Deflator'!$C$5:$C$89,MATCH('IEPR Gas Prices Nominal'!$B337,'GDP Deflator'!$B$5:$B$89,0))/100)</f>
        <v>9.2779621340016618</v>
      </c>
      <c r="J337" s="269">
        <f>'IEPR Gas Prices Real'!J337*(INDEX('GDP Deflator'!$C$5:$C$89,MATCH('IEPR Gas Prices Nominal'!$B337,'GDP Deflator'!$B$5:$B$89,0))/100)</f>
        <v>7.3736864797161887</v>
      </c>
      <c r="K337" s="269">
        <f>'IEPR Gas Prices Real'!K337*(INDEX('GDP Deflator'!$C$5:$C$89,MATCH('IEPR Gas Prices Nominal'!$B337,'GDP Deflator'!$B$5:$B$89,0))/100)</f>
        <v>16.65164861371785</v>
      </c>
      <c r="L337" s="268">
        <f>'IEPR Gas Prices Real'!L337*(INDEX('GDP Deflator'!$C$5:$C$89,MATCH('IEPR Gas Prices Nominal'!$B337,'GDP Deflator'!$B$5:$B$89,0))/100)</f>
        <v>9.6181035409151345</v>
      </c>
      <c r="M337" s="269">
        <f>'IEPR Gas Prices Real'!M337*(INDEX('GDP Deflator'!$C$5:$C$89,MATCH('IEPR Gas Prices Nominal'!$B337,'GDP Deflator'!$B$5:$B$89,0))/100)</f>
        <v>3.4822535784043445</v>
      </c>
      <c r="N337" s="270">
        <f>'IEPR Gas Prices Real'!N337*(INDEX('GDP Deflator'!$C$5:$C$89,MATCH('IEPR Gas Prices Nominal'!$B337,'GDP Deflator'!$B$5:$B$89,0))/100)</f>
        <v>13.100357119319479</v>
      </c>
      <c r="O337" s="1"/>
      <c r="P337" s="274">
        <f t="shared" si="32"/>
        <v>9.2500983924187992</v>
      </c>
      <c r="Q337" s="275">
        <f t="shared" si="36"/>
        <v>14.355904255479468</v>
      </c>
      <c r="R337" s="171"/>
    </row>
    <row r="338" spans="2:18">
      <c r="B338" s="94">
        <f t="shared" si="33"/>
        <v>2049</v>
      </c>
      <c r="C338" s="1">
        <f t="shared" si="34"/>
        <v>9</v>
      </c>
      <c r="D338" s="213">
        <v>54667</v>
      </c>
      <c r="E338" s="1" t="str">
        <f t="shared" si="35"/>
        <v>9-2049</v>
      </c>
      <c r="F338" s="268">
        <f>'IEPR Gas Prices Real'!F338*(INDEX('GDP Deflator'!$C$5:$C$89,MATCH('IEPR Gas Prices Nominal'!$B338,'GDP Deflator'!$B$5:$B$89,0))/100)</f>
        <v>8.9788334457632732</v>
      </c>
      <c r="G338" s="269">
        <f>'IEPR Gas Prices Real'!G338*(INDEX('GDP Deflator'!$C$5:$C$89,MATCH('IEPR Gas Prices Nominal'!$B338,'GDP Deflator'!$B$5:$B$89,0))/100)</f>
        <v>4.4614775310614823</v>
      </c>
      <c r="H338" s="270">
        <f>'IEPR Gas Prices Real'!H338*(INDEX('GDP Deflator'!$C$5:$C$89,MATCH('IEPR Gas Prices Nominal'!$B338,'GDP Deflator'!$B$5:$B$89,0))/100)</f>
        <v>13.440310976824756</v>
      </c>
      <c r="I338" s="269">
        <f>'IEPR Gas Prices Real'!I338*(INDEX('GDP Deflator'!$C$5:$C$89,MATCH('IEPR Gas Prices Nominal'!$B338,'GDP Deflator'!$B$5:$B$89,0))/100)</f>
        <v>9.4083767082238765</v>
      </c>
      <c r="J338" s="269">
        <f>'IEPR Gas Prices Real'!J338*(INDEX('GDP Deflator'!$C$5:$C$89,MATCH('IEPR Gas Prices Nominal'!$B338,'GDP Deflator'!$B$5:$B$89,0))/100)</f>
        <v>7.3736864797161887</v>
      </c>
      <c r="K338" s="269">
        <f>'IEPR Gas Prices Real'!K338*(INDEX('GDP Deflator'!$C$5:$C$89,MATCH('IEPR Gas Prices Nominal'!$B338,'GDP Deflator'!$B$5:$B$89,0))/100)</f>
        <v>16.782063187940064</v>
      </c>
      <c r="L338" s="268">
        <f>'IEPR Gas Prices Real'!L338*(INDEX('GDP Deflator'!$C$5:$C$89,MATCH('IEPR Gas Prices Nominal'!$B338,'GDP Deflator'!$B$5:$B$89,0))/100)</f>
        <v>9.7533041645384699</v>
      </c>
      <c r="M338" s="269">
        <f>'IEPR Gas Prices Real'!M338*(INDEX('GDP Deflator'!$C$5:$C$89,MATCH('IEPR Gas Prices Nominal'!$B338,'GDP Deflator'!$B$5:$B$89,0))/100)</f>
        <v>3.4822535784043445</v>
      </c>
      <c r="N338" s="270">
        <f>'IEPR Gas Prices Real'!N338*(INDEX('GDP Deflator'!$C$5:$C$89,MATCH('IEPR Gas Prices Nominal'!$B338,'GDP Deflator'!$B$5:$B$89,0))/100)</f>
        <v>13.235557742942815</v>
      </c>
      <c r="O338" s="1"/>
      <c r="P338" s="274">
        <f t="shared" si="32"/>
        <v>9.3801714395085387</v>
      </c>
      <c r="Q338" s="275">
        <f t="shared" si="36"/>
        <v>14.485977302569212</v>
      </c>
      <c r="R338" s="171"/>
    </row>
    <row r="339" spans="2:18">
      <c r="B339" s="94">
        <f t="shared" si="33"/>
        <v>2049</v>
      </c>
      <c r="C339" s="1">
        <f t="shared" si="34"/>
        <v>10</v>
      </c>
      <c r="D339" s="213">
        <v>54697</v>
      </c>
      <c r="E339" s="1" t="str">
        <f t="shared" si="35"/>
        <v>10-2049</v>
      </c>
      <c r="F339" s="268">
        <f>'IEPR Gas Prices Real'!F339*(INDEX('GDP Deflator'!$C$5:$C$89,MATCH('IEPR Gas Prices Nominal'!$B339,'GDP Deflator'!$B$5:$B$89,0))/100)</f>
        <v>8.9271539795088692</v>
      </c>
      <c r="G339" s="269">
        <f>'IEPR Gas Prices Real'!G339*(INDEX('GDP Deflator'!$C$5:$C$89,MATCH('IEPR Gas Prices Nominal'!$B339,'GDP Deflator'!$B$5:$B$89,0))/100)</f>
        <v>4.4614775310614823</v>
      </c>
      <c r="H339" s="270">
        <f>'IEPR Gas Prices Real'!H339*(INDEX('GDP Deflator'!$C$5:$C$89,MATCH('IEPR Gas Prices Nominal'!$B339,'GDP Deflator'!$B$5:$B$89,0))/100)</f>
        <v>13.388631510570351</v>
      </c>
      <c r="I339" s="269">
        <f>'IEPR Gas Prices Real'!I339*(INDEX('GDP Deflator'!$C$5:$C$89,MATCH('IEPR Gas Prices Nominal'!$B339,'GDP Deflator'!$B$5:$B$89,0))/100)</f>
        <v>9.3540733065050485</v>
      </c>
      <c r="J339" s="269">
        <f>'IEPR Gas Prices Real'!J339*(INDEX('GDP Deflator'!$C$5:$C$89,MATCH('IEPR Gas Prices Nominal'!$B339,'GDP Deflator'!$B$5:$B$89,0))/100)</f>
        <v>7.3736864797161887</v>
      </c>
      <c r="K339" s="269">
        <f>'IEPR Gas Prices Real'!K339*(INDEX('GDP Deflator'!$C$5:$C$89,MATCH('IEPR Gas Prices Nominal'!$B339,'GDP Deflator'!$B$5:$B$89,0))/100)</f>
        <v>16.727759786221235</v>
      </c>
      <c r="L339" s="268">
        <f>'IEPR Gas Prices Real'!L339*(INDEX('GDP Deflator'!$C$5:$C$89,MATCH('IEPR Gas Prices Nominal'!$B339,'GDP Deflator'!$B$5:$B$89,0))/100)</f>
        <v>9.6970147699727729</v>
      </c>
      <c r="M339" s="269">
        <f>'IEPR Gas Prices Real'!M339*(INDEX('GDP Deflator'!$C$5:$C$89,MATCH('IEPR Gas Prices Nominal'!$B339,'GDP Deflator'!$B$5:$B$89,0))/100)</f>
        <v>3.4822535784043445</v>
      </c>
      <c r="N339" s="270">
        <f>'IEPR Gas Prices Real'!N339*(INDEX('GDP Deflator'!$C$5:$C$89,MATCH('IEPR Gas Prices Nominal'!$B339,'GDP Deflator'!$B$5:$B$89,0))/100)</f>
        <v>13.179268348377116</v>
      </c>
      <c r="O339" s="1"/>
      <c r="P339" s="274">
        <f t="shared" si="32"/>
        <v>9.3260806853288969</v>
      </c>
      <c r="Q339" s="275">
        <f t="shared" si="36"/>
        <v>14.431886548389565</v>
      </c>
      <c r="R339" s="171"/>
    </row>
    <row r="340" spans="2:18">
      <c r="B340" s="94">
        <f t="shared" si="33"/>
        <v>2049</v>
      </c>
      <c r="C340" s="1">
        <f t="shared" si="34"/>
        <v>11</v>
      </c>
      <c r="D340" s="213">
        <v>54728</v>
      </c>
      <c r="E340" s="1" t="str">
        <f t="shared" si="35"/>
        <v>11-2049</v>
      </c>
      <c r="F340" s="268">
        <f>'IEPR Gas Prices Real'!F340*(INDEX('GDP Deflator'!$C$5:$C$89,MATCH('IEPR Gas Prices Nominal'!$B340,'GDP Deflator'!$B$5:$B$89,0))/100)</f>
        <v>9.3684591702964788</v>
      </c>
      <c r="G340" s="269">
        <f>'IEPR Gas Prices Real'!G340*(INDEX('GDP Deflator'!$C$5:$C$89,MATCH('IEPR Gas Prices Nominal'!$B340,'GDP Deflator'!$B$5:$B$89,0))/100)</f>
        <v>4.4614775310614823</v>
      </c>
      <c r="H340" s="270">
        <f>'IEPR Gas Prices Real'!H340*(INDEX('GDP Deflator'!$C$5:$C$89,MATCH('IEPR Gas Prices Nominal'!$B340,'GDP Deflator'!$B$5:$B$89,0))/100)</f>
        <v>13.82993670135796</v>
      </c>
      <c r="I340" s="269">
        <f>'IEPR Gas Prices Real'!I340*(INDEX('GDP Deflator'!$C$5:$C$89,MATCH('IEPR Gas Prices Nominal'!$B340,'GDP Deflator'!$B$5:$B$89,0))/100)</f>
        <v>9.8163237202202946</v>
      </c>
      <c r="J340" s="269">
        <f>'IEPR Gas Prices Real'!J340*(INDEX('GDP Deflator'!$C$5:$C$89,MATCH('IEPR Gas Prices Nominal'!$B340,'GDP Deflator'!$B$5:$B$89,0))/100)</f>
        <v>7.3736864797161887</v>
      </c>
      <c r="K340" s="269">
        <f>'IEPR Gas Prices Real'!K340*(INDEX('GDP Deflator'!$C$5:$C$89,MATCH('IEPR Gas Prices Nominal'!$B340,'GDP Deflator'!$B$5:$B$89,0))/100)</f>
        <v>17.190010199936484</v>
      </c>
      <c r="L340" s="268">
        <f>'IEPR Gas Prices Real'!L340*(INDEX('GDP Deflator'!$C$5:$C$89,MATCH('IEPR Gas Prices Nominal'!$B340,'GDP Deflator'!$B$5:$B$89,0))/100)</f>
        <v>10.176217433560995</v>
      </c>
      <c r="M340" s="269">
        <f>'IEPR Gas Prices Real'!M340*(INDEX('GDP Deflator'!$C$5:$C$89,MATCH('IEPR Gas Prices Nominal'!$B340,'GDP Deflator'!$B$5:$B$89,0))/100)</f>
        <v>3.4822535784043445</v>
      </c>
      <c r="N340" s="270">
        <f>'IEPR Gas Prices Real'!N340*(INDEX('GDP Deflator'!$C$5:$C$89,MATCH('IEPR Gas Prices Nominal'!$B340,'GDP Deflator'!$B$5:$B$89,0))/100)</f>
        <v>13.658471011965338</v>
      </c>
      <c r="O340" s="1"/>
      <c r="P340" s="274">
        <f t="shared" si="32"/>
        <v>9.7870001080259215</v>
      </c>
      <c r="Q340" s="275">
        <f t="shared" si="36"/>
        <v>14.892805971086595</v>
      </c>
      <c r="R340" s="171"/>
    </row>
    <row r="341" spans="2:18">
      <c r="B341" s="94">
        <f t="shared" si="33"/>
        <v>2049</v>
      </c>
      <c r="C341" s="1">
        <f t="shared" si="34"/>
        <v>12</v>
      </c>
      <c r="D341" s="213">
        <v>54758</v>
      </c>
      <c r="E341" s="1" t="str">
        <f t="shared" si="35"/>
        <v>12-2049</v>
      </c>
      <c r="F341" s="268">
        <f>'IEPR Gas Prices Real'!F341*(INDEX('GDP Deflator'!$C$5:$C$89,MATCH('IEPR Gas Prices Nominal'!$B341,'GDP Deflator'!$B$5:$B$89,0))/100)</f>
        <v>9.4438787962440927</v>
      </c>
      <c r="G341" s="269">
        <f>'IEPR Gas Prices Real'!G341*(INDEX('GDP Deflator'!$C$5:$C$89,MATCH('IEPR Gas Prices Nominal'!$B341,'GDP Deflator'!$B$5:$B$89,0))/100)</f>
        <v>4.4614775310614823</v>
      </c>
      <c r="H341" s="270">
        <f>'IEPR Gas Prices Real'!H341*(INDEX('GDP Deflator'!$C$5:$C$89,MATCH('IEPR Gas Prices Nominal'!$B341,'GDP Deflator'!$B$5:$B$89,0))/100)</f>
        <v>13.905356327305574</v>
      </c>
      <c r="I341" s="269">
        <f>'IEPR Gas Prices Real'!I341*(INDEX('GDP Deflator'!$C$5:$C$89,MATCH('IEPR Gas Prices Nominal'!$B341,'GDP Deflator'!$B$5:$B$89,0))/100)</f>
        <v>9.8951884127782552</v>
      </c>
      <c r="J341" s="269">
        <f>'IEPR Gas Prices Real'!J341*(INDEX('GDP Deflator'!$C$5:$C$89,MATCH('IEPR Gas Prices Nominal'!$B341,'GDP Deflator'!$B$5:$B$89,0))/100)</f>
        <v>7.3736864797161887</v>
      </c>
      <c r="K341" s="269">
        <f>'IEPR Gas Prices Real'!K341*(INDEX('GDP Deflator'!$C$5:$C$89,MATCH('IEPR Gas Prices Nominal'!$B341,'GDP Deflator'!$B$5:$B$89,0))/100)</f>
        <v>17.268874892494441</v>
      </c>
      <c r="L341" s="268">
        <f>'IEPR Gas Prices Real'!L341*(INDEX('GDP Deflator'!$C$5:$C$89,MATCH('IEPR Gas Prices Nominal'!$B341,'GDP Deflator'!$B$5:$B$89,0))/100)</f>
        <v>10.257978671730706</v>
      </c>
      <c r="M341" s="269">
        <f>'IEPR Gas Prices Real'!M341*(INDEX('GDP Deflator'!$C$5:$C$89,MATCH('IEPR Gas Prices Nominal'!$B341,'GDP Deflator'!$B$5:$B$89,0))/100)</f>
        <v>3.4822535784043445</v>
      </c>
      <c r="N341" s="270">
        <f>'IEPR Gas Prices Real'!N341*(INDEX('GDP Deflator'!$C$5:$C$89,MATCH('IEPR Gas Prices Nominal'!$B341,'GDP Deflator'!$B$5:$B$89,0))/100)</f>
        <v>13.740232250135051</v>
      </c>
      <c r="O341" s="1"/>
      <c r="P341" s="274">
        <f t="shared" si="32"/>
        <v>9.8656819602510168</v>
      </c>
      <c r="Q341" s="275">
        <f t="shared" si="36"/>
        <v>14.971487823311689</v>
      </c>
      <c r="R341" s="171"/>
    </row>
    <row r="342" spans="2:18">
      <c r="B342" s="94">
        <f t="shared" si="33"/>
        <v>2050</v>
      </c>
      <c r="C342" s="1">
        <f t="shared" si="34"/>
        <v>1</v>
      </c>
      <c r="D342" s="213">
        <v>54789</v>
      </c>
      <c r="E342" s="1" t="str">
        <f t="shared" si="35"/>
        <v>1-2050</v>
      </c>
      <c r="F342" s="268">
        <f>'IEPR Gas Prices Real'!F342*(INDEX('GDP Deflator'!$C$5:$C$89,MATCH('IEPR Gas Prices Nominal'!$B342,'GDP Deflator'!$B$5:$B$89,0))/100)</f>
        <v>9.6586739615946211</v>
      </c>
      <c r="G342" s="269">
        <f>'IEPR Gas Prices Real'!G342*(INDEX('GDP Deflator'!$C$5:$C$89,MATCH('IEPR Gas Prices Nominal'!$B342,'GDP Deflator'!$B$5:$B$89,0))/100)</f>
        <v>4.7445396247938501</v>
      </c>
      <c r="H342" s="270">
        <f>'IEPR Gas Prices Real'!H342*(INDEX('GDP Deflator'!$C$5:$C$89,MATCH('IEPR Gas Prices Nominal'!$B342,'GDP Deflator'!$B$5:$B$89,0))/100)</f>
        <v>14.403213586388471</v>
      </c>
      <c r="I342" s="269">
        <f>'IEPR Gas Prices Real'!I342*(INDEX('GDP Deflator'!$C$5:$C$89,MATCH('IEPR Gas Prices Nominal'!$B342,'GDP Deflator'!$B$5:$B$89,0))/100)</f>
        <v>10.120089548793301</v>
      </c>
      <c r="J342" s="269">
        <f>'IEPR Gas Prices Real'!J342*(INDEX('GDP Deflator'!$C$5:$C$89,MATCH('IEPR Gas Prices Nominal'!$B342,'GDP Deflator'!$B$5:$B$89,0))/100)</f>
        <v>7.8425350514411578</v>
      </c>
      <c r="K342" s="269">
        <f>'IEPR Gas Prices Real'!K342*(INDEX('GDP Deflator'!$C$5:$C$89,MATCH('IEPR Gas Prices Nominal'!$B342,'GDP Deflator'!$B$5:$B$89,0))/100)</f>
        <v>17.962624600234456</v>
      </c>
      <c r="L342" s="268">
        <f>'IEPR Gas Prices Real'!L342*(INDEX('GDP Deflator'!$C$5:$C$89,MATCH('IEPR Gas Prices Nominal'!$B342,'GDP Deflator'!$B$5:$B$89,0))/100)</f>
        <v>10.491130089833995</v>
      </c>
      <c r="M342" s="269">
        <f>'IEPR Gas Prices Real'!M342*(INDEX('GDP Deflator'!$C$5:$C$89,MATCH('IEPR Gas Prices Nominal'!$B342,'GDP Deflator'!$B$5:$B$89,0))/100)</f>
        <v>3.7036692327192107</v>
      </c>
      <c r="N342" s="270">
        <f>'IEPR Gas Prices Real'!N342*(INDEX('GDP Deflator'!$C$5:$C$89,MATCH('IEPR Gas Prices Nominal'!$B342,'GDP Deflator'!$B$5:$B$89,0))/100)</f>
        <v>14.194799322553205</v>
      </c>
      <c r="O342" s="1"/>
      <c r="P342" s="274">
        <f t="shared" si="32"/>
        <v>10.089964533407306</v>
      </c>
      <c r="Q342" s="275">
        <f t="shared" si="36"/>
        <v>15.52021250305871</v>
      </c>
      <c r="R342" s="171"/>
    </row>
    <row r="343" spans="2:18">
      <c r="B343" s="94">
        <f t="shared" si="33"/>
        <v>2050</v>
      </c>
      <c r="C343" s="1">
        <f t="shared" si="34"/>
        <v>2</v>
      </c>
      <c r="D343" s="213">
        <v>54820</v>
      </c>
      <c r="E343" s="1" t="str">
        <f t="shared" si="35"/>
        <v>2-2050</v>
      </c>
      <c r="F343" s="268">
        <f>'IEPR Gas Prices Real'!F343*(INDEX('GDP Deflator'!$C$5:$C$89,MATCH('IEPR Gas Prices Nominal'!$B343,'GDP Deflator'!$B$5:$B$89,0))/100)</f>
        <v>9.4469783049021938</v>
      </c>
      <c r="G343" s="269">
        <f>'IEPR Gas Prices Real'!G343*(INDEX('GDP Deflator'!$C$5:$C$89,MATCH('IEPR Gas Prices Nominal'!$B343,'GDP Deflator'!$B$5:$B$89,0))/100)</f>
        <v>4.7445396247938501</v>
      </c>
      <c r="H343" s="270">
        <f>'IEPR Gas Prices Real'!H343*(INDEX('GDP Deflator'!$C$5:$C$89,MATCH('IEPR Gas Prices Nominal'!$B343,'GDP Deflator'!$B$5:$B$89,0))/100)</f>
        <v>14.191517929696044</v>
      </c>
      <c r="I343" s="269">
        <f>'IEPR Gas Prices Real'!I343*(INDEX('GDP Deflator'!$C$5:$C$89,MATCH('IEPR Gas Prices Nominal'!$B343,'GDP Deflator'!$B$5:$B$89,0))/100)</f>
        <v>9.8981254191917056</v>
      </c>
      <c r="J343" s="269">
        <f>'IEPR Gas Prices Real'!J343*(INDEX('GDP Deflator'!$C$5:$C$89,MATCH('IEPR Gas Prices Nominal'!$B343,'GDP Deflator'!$B$5:$B$89,0))/100)</f>
        <v>7.8425350514411578</v>
      </c>
      <c r="K343" s="269">
        <f>'IEPR Gas Prices Real'!K343*(INDEX('GDP Deflator'!$C$5:$C$89,MATCH('IEPR Gas Prices Nominal'!$B343,'GDP Deflator'!$B$5:$B$89,0))/100)</f>
        <v>17.740660470632861</v>
      </c>
      <c r="L343" s="268">
        <f>'IEPR Gas Prices Real'!L343*(INDEX('GDP Deflator'!$C$5:$C$89,MATCH('IEPR Gas Prices Nominal'!$B343,'GDP Deflator'!$B$5:$B$89,0))/100)</f>
        <v>10.261032482984502</v>
      </c>
      <c r="M343" s="269">
        <f>'IEPR Gas Prices Real'!M343*(INDEX('GDP Deflator'!$C$5:$C$89,MATCH('IEPR Gas Prices Nominal'!$B343,'GDP Deflator'!$B$5:$B$89,0))/100)</f>
        <v>3.7036692327192107</v>
      </c>
      <c r="N343" s="270">
        <f>'IEPR Gas Prices Real'!N343*(INDEX('GDP Deflator'!$C$5:$C$89,MATCH('IEPR Gas Prices Nominal'!$B343,'GDP Deflator'!$B$5:$B$89,0))/100)</f>
        <v>13.964701715703713</v>
      </c>
      <c r="O343" s="1"/>
      <c r="P343" s="274">
        <f t="shared" si="32"/>
        <v>9.8687120690261327</v>
      </c>
      <c r="Q343" s="275">
        <f t="shared" si="36"/>
        <v>15.29896003867754</v>
      </c>
      <c r="R343" s="171"/>
    </row>
    <row r="344" spans="2:18">
      <c r="B344" s="94">
        <f t="shared" si="33"/>
        <v>2050</v>
      </c>
      <c r="C344" s="1">
        <f t="shared" si="34"/>
        <v>3</v>
      </c>
      <c r="D344" s="213">
        <v>54848</v>
      </c>
      <c r="E344" s="1" t="str">
        <f t="shared" si="35"/>
        <v>3-2050</v>
      </c>
      <c r="F344" s="268">
        <f>'IEPR Gas Prices Real'!F344*(INDEX('GDP Deflator'!$C$5:$C$89,MATCH('IEPR Gas Prices Nominal'!$B344,'GDP Deflator'!$B$5:$B$89,0))/100)</f>
        <v>8.6724160480970145</v>
      </c>
      <c r="G344" s="269">
        <f>'IEPR Gas Prices Real'!G344*(INDEX('GDP Deflator'!$C$5:$C$89,MATCH('IEPR Gas Prices Nominal'!$B344,'GDP Deflator'!$B$5:$B$89,0))/100)</f>
        <v>4.7445396247938501</v>
      </c>
      <c r="H344" s="270">
        <f>'IEPR Gas Prices Real'!H344*(INDEX('GDP Deflator'!$C$5:$C$89,MATCH('IEPR Gas Prices Nominal'!$B344,'GDP Deflator'!$B$5:$B$89,0))/100)</f>
        <v>13.416955672890865</v>
      </c>
      <c r="I344" s="269">
        <f>'IEPR Gas Prices Real'!I344*(INDEX('GDP Deflator'!$C$5:$C$89,MATCH('IEPR Gas Prices Nominal'!$B344,'GDP Deflator'!$B$5:$B$89,0))/100)</f>
        <v>9.0864308031104084</v>
      </c>
      <c r="J344" s="269">
        <f>'IEPR Gas Prices Real'!J344*(INDEX('GDP Deflator'!$C$5:$C$89,MATCH('IEPR Gas Prices Nominal'!$B344,'GDP Deflator'!$B$5:$B$89,0))/100)</f>
        <v>7.8425350514411578</v>
      </c>
      <c r="K344" s="269">
        <f>'IEPR Gas Prices Real'!K344*(INDEX('GDP Deflator'!$C$5:$C$89,MATCH('IEPR Gas Prices Nominal'!$B344,'GDP Deflator'!$B$5:$B$89,0))/100)</f>
        <v>16.928965854551567</v>
      </c>
      <c r="L344" s="268">
        <f>'IEPR Gas Prices Real'!L344*(INDEX('GDP Deflator'!$C$5:$C$89,MATCH('IEPR Gas Prices Nominal'!$B344,'GDP Deflator'!$B$5:$B$89,0))/100)</f>
        <v>9.4195819043740947</v>
      </c>
      <c r="M344" s="269">
        <f>'IEPR Gas Prices Real'!M344*(INDEX('GDP Deflator'!$C$5:$C$89,MATCH('IEPR Gas Prices Nominal'!$B344,'GDP Deflator'!$B$5:$B$89,0))/100)</f>
        <v>3.7036692327192107</v>
      </c>
      <c r="N344" s="270">
        <f>'IEPR Gas Prices Real'!N344*(INDEX('GDP Deflator'!$C$5:$C$89,MATCH('IEPR Gas Prices Nominal'!$B344,'GDP Deflator'!$B$5:$B$89,0))/100)</f>
        <v>13.123251137093305</v>
      </c>
      <c r="O344" s="1"/>
      <c r="P344" s="274">
        <f t="shared" si="32"/>
        <v>9.0594762518605059</v>
      </c>
      <c r="Q344" s="275">
        <f t="shared" si="36"/>
        <v>14.489724221511912</v>
      </c>
      <c r="R344" s="171"/>
    </row>
    <row r="345" spans="2:18">
      <c r="B345" s="94">
        <f t="shared" si="33"/>
        <v>2050</v>
      </c>
      <c r="C345" s="1">
        <f t="shared" si="34"/>
        <v>4</v>
      </c>
      <c r="D345" s="213">
        <v>54879</v>
      </c>
      <c r="E345" s="1" t="str">
        <f t="shared" si="35"/>
        <v>4-2050</v>
      </c>
      <c r="F345" s="268">
        <f>'IEPR Gas Prices Real'!F345*(INDEX('GDP Deflator'!$C$5:$C$89,MATCH('IEPR Gas Prices Nominal'!$B345,'GDP Deflator'!$B$5:$B$89,0))/100)</f>
        <v>8.5249146181202775</v>
      </c>
      <c r="G345" s="269">
        <f>'IEPR Gas Prices Real'!G345*(INDEX('GDP Deflator'!$C$5:$C$89,MATCH('IEPR Gas Prices Nominal'!$B345,'GDP Deflator'!$B$5:$B$89,0))/100)</f>
        <v>4.7445396247938501</v>
      </c>
      <c r="H345" s="270">
        <f>'IEPR Gas Prices Real'!H345*(INDEX('GDP Deflator'!$C$5:$C$89,MATCH('IEPR Gas Prices Nominal'!$B345,'GDP Deflator'!$B$5:$B$89,0))/100)</f>
        <v>13.269454242914128</v>
      </c>
      <c r="I345" s="269">
        <f>'IEPR Gas Prices Real'!I345*(INDEX('GDP Deflator'!$C$5:$C$89,MATCH('IEPR Gas Prices Nominal'!$B345,'GDP Deflator'!$B$5:$B$89,0))/100)</f>
        <v>8.9317475869487044</v>
      </c>
      <c r="J345" s="269">
        <f>'IEPR Gas Prices Real'!J345*(INDEX('GDP Deflator'!$C$5:$C$89,MATCH('IEPR Gas Prices Nominal'!$B345,'GDP Deflator'!$B$5:$B$89,0))/100)</f>
        <v>7.8425350514411578</v>
      </c>
      <c r="K345" s="269">
        <f>'IEPR Gas Prices Real'!K345*(INDEX('GDP Deflator'!$C$5:$C$89,MATCH('IEPR Gas Prices Nominal'!$B345,'GDP Deflator'!$B$5:$B$89,0))/100)</f>
        <v>16.774282638389863</v>
      </c>
      <c r="L345" s="268">
        <f>'IEPR Gas Prices Real'!L345*(INDEX('GDP Deflator'!$C$5:$C$89,MATCH('IEPR Gas Prices Nominal'!$B345,'GDP Deflator'!$B$5:$B$89,0))/100)</f>
        <v>9.2592313950392882</v>
      </c>
      <c r="M345" s="269">
        <f>'IEPR Gas Prices Real'!M345*(INDEX('GDP Deflator'!$C$5:$C$89,MATCH('IEPR Gas Prices Nominal'!$B345,'GDP Deflator'!$B$5:$B$89,0))/100)</f>
        <v>3.7036692327192107</v>
      </c>
      <c r="N345" s="270">
        <f>'IEPR Gas Prices Real'!N345*(INDEX('GDP Deflator'!$C$5:$C$89,MATCH('IEPR Gas Prices Nominal'!$B345,'GDP Deflator'!$B$5:$B$89,0))/100)</f>
        <v>12.962900627758499</v>
      </c>
      <c r="O345" s="1"/>
      <c r="P345" s="274">
        <f t="shared" si="32"/>
        <v>8.9052978667027549</v>
      </c>
      <c r="Q345" s="275">
        <f t="shared" si="36"/>
        <v>14.335545836354164</v>
      </c>
      <c r="R345" s="171"/>
    </row>
    <row r="346" spans="2:18">
      <c r="B346" s="94">
        <f t="shared" si="33"/>
        <v>2050</v>
      </c>
      <c r="C346" s="1">
        <f t="shared" si="34"/>
        <v>5</v>
      </c>
      <c r="D346" s="213">
        <v>54909</v>
      </c>
      <c r="E346" s="1" t="str">
        <f t="shared" si="35"/>
        <v>5-2050</v>
      </c>
      <c r="F346" s="268">
        <f>'IEPR Gas Prices Real'!F346*(INDEX('GDP Deflator'!$C$5:$C$89,MATCH('IEPR Gas Prices Nominal'!$B346,'GDP Deflator'!$B$5:$B$89,0))/100)</f>
        <v>8.8216726635102098</v>
      </c>
      <c r="G346" s="269">
        <f>'IEPR Gas Prices Real'!G346*(INDEX('GDP Deflator'!$C$5:$C$89,MATCH('IEPR Gas Prices Nominal'!$B346,'GDP Deflator'!$B$5:$B$89,0))/100)</f>
        <v>4.7445396247938501</v>
      </c>
      <c r="H346" s="270">
        <f>'IEPR Gas Prices Real'!H346*(INDEX('GDP Deflator'!$C$5:$C$89,MATCH('IEPR Gas Prices Nominal'!$B346,'GDP Deflator'!$B$5:$B$89,0))/100)</f>
        <v>13.566212288304058</v>
      </c>
      <c r="I346" s="269">
        <f>'IEPR Gas Prices Real'!I346*(INDEX('GDP Deflator'!$C$5:$C$89,MATCH('IEPR Gas Prices Nominal'!$B346,'GDP Deflator'!$B$5:$B$89,0))/100)</f>
        <v>9.2425226971340422</v>
      </c>
      <c r="J346" s="269">
        <f>'IEPR Gas Prices Real'!J346*(INDEX('GDP Deflator'!$C$5:$C$89,MATCH('IEPR Gas Prices Nominal'!$B346,'GDP Deflator'!$B$5:$B$89,0))/100)</f>
        <v>7.8425350514411578</v>
      </c>
      <c r="K346" s="269">
        <f>'IEPR Gas Prices Real'!K346*(INDEX('GDP Deflator'!$C$5:$C$89,MATCH('IEPR Gas Prices Nominal'!$B346,'GDP Deflator'!$B$5:$B$89,0))/100)</f>
        <v>17.085057748575203</v>
      </c>
      <c r="L346" s="268">
        <f>'IEPR Gas Prices Real'!L346*(INDEX('GDP Deflator'!$C$5:$C$89,MATCH('IEPR Gas Prices Nominal'!$B346,'GDP Deflator'!$B$5:$B$89,0))/100)</f>
        <v>9.5814053808265811</v>
      </c>
      <c r="M346" s="269">
        <f>'IEPR Gas Prices Real'!M346*(INDEX('GDP Deflator'!$C$5:$C$89,MATCH('IEPR Gas Prices Nominal'!$B346,'GDP Deflator'!$B$5:$B$89,0))/100)</f>
        <v>3.7036692327192107</v>
      </c>
      <c r="N346" s="270">
        <f>'IEPR Gas Prices Real'!N346*(INDEX('GDP Deflator'!$C$5:$C$89,MATCH('IEPR Gas Prices Nominal'!$B346,'GDP Deflator'!$B$5:$B$89,0))/100)</f>
        <v>13.285074613545792</v>
      </c>
      <c r="O346" s="1"/>
      <c r="P346" s="274">
        <f t="shared" si="32"/>
        <v>9.215200247156945</v>
      </c>
      <c r="Q346" s="275">
        <f t="shared" si="36"/>
        <v>14.645448216808353</v>
      </c>
      <c r="R346" s="171"/>
    </row>
    <row r="347" spans="2:18">
      <c r="B347" s="94">
        <f t="shared" si="33"/>
        <v>2050</v>
      </c>
      <c r="C347" s="1">
        <f t="shared" si="34"/>
        <v>6</v>
      </c>
      <c r="D347" s="213">
        <v>54940</v>
      </c>
      <c r="E347" s="1" t="str">
        <f t="shared" si="35"/>
        <v>6-2050</v>
      </c>
      <c r="F347" s="268">
        <f>'IEPR Gas Prices Real'!F347*(INDEX('GDP Deflator'!$C$5:$C$89,MATCH('IEPR Gas Prices Nominal'!$B347,'GDP Deflator'!$B$5:$B$89,0))/100)</f>
        <v>9.0497998790676188</v>
      </c>
      <c r="G347" s="269">
        <f>'IEPR Gas Prices Real'!G347*(INDEX('GDP Deflator'!$C$5:$C$89,MATCH('IEPR Gas Prices Nominal'!$B347,'GDP Deflator'!$B$5:$B$89,0))/100)</f>
        <v>4.7445396247938501</v>
      </c>
      <c r="H347" s="270">
        <f>'IEPR Gas Prices Real'!H347*(INDEX('GDP Deflator'!$C$5:$C$89,MATCH('IEPR Gas Prices Nominal'!$B347,'GDP Deflator'!$B$5:$B$89,0))/100)</f>
        <v>13.794339503861467</v>
      </c>
      <c r="I347" s="269">
        <f>'IEPR Gas Prices Real'!I347*(INDEX('GDP Deflator'!$C$5:$C$89,MATCH('IEPR Gas Prices Nominal'!$B347,'GDP Deflator'!$B$5:$B$89,0))/100)</f>
        <v>9.4813842077884871</v>
      </c>
      <c r="J347" s="269">
        <f>'IEPR Gas Prices Real'!J347*(INDEX('GDP Deflator'!$C$5:$C$89,MATCH('IEPR Gas Prices Nominal'!$B347,'GDP Deflator'!$B$5:$B$89,0))/100)</f>
        <v>7.8425350514411578</v>
      </c>
      <c r="K347" s="269">
        <f>'IEPR Gas Prices Real'!K347*(INDEX('GDP Deflator'!$C$5:$C$89,MATCH('IEPR Gas Prices Nominal'!$B347,'GDP Deflator'!$B$5:$B$89,0))/100)</f>
        <v>17.323919259229648</v>
      </c>
      <c r="L347" s="268">
        <f>'IEPR Gas Prices Real'!L347*(INDEX('GDP Deflator'!$C$5:$C$89,MATCH('IEPR Gas Prices Nominal'!$B347,'GDP Deflator'!$B$5:$B$89,0))/100)</f>
        <v>9.8290292653323448</v>
      </c>
      <c r="M347" s="269">
        <f>'IEPR Gas Prices Real'!M347*(INDEX('GDP Deflator'!$C$5:$C$89,MATCH('IEPR Gas Prices Nominal'!$B347,'GDP Deflator'!$B$5:$B$89,0))/100)</f>
        <v>3.7036692327192107</v>
      </c>
      <c r="N347" s="270">
        <f>'IEPR Gas Prices Real'!N347*(INDEX('GDP Deflator'!$C$5:$C$89,MATCH('IEPR Gas Prices Nominal'!$B347,'GDP Deflator'!$B$5:$B$89,0))/100)</f>
        <v>13.532698498051555</v>
      </c>
      <c r="O347" s="1"/>
      <c r="P347" s="274">
        <f t="shared" si="32"/>
        <v>9.4534044507294848</v>
      </c>
      <c r="Q347" s="275">
        <f t="shared" si="36"/>
        <v>14.883652420380889</v>
      </c>
      <c r="R347" s="171"/>
    </row>
    <row r="348" spans="2:18">
      <c r="B348" s="94">
        <f t="shared" si="33"/>
        <v>2050</v>
      </c>
      <c r="C348" s="1">
        <f t="shared" si="34"/>
        <v>7</v>
      </c>
      <c r="D348" s="213">
        <v>54970</v>
      </c>
      <c r="E348" s="1" t="str">
        <f t="shared" si="35"/>
        <v>7-2050</v>
      </c>
      <c r="F348" s="268">
        <f>'IEPR Gas Prices Real'!F348*(INDEX('GDP Deflator'!$C$5:$C$89,MATCH('IEPR Gas Prices Nominal'!$B348,'GDP Deflator'!$B$5:$B$89,0))/100)</f>
        <v>9.1216656766645432</v>
      </c>
      <c r="G348" s="269">
        <f>'IEPR Gas Prices Real'!G348*(INDEX('GDP Deflator'!$C$5:$C$89,MATCH('IEPR Gas Prices Nominal'!$B348,'GDP Deflator'!$B$5:$B$89,0))/100)</f>
        <v>4.7445396247938501</v>
      </c>
      <c r="H348" s="270">
        <f>'IEPR Gas Prices Real'!H348*(INDEX('GDP Deflator'!$C$5:$C$89,MATCH('IEPR Gas Prices Nominal'!$B348,'GDP Deflator'!$B$5:$B$89,0))/100)</f>
        <v>13.866205301458393</v>
      </c>
      <c r="I348" s="269">
        <f>'IEPR Gas Prices Real'!I348*(INDEX('GDP Deflator'!$C$5:$C$89,MATCH('IEPR Gas Prices Nominal'!$B348,'GDP Deflator'!$B$5:$B$89,0))/100)</f>
        <v>9.5565272605480445</v>
      </c>
      <c r="J348" s="269">
        <f>'IEPR Gas Prices Real'!J348*(INDEX('GDP Deflator'!$C$5:$C$89,MATCH('IEPR Gas Prices Nominal'!$B348,'GDP Deflator'!$B$5:$B$89,0))/100)</f>
        <v>7.8425350514411578</v>
      </c>
      <c r="K348" s="269">
        <f>'IEPR Gas Prices Real'!K348*(INDEX('GDP Deflator'!$C$5:$C$89,MATCH('IEPR Gas Prices Nominal'!$B348,'GDP Deflator'!$B$5:$B$89,0))/100)</f>
        <v>17.399062311989201</v>
      </c>
      <c r="L348" s="268">
        <f>'IEPR Gas Prices Real'!L348*(INDEX('GDP Deflator'!$C$5:$C$89,MATCH('IEPR Gas Prices Nominal'!$B348,'GDP Deflator'!$B$5:$B$89,0))/100)</f>
        <v>9.906931925423244</v>
      </c>
      <c r="M348" s="269">
        <f>'IEPR Gas Prices Real'!M348*(INDEX('GDP Deflator'!$C$5:$C$89,MATCH('IEPR Gas Prices Nominal'!$B348,'GDP Deflator'!$B$5:$B$89,0))/100)</f>
        <v>3.7036692327192107</v>
      </c>
      <c r="N348" s="270">
        <f>'IEPR Gas Prices Real'!N348*(INDEX('GDP Deflator'!$C$5:$C$89,MATCH('IEPR Gas Prices Nominal'!$B348,'GDP Deflator'!$B$5:$B$89,0))/100)</f>
        <v>13.610601158142456</v>
      </c>
      <c r="O348" s="1"/>
      <c r="P348" s="274">
        <f t="shared" si="32"/>
        <v>9.5283749542119427</v>
      </c>
      <c r="Q348" s="275">
        <f t="shared" si="36"/>
        <v>14.95862292386335</v>
      </c>
      <c r="R348" s="171"/>
    </row>
    <row r="349" spans="2:18">
      <c r="B349" s="94">
        <f t="shared" si="33"/>
        <v>2050</v>
      </c>
      <c r="C349" s="1">
        <f t="shared" si="34"/>
        <v>8</v>
      </c>
      <c r="D349" s="213">
        <v>55001</v>
      </c>
      <c r="E349" s="1" t="str">
        <f t="shared" si="35"/>
        <v>8-2050</v>
      </c>
      <c r="F349" s="268">
        <f>'IEPR Gas Prices Real'!F349*(INDEX('GDP Deflator'!$C$5:$C$89,MATCH('IEPR Gas Prices Nominal'!$B349,'GDP Deflator'!$B$5:$B$89,0))/100)</f>
        <v>9.0512785181960975</v>
      </c>
      <c r="G349" s="269">
        <f>'IEPR Gas Prices Real'!G349*(INDEX('GDP Deflator'!$C$5:$C$89,MATCH('IEPR Gas Prices Nominal'!$B349,'GDP Deflator'!$B$5:$B$89,0))/100)</f>
        <v>4.7445396247938501</v>
      </c>
      <c r="H349" s="270">
        <f>'IEPR Gas Prices Real'!H349*(INDEX('GDP Deflator'!$C$5:$C$89,MATCH('IEPR Gas Prices Nominal'!$B349,'GDP Deflator'!$B$5:$B$89,0))/100)</f>
        <v>13.795818142989948</v>
      </c>
      <c r="I349" s="269">
        <f>'IEPR Gas Prices Real'!I349*(INDEX('GDP Deflator'!$C$5:$C$89,MATCH('IEPR Gas Prices Nominal'!$B349,'GDP Deflator'!$B$5:$B$89,0))/100)</f>
        <v>9.4826356287182634</v>
      </c>
      <c r="J349" s="269">
        <f>'IEPR Gas Prices Real'!J349*(INDEX('GDP Deflator'!$C$5:$C$89,MATCH('IEPR Gas Prices Nominal'!$B349,'GDP Deflator'!$B$5:$B$89,0))/100)</f>
        <v>7.8425350514411578</v>
      </c>
      <c r="K349" s="269">
        <f>'IEPR Gas Prices Real'!K349*(INDEX('GDP Deflator'!$C$5:$C$89,MATCH('IEPR Gas Prices Nominal'!$B349,'GDP Deflator'!$B$5:$B$89,0))/100)</f>
        <v>17.32517068015942</v>
      </c>
      <c r="L349" s="268">
        <f>'IEPR Gas Prices Real'!L349*(INDEX('GDP Deflator'!$C$5:$C$89,MATCH('IEPR Gas Prices Nominal'!$B349,'GDP Deflator'!$B$5:$B$89,0))/100)</f>
        <v>9.8303353176505635</v>
      </c>
      <c r="M349" s="269">
        <f>'IEPR Gas Prices Real'!M349*(INDEX('GDP Deflator'!$C$5:$C$89,MATCH('IEPR Gas Prices Nominal'!$B349,'GDP Deflator'!$B$5:$B$89,0))/100)</f>
        <v>3.7036692327192107</v>
      </c>
      <c r="N349" s="270">
        <f>'IEPR Gas Prices Real'!N349*(INDEX('GDP Deflator'!$C$5:$C$89,MATCH('IEPR Gas Prices Nominal'!$B349,'GDP Deflator'!$B$5:$B$89,0))/100)</f>
        <v>13.534004550369774</v>
      </c>
      <c r="O349" s="1"/>
      <c r="P349" s="274">
        <f t="shared" si="32"/>
        <v>9.4547498215216432</v>
      </c>
      <c r="Q349" s="275">
        <f t="shared" si="36"/>
        <v>14.884997791173047</v>
      </c>
      <c r="R349" s="171"/>
    </row>
    <row r="350" spans="2:18">
      <c r="B350" s="94">
        <f t="shared" si="33"/>
        <v>2050</v>
      </c>
      <c r="C350" s="1">
        <f t="shared" si="34"/>
        <v>9</v>
      </c>
      <c r="D350" s="213">
        <v>55032</v>
      </c>
      <c r="E350" s="1" t="str">
        <f t="shared" si="35"/>
        <v>9-2050</v>
      </c>
      <c r="F350" s="268">
        <f>'IEPR Gas Prices Real'!F350*(INDEX('GDP Deflator'!$C$5:$C$89,MATCH('IEPR Gas Prices Nominal'!$B350,'GDP Deflator'!$B$5:$B$89,0))/100)</f>
        <v>9.1786630981363846</v>
      </c>
      <c r="G350" s="269">
        <f>'IEPR Gas Prices Real'!G350*(INDEX('GDP Deflator'!$C$5:$C$89,MATCH('IEPR Gas Prices Nominal'!$B350,'GDP Deflator'!$B$5:$B$89,0))/100)</f>
        <v>4.7445396247938501</v>
      </c>
      <c r="H350" s="270">
        <f>'IEPR Gas Prices Real'!H350*(INDEX('GDP Deflator'!$C$5:$C$89,MATCH('IEPR Gas Prices Nominal'!$B350,'GDP Deflator'!$B$5:$B$89,0))/100)</f>
        <v>13.923202722930235</v>
      </c>
      <c r="I350" s="269">
        <f>'IEPR Gas Prices Real'!I350*(INDEX('GDP Deflator'!$C$5:$C$89,MATCH('IEPR Gas Prices Nominal'!$B350,'GDP Deflator'!$B$5:$B$89,0))/100)</f>
        <v>9.6159400024692978</v>
      </c>
      <c r="J350" s="269">
        <f>'IEPR Gas Prices Real'!J350*(INDEX('GDP Deflator'!$C$5:$C$89,MATCH('IEPR Gas Prices Nominal'!$B350,'GDP Deflator'!$B$5:$B$89,0))/100)</f>
        <v>7.8425350514411578</v>
      </c>
      <c r="K350" s="269">
        <f>'IEPR Gas Prices Real'!K350*(INDEX('GDP Deflator'!$C$5:$C$89,MATCH('IEPR Gas Prices Nominal'!$B350,'GDP Deflator'!$B$5:$B$89,0))/100)</f>
        <v>17.458475053910455</v>
      </c>
      <c r="L350" s="268">
        <f>'IEPR Gas Prices Real'!L350*(INDEX('GDP Deflator'!$C$5:$C$89,MATCH('IEPR Gas Prices Nominal'!$B350,'GDP Deflator'!$B$5:$B$89,0))/100)</f>
        <v>9.9685319967997419</v>
      </c>
      <c r="M350" s="269">
        <f>'IEPR Gas Prices Real'!M350*(INDEX('GDP Deflator'!$C$5:$C$89,MATCH('IEPR Gas Prices Nominal'!$B350,'GDP Deflator'!$B$5:$B$89,0))/100)</f>
        <v>3.7036692327192107</v>
      </c>
      <c r="N350" s="270">
        <f>'IEPR Gas Prices Real'!N350*(INDEX('GDP Deflator'!$C$5:$C$89,MATCH('IEPR Gas Prices Nominal'!$B350,'GDP Deflator'!$B$5:$B$89,0))/100)</f>
        <v>13.672201229518953</v>
      </c>
      <c r="O350" s="1"/>
      <c r="P350" s="274">
        <f t="shared" si="32"/>
        <v>9.5877116991351414</v>
      </c>
      <c r="Q350" s="275">
        <f t="shared" si="36"/>
        <v>15.017959668786547</v>
      </c>
      <c r="R350" s="171"/>
    </row>
    <row r="351" spans="2:18">
      <c r="B351" s="94">
        <f t="shared" si="33"/>
        <v>2050</v>
      </c>
      <c r="C351" s="1">
        <f t="shared" si="34"/>
        <v>10</v>
      </c>
      <c r="D351" s="213">
        <v>55062</v>
      </c>
      <c r="E351" s="1" t="str">
        <f t="shared" si="35"/>
        <v>10-2050</v>
      </c>
      <c r="F351" s="268">
        <f>'IEPR Gas Prices Real'!F351*(INDEX('GDP Deflator'!$C$5:$C$89,MATCH('IEPR Gas Prices Nominal'!$B351,'GDP Deflator'!$B$5:$B$89,0))/100)</f>
        <v>9.1258410312014817</v>
      </c>
      <c r="G351" s="269">
        <f>'IEPR Gas Prices Real'!G351*(INDEX('GDP Deflator'!$C$5:$C$89,MATCH('IEPR Gas Prices Nominal'!$B351,'GDP Deflator'!$B$5:$B$89,0))/100)</f>
        <v>4.7445396247938501</v>
      </c>
      <c r="H351" s="270">
        <f>'IEPR Gas Prices Real'!H351*(INDEX('GDP Deflator'!$C$5:$C$89,MATCH('IEPR Gas Prices Nominal'!$B351,'GDP Deflator'!$B$5:$B$89,0))/100)</f>
        <v>13.870380655995332</v>
      </c>
      <c r="I351" s="269">
        <f>'IEPR Gas Prices Real'!I351*(INDEX('GDP Deflator'!$C$5:$C$89,MATCH('IEPR Gas Prices Nominal'!$B351,'GDP Deflator'!$B$5:$B$89,0))/100)</f>
        <v>9.5604513420700936</v>
      </c>
      <c r="J351" s="269">
        <f>'IEPR Gas Prices Real'!J351*(INDEX('GDP Deflator'!$C$5:$C$89,MATCH('IEPR Gas Prices Nominal'!$B351,'GDP Deflator'!$B$5:$B$89,0))/100)</f>
        <v>7.8425350514411578</v>
      </c>
      <c r="K351" s="269">
        <f>'IEPR Gas Prices Real'!K351*(INDEX('GDP Deflator'!$C$5:$C$89,MATCH('IEPR Gas Prices Nominal'!$B351,'GDP Deflator'!$B$5:$B$89,0))/100)</f>
        <v>17.402986393511252</v>
      </c>
      <c r="L351" s="268">
        <f>'IEPR Gas Prices Real'!L351*(INDEX('GDP Deflator'!$C$5:$C$89,MATCH('IEPR Gas Prices Nominal'!$B351,'GDP Deflator'!$B$5:$B$89,0))/100)</f>
        <v>9.9110131190883006</v>
      </c>
      <c r="M351" s="269">
        <f>'IEPR Gas Prices Real'!M351*(INDEX('GDP Deflator'!$C$5:$C$89,MATCH('IEPR Gas Prices Nominal'!$B351,'GDP Deflator'!$B$5:$B$89,0))/100)</f>
        <v>3.7036692327192107</v>
      </c>
      <c r="N351" s="270">
        <f>'IEPR Gas Prices Real'!N351*(INDEX('GDP Deflator'!$C$5:$C$89,MATCH('IEPR Gas Prices Nominal'!$B351,'GDP Deflator'!$B$5:$B$89,0))/100)</f>
        <v>13.614682351807511</v>
      </c>
      <c r="O351" s="1"/>
      <c r="P351" s="274">
        <f t="shared" si="32"/>
        <v>9.5324351641199598</v>
      </c>
      <c r="Q351" s="275">
        <f t="shared" si="36"/>
        <v>14.962683133771364</v>
      </c>
      <c r="R351" s="171"/>
    </row>
    <row r="352" spans="2:18">
      <c r="B352" s="94">
        <f t="shared" si="33"/>
        <v>2050</v>
      </c>
      <c r="C352" s="1">
        <f t="shared" si="34"/>
        <v>11</v>
      </c>
      <c r="D352" s="213">
        <v>55093</v>
      </c>
      <c r="E352" s="1" t="str">
        <f t="shared" si="35"/>
        <v>11-2050</v>
      </c>
      <c r="F352" s="268">
        <f>'IEPR Gas Prices Real'!F352*(INDEX('GDP Deflator'!$C$5:$C$89,MATCH('IEPR Gas Prices Nominal'!$B352,'GDP Deflator'!$B$5:$B$89,0))/100)</f>
        <v>9.5769760564530326</v>
      </c>
      <c r="G352" s="269">
        <f>'IEPR Gas Prices Real'!G352*(INDEX('GDP Deflator'!$C$5:$C$89,MATCH('IEPR Gas Prices Nominal'!$B352,'GDP Deflator'!$B$5:$B$89,0))/100)</f>
        <v>4.7445396247938501</v>
      </c>
      <c r="H352" s="270">
        <f>'IEPR Gas Prices Real'!H352*(INDEX('GDP Deflator'!$C$5:$C$89,MATCH('IEPR Gas Prices Nominal'!$B352,'GDP Deflator'!$B$5:$B$89,0))/100)</f>
        <v>14.321515681246883</v>
      </c>
      <c r="I352" s="269">
        <f>'IEPR Gas Prices Real'!I352*(INDEX('GDP Deflator'!$C$5:$C$89,MATCH('IEPR Gas Prices Nominal'!$B352,'GDP Deflator'!$B$5:$B$89,0))/100)</f>
        <v>10.032913732901235</v>
      </c>
      <c r="J352" s="269">
        <f>'IEPR Gas Prices Real'!J352*(INDEX('GDP Deflator'!$C$5:$C$89,MATCH('IEPR Gas Prices Nominal'!$B352,'GDP Deflator'!$B$5:$B$89,0))/100)</f>
        <v>7.8425350514411578</v>
      </c>
      <c r="K352" s="269">
        <f>'IEPR Gas Prices Real'!K352*(INDEX('GDP Deflator'!$C$5:$C$89,MATCH('IEPR Gas Prices Nominal'!$B352,'GDP Deflator'!$B$5:$B$89,0))/100)</f>
        <v>17.875448784342396</v>
      </c>
      <c r="L352" s="268">
        <f>'IEPR Gas Prices Real'!L352*(INDEX('GDP Deflator'!$C$5:$C$89,MATCH('IEPR Gas Prices Nominal'!$B352,'GDP Deflator'!$B$5:$B$89,0))/100)</f>
        <v>10.400804347476312</v>
      </c>
      <c r="M352" s="269">
        <f>'IEPR Gas Prices Real'!M352*(INDEX('GDP Deflator'!$C$5:$C$89,MATCH('IEPR Gas Prices Nominal'!$B352,'GDP Deflator'!$B$5:$B$89,0))/100)</f>
        <v>3.7036692327192107</v>
      </c>
      <c r="N352" s="270">
        <f>'IEPR Gas Prices Real'!N352*(INDEX('GDP Deflator'!$C$5:$C$89,MATCH('IEPR Gas Prices Nominal'!$B352,'GDP Deflator'!$B$5:$B$89,0))/100)</f>
        <v>14.104473580195524</v>
      </c>
      <c r="O352" s="1"/>
      <c r="P352" s="274">
        <f t="shared" si="32"/>
        <v>10.003564712276861</v>
      </c>
      <c r="Q352" s="275">
        <f t="shared" si="36"/>
        <v>15.433812681928266</v>
      </c>
      <c r="R352" s="171"/>
    </row>
    <row r="353" spans="2:18">
      <c r="B353" s="94">
        <f t="shared" si="33"/>
        <v>2050</v>
      </c>
      <c r="C353" s="1">
        <f t="shared" si="34"/>
        <v>12</v>
      </c>
      <c r="D353" s="213">
        <v>55123</v>
      </c>
      <c r="E353" s="1" t="str">
        <f t="shared" si="35"/>
        <v>12-2050</v>
      </c>
      <c r="F353" s="268">
        <f>'IEPR Gas Prices Real'!F353*(INDEX('GDP Deflator'!$C$5:$C$89,MATCH('IEPR Gas Prices Nominal'!$B353,'GDP Deflator'!$B$5:$B$89,0))/100)</f>
        <v>9.6540823192590803</v>
      </c>
      <c r="G353" s="269">
        <f>'IEPR Gas Prices Real'!G353*(INDEX('GDP Deflator'!$C$5:$C$89,MATCH('IEPR Gas Prices Nominal'!$B353,'GDP Deflator'!$B$5:$B$89,0))/100)</f>
        <v>4.7445396247938501</v>
      </c>
      <c r="H353" s="270">
        <f>'IEPR Gas Prices Real'!H353*(INDEX('GDP Deflator'!$C$5:$C$89,MATCH('IEPR Gas Prices Nominal'!$B353,'GDP Deflator'!$B$5:$B$89,0))/100)</f>
        <v>14.39862194405293</v>
      </c>
      <c r="I353" s="269">
        <f>'IEPR Gas Prices Real'!I353*(INDEX('GDP Deflator'!$C$5:$C$89,MATCH('IEPR Gas Prices Nominal'!$B353,'GDP Deflator'!$B$5:$B$89,0))/100)</f>
        <v>10.113532016164026</v>
      </c>
      <c r="J353" s="269">
        <f>'IEPR Gas Prices Real'!J353*(INDEX('GDP Deflator'!$C$5:$C$89,MATCH('IEPR Gas Prices Nominal'!$B353,'GDP Deflator'!$B$5:$B$89,0))/100)</f>
        <v>7.8425350514411578</v>
      </c>
      <c r="K353" s="269">
        <f>'IEPR Gas Prices Real'!K353*(INDEX('GDP Deflator'!$C$5:$C$89,MATCH('IEPR Gas Prices Nominal'!$B353,'GDP Deflator'!$B$5:$B$89,0))/100)</f>
        <v>17.956067067605186</v>
      </c>
      <c r="L353" s="268">
        <f>'IEPR Gas Prices Real'!L353*(INDEX('GDP Deflator'!$C$5:$C$89,MATCH('IEPR Gas Prices Nominal'!$B353,'GDP Deflator'!$B$5:$B$89,0))/100)</f>
        <v>10.48438343836489</v>
      </c>
      <c r="M353" s="269">
        <f>'IEPR Gas Prices Real'!M353*(INDEX('GDP Deflator'!$C$5:$C$89,MATCH('IEPR Gas Prices Nominal'!$B353,'GDP Deflator'!$B$5:$B$89,0))/100)</f>
        <v>3.7036692327192107</v>
      </c>
      <c r="N353" s="270">
        <f>'IEPR Gas Prices Real'!N353*(INDEX('GDP Deflator'!$C$5:$C$89,MATCH('IEPR Gas Prices Nominal'!$B353,'GDP Deflator'!$B$5:$B$89,0))/100)</f>
        <v>14.188052671084101</v>
      </c>
      <c r="O353" s="1"/>
      <c r="P353" s="274">
        <f t="shared" si="32"/>
        <v>10.083999257929332</v>
      </c>
      <c r="Q353" s="275">
        <f t="shared" si="36"/>
        <v>15.514247227580739</v>
      </c>
      <c r="R353" s="171"/>
    </row>
    <row r="354" spans="2:18">
      <c r="B354" s="94">
        <f t="shared" si="33"/>
        <v>2051</v>
      </c>
      <c r="C354" s="1">
        <f t="shared" si="34"/>
        <v>1</v>
      </c>
      <c r="D354" s="213">
        <v>55154</v>
      </c>
      <c r="E354" s="1" t="str">
        <f t="shared" si="35"/>
        <v>1-2051</v>
      </c>
      <c r="F354" s="268">
        <f>'IEPR Gas Prices Real'!F354*(INDEX('GDP Deflator'!$C$5:$C$89,MATCH('IEPR Gas Prices Nominal'!$B354,'GDP Deflator'!$B$5:$B$89,0))/100)</f>
        <v>9.8526847687087447</v>
      </c>
      <c r="G354" s="269">
        <f>'IEPR Gas Prices Real'!G354*(INDEX('GDP Deflator'!$C$5:$C$89,MATCH('IEPR Gas Prices Nominal'!$B354,'GDP Deflator'!$B$5:$B$89,0))/100)</f>
        <v>5.0348269640828276</v>
      </c>
      <c r="H354" s="270">
        <f>'IEPR Gas Prices Real'!H354*(INDEX('GDP Deflator'!$C$5:$C$89,MATCH('IEPR Gas Prices Nominal'!$B354,'GDP Deflator'!$B$5:$B$89,0))/100)</f>
        <v>14.887511732791573</v>
      </c>
      <c r="I354" s="269">
        <f>'IEPR Gas Prices Real'!I354*(INDEX('GDP Deflator'!$C$5:$C$89,MATCH('IEPR Gas Prices Nominal'!$B354,'GDP Deflator'!$B$5:$B$89,0))/100)</f>
        <v>10.321432503861706</v>
      </c>
      <c r="J354" s="269">
        <f>'IEPR Gas Prices Real'!J354*(INDEX('GDP Deflator'!$C$5:$C$89,MATCH('IEPR Gas Prices Nominal'!$B354,'GDP Deflator'!$B$5:$B$89,0))/100)</f>
        <v>8.3234497777295822</v>
      </c>
      <c r="K354" s="269">
        <f>'IEPR Gas Prices Real'!K354*(INDEX('GDP Deflator'!$C$5:$C$89,MATCH('IEPR Gas Prices Nominal'!$B354,'GDP Deflator'!$B$5:$B$89,0))/100)</f>
        <v>18.644882281591286</v>
      </c>
      <c r="L354" s="268">
        <f>'IEPR Gas Prices Real'!L354*(INDEX('GDP Deflator'!$C$5:$C$89,MATCH('IEPR Gas Prices Nominal'!$B354,'GDP Deflator'!$B$5:$B$89,0))/100)</f>
        <v>10.699912704288568</v>
      </c>
      <c r="M354" s="269">
        <f>'IEPR Gas Prices Real'!M354*(INDEX('GDP Deflator'!$C$5:$C$89,MATCH('IEPR Gas Prices Nominal'!$B354,'GDP Deflator'!$B$5:$B$89,0))/100)</f>
        <v>3.9307831778444795</v>
      </c>
      <c r="N354" s="270">
        <f>'IEPR Gas Prices Real'!N354*(INDEX('GDP Deflator'!$C$5:$C$89,MATCH('IEPR Gas Prices Nominal'!$B354,'GDP Deflator'!$B$5:$B$89,0))/100)</f>
        <v>14.630695882133047</v>
      </c>
      <c r="O354" s="1"/>
      <c r="P354" s="274">
        <f t="shared" si="32"/>
        <v>10.291343325619673</v>
      </c>
      <c r="Q354" s="275">
        <f t="shared" si="36"/>
        <v>16.054363298838634</v>
      </c>
      <c r="R354" s="171"/>
    </row>
    <row r="355" spans="2:18">
      <c r="B355" s="94">
        <f t="shared" si="33"/>
        <v>2051</v>
      </c>
      <c r="C355" s="1">
        <f t="shared" si="34"/>
        <v>2</v>
      </c>
      <c r="D355" s="213">
        <v>55185</v>
      </c>
      <c r="E355" s="1" t="str">
        <f t="shared" si="35"/>
        <v>2-2051</v>
      </c>
      <c r="F355" s="268">
        <f>'IEPR Gas Prices Real'!F355*(INDEX('GDP Deflator'!$C$5:$C$89,MATCH('IEPR Gas Prices Nominal'!$B355,'GDP Deflator'!$B$5:$B$89,0))/100)</f>
        <v>9.6367677837244621</v>
      </c>
      <c r="G355" s="269">
        <f>'IEPR Gas Prices Real'!G355*(INDEX('GDP Deflator'!$C$5:$C$89,MATCH('IEPR Gas Prices Nominal'!$B355,'GDP Deflator'!$B$5:$B$89,0))/100)</f>
        <v>5.0348269640828276</v>
      </c>
      <c r="H355" s="270">
        <f>'IEPR Gas Prices Real'!H355*(INDEX('GDP Deflator'!$C$5:$C$89,MATCH('IEPR Gas Prices Nominal'!$B355,'GDP Deflator'!$B$5:$B$89,0))/100)</f>
        <v>14.671594747807291</v>
      </c>
      <c r="I355" s="269">
        <f>'IEPR Gas Prices Real'!I355*(INDEX('GDP Deflator'!$C$5:$C$89,MATCH('IEPR Gas Prices Nominal'!$B355,'GDP Deflator'!$B$5:$B$89,0))/100)</f>
        <v>10.095092792581967</v>
      </c>
      <c r="J355" s="269">
        <f>'IEPR Gas Prices Real'!J355*(INDEX('GDP Deflator'!$C$5:$C$89,MATCH('IEPR Gas Prices Nominal'!$B355,'GDP Deflator'!$B$5:$B$89,0))/100)</f>
        <v>8.3234497777295822</v>
      </c>
      <c r="K355" s="269">
        <f>'IEPR Gas Prices Real'!K355*(INDEX('GDP Deflator'!$C$5:$C$89,MATCH('IEPR Gas Prices Nominal'!$B355,'GDP Deflator'!$B$5:$B$89,0))/100)</f>
        <v>18.418542570311548</v>
      </c>
      <c r="L355" s="268">
        <f>'IEPR Gas Prices Real'!L355*(INDEX('GDP Deflator'!$C$5:$C$89,MATCH('IEPR Gas Prices Nominal'!$B355,'GDP Deflator'!$B$5:$B$89,0))/100)</f>
        <v>10.465278457249159</v>
      </c>
      <c r="M355" s="269">
        <f>'IEPR Gas Prices Real'!M355*(INDEX('GDP Deflator'!$C$5:$C$89,MATCH('IEPR Gas Prices Nominal'!$B355,'GDP Deflator'!$B$5:$B$89,0))/100)</f>
        <v>3.9307831778444795</v>
      </c>
      <c r="N355" s="270">
        <f>'IEPR Gas Prices Real'!N355*(INDEX('GDP Deflator'!$C$5:$C$89,MATCH('IEPR Gas Prices Nominal'!$B355,'GDP Deflator'!$B$5:$B$89,0))/100)</f>
        <v>14.396061635093639</v>
      </c>
      <c r="O355" s="1"/>
      <c r="P355" s="274">
        <f t="shared" si="32"/>
        <v>10.065713011185197</v>
      </c>
      <c r="Q355" s="275">
        <f t="shared" si="36"/>
        <v>15.828732984404157</v>
      </c>
      <c r="R355" s="171"/>
    </row>
    <row r="356" spans="2:18">
      <c r="B356" s="94">
        <f t="shared" si="33"/>
        <v>2051</v>
      </c>
      <c r="C356" s="1">
        <f t="shared" si="34"/>
        <v>3</v>
      </c>
      <c r="D356" s="213">
        <v>55213</v>
      </c>
      <c r="E356" s="1" t="str">
        <f t="shared" si="35"/>
        <v>3-2051</v>
      </c>
      <c r="F356" s="268">
        <f>'IEPR Gas Prices Real'!F356*(INDEX('GDP Deflator'!$C$5:$C$89,MATCH('IEPR Gas Prices Nominal'!$B356,'GDP Deflator'!$B$5:$B$89,0))/100)</f>
        <v>8.8466729995433422</v>
      </c>
      <c r="G356" s="269">
        <f>'IEPR Gas Prices Real'!G356*(INDEX('GDP Deflator'!$C$5:$C$89,MATCH('IEPR Gas Prices Nominal'!$B356,'GDP Deflator'!$B$5:$B$89,0))/100)</f>
        <v>5.0348269640828276</v>
      </c>
      <c r="H356" s="270">
        <f>'IEPR Gas Prices Real'!H356*(INDEX('GDP Deflator'!$C$5:$C$89,MATCH('IEPR Gas Prices Nominal'!$B356,'GDP Deflator'!$B$5:$B$89,0))/100)</f>
        <v>13.881499963626169</v>
      </c>
      <c r="I356" s="269">
        <f>'IEPR Gas Prices Real'!I356*(INDEX('GDP Deflator'!$C$5:$C$89,MATCH('IEPR Gas Prices Nominal'!$B356,'GDP Deflator'!$B$5:$B$89,0))/100)</f>
        <v>9.2672830519064195</v>
      </c>
      <c r="J356" s="269">
        <f>'IEPR Gas Prices Real'!J356*(INDEX('GDP Deflator'!$C$5:$C$89,MATCH('IEPR Gas Prices Nominal'!$B356,'GDP Deflator'!$B$5:$B$89,0))/100)</f>
        <v>8.3234497777295822</v>
      </c>
      <c r="K356" s="269">
        <f>'IEPR Gas Prices Real'!K356*(INDEX('GDP Deflator'!$C$5:$C$89,MATCH('IEPR Gas Prices Nominal'!$B356,'GDP Deflator'!$B$5:$B$89,0))/100)</f>
        <v>17.590732829636</v>
      </c>
      <c r="L356" s="268">
        <f>'IEPR Gas Prices Real'!L356*(INDEX('GDP Deflator'!$C$5:$C$89,MATCH('IEPR Gas Prices Nominal'!$B356,'GDP Deflator'!$B$5:$B$89,0))/100)</f>
        <v>9.6071178156173609</v>
      </c>
      <c r="M356" s="269">
        <f>'IEPR Gas Prices Real'!M356*(INDEX('GDP Deflator'!$C$5:$C$89,MATCH('IEPR Gas Prices Nominal'!$B356,'GDP Deflator'!$B$5:$B$89,0))/100)</f>
        <v>3.9307831778444795</v>
      </c>
      <c r="N356" s="270">
        <f>'IEPR Gas Prices Real'!N356*(INDEX('GDP Deflator'!$C$5:$C$89,MATCH('IEPR Gas Prices Nominal'!$B356,'GDP Deflator'!$B$5:$B$89,0))/100)</f>
        <v>13.53790099346184</v>
      </c>
      <c r="O356" s="1"/>
      <c r="P356" s="274">
        <f t="shared" si="32"/>
        <v>9.2403579556890403</v>
      </c>
      <c r="Q356" s="275">
        <f t="shared" si="36"/>
        <v>15.003377928908003</v>
      </c>
      <c r="R356" s="171"/>
    </row>
    <row r="357" spans="2:18">
      <c r="B357" s="94">
        <f t="shared" si="33"/>
        <v>2051</v>
      </c>
      <c r="C357" s="1">
        <f t="shared" si="34"/>
        <v>4</v>
      </c>
      <c r="D357" s="213">
        <v>55244</v>
      </c>
      <c r="E357" s="1" t="str">
        <f t="shared" si="35"/>
        <v>4-2051</v>
      </c>
      <c r="F357" s="268">
        <f>'IEPR Gas Prices Real'!F357*(INDEX('GDP Deflator'!$C$5:$C$89,MATCH('IEPR Gas Prices Nominal'!$B357,'GDP Deflator'!$B$5:$B$89,0))/100)</f>
        <v>8.696235709030935</v>
      </c>
      <c r="G357" s="269">
        <f>'IEPR Gas Prices Real'!G357*(INDEX('GDP Deflator'!$C$5:$C$89,MATCH('IEPR Gas Prices Nominal'!$B357,'GDP Deflator'!$B$5:$B$89,0))/100)</f>
        <v>5.0348269640828276</v>
      </c>
      <c r="H357" s="270">
        <f>'IEPR Gas Prices Real'!H357*(INDEX('GDP Deflator'!$C$5:$C$89,MATCH('IEPR Gas Prices Nominal'!$B357,'GDP Deflator'!$B$5:$B$89,0))/100)</f>
        <v>13.731062673113763</v>
      </c>
      <c r="I357" s="269">
        <f>'IEPR Gas Prices Real'!I357*(INDEX('GDP Deflator'!$C$5:$C$89,MATCH('IEPR Gas Prices Nominal'!$B357,'GDP Deflator'!$B$5:$B$89,0))/100)</f>
        <v>9.1095576231077953</v>
      </c>
      <c r="J357" s="269">
        <f>'IEPR Gas Prices Real'!J357*(INDEX('GDP Deflator'!$C$5:$C$89,MATCH('IEPR Gas Prices Nominal'!$B357,'GDP Deflator'!$B$5:$B$89,0))/100)</f>
        <v>8.3234497777295822</v>
      </c>
      <c r="K357" s="269">
        <f>'IEPR Gas Prices Real'!K357*(INDEX('GDP Deflator'!$C$5:$C$89,MATCH('IEPR Gas Prices Nominal'!$B357,'GDP Deflator'!$B$5:$B$89,0))/100)</f>
        <v>17.433007400837376</v>
      </c>
      <c r="L357" s="268">
        <f>'IEPR Gas Prices Real'!L357*(INDEX('GDP Deflator'!$C$5:$C$89,MATCH('IEPR Gas Prices Nominal'!$B357,'GDP Deflator'!$B$5:$B$89,0))/100)</f>
        <v>9.4436132235614689</v>
      </c>
      <c r="M357" s="269">
        <f>'IEPR Gas Prices Real'!M357*(INDEX('GDP Deflator'!$C$5:$C$89,MATCH('IEPR Gas Prices Nominal'!$B357,'GDP Deflator'!$B$5:$B$89,0))/100)</f>
        <v>3.9307831778444795</v>
      </c>
      <c r="N357" s="270">
        <f>'IEPR Gas Prices Real'!N357*(INDEX('GDP Deflator'!$C$5:$C$89,MATCH('IEPR Gas Prices Nominal'!$B357,'GDP Deflator'!$B$5:$B$89,0))/100)</f>
        <v>13.374396401405949</v>
      </c>
      <c r="O357" s="1"/>
      <c r="P357" s="274">
        <f t="shared" si="32"/>
        <v>9.0831355185667331</v>
      </c>
      <c r="Q357" s="275">
        <f t="shared" si="36"/>
        <v>14.846155491785694</v>
      </c>
      <c r="R357" s="171"/>
    </row>
    <row r="358" spans="2:18">
      <c r="B358" s="94">
        <f t="shared" si="33"/>
        <v>2051</v>
      </c>
      <c r="C358" s="1">
        <f t="shared" si="34"/>
        <v>5</v>
      </c>
      <c r="D358" s="213">
        <v>55274</v>
      </c>
      <c r="E358" s="1" t="str">
        <f t="shared" si="35"/>
        <v>5-2051</v>
      </c>
      <c r="F358" s="268">
        <f>'IEPR Gas Prices Real'!F358*(INDEX('GDP Deflator'!$C$5:$C$89,MATCH('IEPR Gas Prices Nominal'!$B358,'GDP Deflator'!$B$5:$B$89,0))/100)</f>
        <v>8.9989864527781034</v>
      </c>
      <c r="G358" s="269">
        <f>'IEPR Gas Prices Real'!G358*(INDEX('GDP Deflator'!$C$5:$C$89,MATCH('IEPR Gas Prices Nominal'!$B358,'GDP Deflator'!$B$5:$B$89,0))/100)</f>
        <v>5.0348269640828276</v>
      </c>
      <c r="H358" s="270">
        <f>'IEPR Gas Prices Real'!H358*(INDEX('GDP Deflator'!$C$5:$C$89,MATCH('IEPR Gas Prices Nominal'!$B358,'GDP Deflator'!$B$5:$B$89,0))/100)</f>
        <v>14.033813416860932</v>
      </c>
      <c r="I358" s="269">
        <f>'IEPR Gas Prices Real'!I358*(INDEX('GDP Deflator'!$C$5:$C$89,MATCH('IEPR Gas Prices Nominal'!$B358,'GDP Deflator'!$B$5:$B$89,0))/100)</f>
        <v>9.4265573407444077</v>
      </c>
      <c r="J358" s="269">
        <f>'IEPR Gas Prices Real'!J358*(INDEX('GDP Deflator'!$C$5:$C$89,MATCH('IEPR Gas Prices Nominal'!$B358,'GDP Deflator'!$B$5:$B$89,0))/100)</f>
        <v>8.3234497777295822</v>
      </c>
      <c r="K358" s="269">
        <f>'IEPR Gas Prices Real'!K358*(INDEX('GDP Deflator'!$C$5:$C$89,MATCH('IEPR Gas Prices Nominal'!$B358,'GDP Deflator'!$B$5:$B$89,0))/100)</f>
        <v>17.750007118473988</v>
      </c>
      <c r="L358" s="268">
        <f>'IEPR Gas Prices Real'!L358*(INDEX('GDP Deflator'!$C$5:$C$89,MATCH('IEPR Gas Prices Nominal'!$B358,'GDP Deflator'!$B$5:$B$89,0))/100)</f>
        <v>9.7722424547482873</v>
      </c>
      <c r="M358" s="269">
        <f>'IEPR Gas Prices Real'!M358*(INDEX('GDP Deflator'!$C$5:$C$89,MATCH('IEPR Gas Prices Nominal'!$B358,'GDP Deflator'!$B$5:$B$89,0))/100)</f>
        <v>3.9307831778444795</v>
      </c>
      <c r="N358" s="270">
        <f>'IEPR Gas Prices Real'!N358*(INDEX('GDP Deflator'!$C$5:$C$89,MATCH('IEPR Gas Prices Nominal'!$B358,'GDP Deflator'!$B$5:$B$89,0))/100)</f>
        <v>13.703025632592768</v>
      </c>
      <c r="O358" s="1"/>
      <c r="P358" s="274">
        <f t="shared" si="32"/>
        <v>9.3992620827569322</v>
      </c>
      <c r="Q358" s="275">
        <f t="shared" si="36"/>
        <v>15.162282055975895</v>
      </c>
      <c r="R358" s="171"/>
    </row>
    <row r="359" spans="2:18">
      <c r="B359" s="94">
        <f t="shared" si="33"/>
        <v>2051</v>
      </c>
      <c r="C359" s="1">
        <f t="shared" si="34"/>
        <v>6</v>
      </c>
      <c r="D359" s="213">
        <v>55305</v>
      </c>
      <c r="E359" s="1" t="str">
        <f t="shared" si="35"/>
        <v>6-2051</v>
      </c>
      <c r="F359" s="268">
        <f>'IEPR Gas Prices Real'!F359*(INDEX('GDP Deflator'!$C$5:$C$89,MATCH('IEPR Gas Prices Nominal'!$B359,'GDP Deflator'!$B$5:$B$89,0))/100)</f>
        <v>9.2317286225383146</v>
      </c>
      <c r="G359" s="269">
        <f>'IEPR Gas Prices Real'!G359*(INDEX('GDP Deflator'!$C$5:$C$89,MATCH('IEPR Gas Prices Nominal'!$B359,'GDP Deflator'!$B$5:$B$89,0))/100)</f>
        <v>5.0348269640828276</v>
      </c>
      <c r="H359" s="270">
        <f>'IEPR Gas Prices Real'!H359*(INDEX('GDP Deflator'!$C$5:$C$89,MATCH('IEPR Gas Prices Nominal'!$B359,'GDP Deflator'!$B$5:$B$89,0))/100)</f>
        <v>14.266555586621143</v>
      </c>
      <c r="I359" s="269">
        <f>'IEPR Gas Prices Real'!I359*(INDEX('GDP Deflator'!$C$5:$C$89,MATCH('IEPR Gas Prices Nominal'!$B359,'GDP Deflator'!$B$5:$B$89,0))/100)</f>
        <v>9.6702137866855544</v>
      </c>
      <c r="J359" s="269">
        <f>'IEPR Gas Prices Real'!J359*(INDEX('GDP Deflator'!$C$5:$C$89,MATCH('IEPR Gas Prices Nominal'!$B359,'GDP Deflator'!$B$5:$B$89,0))/100)</f>
        <v>8.3234497777295822</v>
      </c>
      <c r="K359" s="269">
        <f>'IEPR Gas Prices Real'!K359*(INDEX('GDP Deflator'!$C$5:$C$89,MATCH('IEPR Gas Prices Nominal'!$B359,'GDP Deflator'!$B$5:$B$89,0))/100)</f>
        <v>17.993663564415137</v>
      </c>
      <c r="L359" s="268">
        <f>'IEPR Gas Prices Real'!L359*(INDEX('GDP Deflator'!$C$5:$C$89,MATCH('IEPR Gas Prices Nominal'!$B359,'GDP Deflator'!$B$5:$B$89,0))/100)</f>
        <v>10.024839102316335</v>
      </c>
      <c r="M359" s="269">
        <f>'IEPR Gas Prices Real'!M359*(INDEX('GDP Deflator'!$C$5:$C$89,MATCH('IEPR Gas Prices Nominal'!$B359,'GDP Deflator'!$B$5:$B$89,0))/100)</f>
        <v>3.9307831778444795</v>
      </c>
      <c r="N359" s="270">
        <f>'IEPR Gas Prices Real'!N359*(INDEX('GDP Deflator'!$C$5:$C$89,MATCH('IEPR Gas Prices Nominal'!$B359,'GDP Deflator'!$B$5:$B$89,0))/100)</f>
        <v>13.955622280160815</v>
      </c>
      <c r="O359" s="1"/>
      <c r="P359" s="274">
        <f t="shared" si="32"/>
        <v>9.6422605038467353</v>
      </c>
      <c r="Q359" s="275">
        <f t="shared" si="36"/>
        <v>15.4052804770657</v>
      </c>
      <c r="R359" s="171"/>
    </row>
    <row r="360" spans="2:18">
      <c r="B360" s="94">
        <f t="shared" si="33"/>
        <v>2051</v>
      </c>
      <c r="C360" s="1">
        <f t="shared" si="34"/>
        <v>7</v>
      </c>
      <c r="D360" s="213">
        <v>55335</v>
      </c>
      <c r="E360" s="1" t="str">
        <f t="shared" si="35"/>
        <v>7-2051</v>
      </c>
      <c r="F360" s="268">
        <f>'IEPR Gas Prices Real'!F360*(INDEX('GDP Deflator'!$C$5:$C$89,MATCH('IEPR Gas Prices Nominal'!$B360,'GDP Deflator'!$B$5:$B$89,0))/100)</f>
        <v>9.3050690251377262</v>
      </c>
      <c r="G360" s="269">
        <f>'IEPR Gas Prices Real'!G360*(INDEX('GDP Deflator'!$C$5:$C$89,MATCH('IEPR Gas Prices Nominal'!$B360,'GDP Deflator'!$B$5:$B$89,0))/100)</f>
        <v>5.0348269640828276</v>
      </c>
      <c r="H360" s="270">
        <f>'IEPR Gas Prices Real'!H360*(INDEX('GDP Deflator'!$C$5:$C$89,MATCH('IEPR Gas Prices Nominal'!$B360,'GDP Deflator'!$B$5:$B$89,0))/100)</f>
        <v>14.339895989220555</v>
      </c>
      <c r="I360" s="269">
        <f>'IEPR Gas Prices Real'!I360*(INDEX('GDP Deflator'!$C$5:$C$89,MATCH('IEPR Gas Prices Nominal'!$B360,'GDP Deflator'!$B$5:$B$89,0))/100)</f>
        <v>9.7468924752433832</v>
      </c>
      <c r="J360" s="269">
        <f>'IEPR Gas Prices Real'!J360*(INDEX('GDP Deflator'!$C$5:$C$89,MATCH('IEPR Gas Prices Nominal'!$B360,'GDP Deflator'!$B$5:$B$89,0))/100)</f>
        <v>8.3234497777295822</v>
      </c>
      <c r="K360" s="269">
        <f>'IEPR Gas Prices Real'!K360*(INDEX('GDP Deflator'!$C$5:$C$89,MATCH('IEPR Gas Prices Nominal'!$B360,'GDP Deflator'!$B$5:$B$89,0))/100)</f>
        <v>18.070342252972967</v>
      </c>
      <c r="L360" s="268">
        <f>'IEPR Gas Prices Real'!L360*(INDEX('GDP Deflator'!$C$5:$C$89,MATCH('IEPR Gas Prices Nominal'!$B360,'GDP Deflator'!$B$5:$B$89,0))/100)</f>
        <v>10.104334762711721</v>
      </c>
      <c r="M360" s="269">
        <f>'IEPR Gas Prices Real'!M360*(INDEX('GDP Deflator'!$C$5:$C$89,MATCH('IEPR Gas Prices Nominal'!$B360,'GDP Deflator'!$B$5:$B$89,0))/100)</f>
        <v>3.9307831778444795</v>
      </c>
      <c r="N360" s="270">
        <f>'IEPR Gas Prices Real'!N360*(INDEX('GDP Deflator'!$C$5:$C$89,MATCH('IEPR Gas Prices Nominal'!$B360,'GDP Deflator'!$B$5:$B$89,0))/100)</f>
        <v>14.035117940556201</v>
      </c>
      <c r="O360" s="1"/>
      <c r="P360" s="274">
        <f t="shared" si="32"/>
        <v>9.7187654210309447</v>
      </c>
      <c r="Q360" s="275">
        <f t="shared" si="36"/>
        <v>15.481785394249906</v>
      </c>
      <c r="R360" s="171"/>
    </row>
    <row r="361" spans="2:18">
      <c r="B361" s="94">
        <f t="shared" si="33"/>
        <v>2051</v>
      </c>
      <c r="C361" s="1">
        <f t="shared" si="34"/>
        <v>8</v>
      </c>
      <c r="D361" s="213">
        <v>55366</v>
      </c>
      <c r="E361" s="1" t="str">
        <f t="shared" si="35"/>
        <v>8-2051</v>
      </c>
      <c r="F361" s="268">
        <f>'IEPR Gas Prices Real'!F361*(INDEX('GDP Deflator'!$C$5:$C$89,MATCH('IEPR Gas Prices Nominal'!$B361,'GDP Deflator'!$B$5:$B$89,0))/100)</f>
        <v>9.2332962916619614</v>
      </c>
      <c r="G361" s="269">
        <f>'IEPR Gas Prices Real'!G361*(INDEX('GDP Deflator'!$C$5:$C$89,MATCH('IEPR Gas Prices Nominal'!$B361,'GDP Deflator'!$B$5:$B$89,0))/100)</f>
        <v>5.0348269640828276</v>
      </c>
      <c r="H361" s="270">
        <f>'IEPR Gas Prices Real'!H361*(INDEX('GDP Deflator'!$C$5:$C$89,MATCH('IEPR Gas Prices Nominal'!$B361,'GDP Deflator'!$B$5:$B$89,0))/100)</f>
        <v>14.26812325574479</v>
      </c>
      <c r="I361" s="269">
        <f>'IEPR Gas Prices Real'!I361*(INDEX('GDP Deflator'!$C$5:$C$89,MATCH('IEPR Gas Prices Nominal'!$B361,'GDP Deflator'!$B$5:$B$89,0))/100)</f>
        <v>9.6715677298877409</v>
      </c>
      <c r="J361" s="269">
        <f>'IEPR Gas Prices Real'!J361*(INDEX('GDP Deflator'!$C$5:$C$89,MATCH('IEPR Gas Prices Nominal'!$B361,'GDP Deflator'!$B$5:$B$89,0))/100)</f>
        <v>8.3234497777295822</v>
      </c>
      <c r="K361" s="269">
        <f>'IEPR Gas Prices Real'!K361*(INDEX('GDP Deflator'!$C$5:$C$89,MATCH('IEPR Gas Prices Nominal'!$B361,'GDP Deflator'!$B$5:$B$89,0))/100)</f>
        <v>17.99501750761732</v>
      </c>
      <c r="L361" s="268">
        <f>'IEPR Gas Prices Real'!L361*(INDEX('GDP Deflator'!$C$5:$C$89,MATCH('IEPR Gas Prices Nominal'!$B361,'GDP Deflator'!$B$5:$B$89,0))/100)</f>
        <v>10.026252654192023</v>
      </c>
      <c r="M361" s="269">
        <f>'IEPR Gas Prices Real'!M361*(INDEX('GDP Deflator'!$C$5:$C$89,MATCH('IEPR Gas Prices Nominal'!$B361,'GDP Deflator'!$B$5:$B$89,0))/100)</f>
        <v>3.9307831778444795</v>
      </c>
      <c r="N361" s="270">
        <f>'IEPR Gas Prices Real'!N361*(INDEX('GDP Deflator'!$C$5:$C$89,MATCH('IEPR Gas Prices Nominal'!$B361,'GDP Deflator'!$B$5:$B$89,0))/100)</f>
        <v>13.957035832036501</v>
      </c>
      <c r="O361" s="1"/>
      <c r="P361" s="274">
        <f t="shared" si="32"/>
        <v>9.6437055585805762</v>
      </c>
      <c r="Q361" s="275">
        <f t="shared" si="36"/>
        <v>15.406725531799538</v>
      </c>
      <c r="R361" s="171"/>
    </row>
    <row r="362" spans="2:18">
      <c r="B362" s="94">
        <f t="shared" si="33"/>
        <v>2051</v>
      </c>
      <c r="C362" s="1">
        <f t="shared" si="34"/>
        <v>9</v>
      </c>
      <c r="D362" s="213">
        <v>55397</v>
      </c>
      <c r="E362" s="1" t="str">
        <f t="shared" si="35"/>
        <v>9-2051</v>
      </c>
      <c r="F362" s="268">
        <f>'IEPR Gas Prices Real'!F362*(INDEX('GDP Deflator'!$C$5:$C$89,MATCH('IEPR Gas Prices Nominal'!$B362,'GDP Deflator'!$B$5:$B$89,0))/100)</f>
        <v>9.3632725999290756</v>
      </c>
      <c r="G362" s="269">
        <f>'IEPR Gas Prices Real'!G362*(INDEX('GDP Deflator'!$C$5:$C$89,MATCH('IEPR Gas Prices Nominal'!$B362,'GDP Deflator'!$B$5:$B$89,0))/100)</f>
        <v>5.0348269640828276</v>
      </c>
      <c r="H362" s="270">
        <f>'IEPR Gas Prices Real'!H362*(INDEX('GDP Deflator'!$C$5:$C$89,MATCH('IEPR Gas Prices Nominal'!$B362,'GDP Deflator'!$B$5:$B$89,0))/100)</f>
        <v>14.398099564011902</v>
      </c>
      <c r="I362" s="269">
        <f>'IEPR Gas Prices Real'!I362*(INDEX('GDP Deflator'!$C$5:$C$89,MATCH('IEPR Gas Prices Nominal'!$B362,'GDP Deflator'!$B$5:$B$89,0))/100)</f>
        <v>9.8075674118633902</v>
      </c>
      <c r="J362" s="269">
        <f>'IEPR Gas Prices Real'!J362*(INDEX('GDP Deflator'!$C$5:$C$89,MATCH('IEPR Gas Prices Nominal'!$B362,'GDP Deflator'!$B$5:$B$89,0))/100)</f>
        <v>8.3234497777295822</v>
      </c>
      <c r="K362" s="269">
        <f>'IEPR Gas Prices Real'!K362*(INDEX('GDP Deflator'!$C$5:$C$89,MATCH('IEPR Gas Prices Nominal'!$B362,'GDP Deflator'!$B$5:$B$89,0))/100)</f>
        <v>18.131017189592971</v>
      </c>
      <c r="L362" s="268">
        <f>'IEPR Gas Prices Real'!L362*(INDEX('GDP Deflator'!$C$5:$C$89,MATCH('IEPR Gas Prices Nominal'!$B362,'GDP Deflator'!$B$5:$B$89,0))/100)</f>
        <v>10.167244894956617</v>
      </c>
      <c r="M362" s="269">
        <f>'IEPR Gas Prices Real'!M362*(INDEX('GDP Deflator'!$C$5:$C$89,MATCH('IEPR Gas Prices Nominal'!$B362,'GDP Deflator'!$B$5:$B$89,0))/100)</f>
        <v>3.9307831778444795</v>
      </c>
      <c r="N362" s="270">
        <f>'IEPR Gas Prices Real'!N362*(INDEX('GDP Deflator'!$C$5:$C$89,MATCH('IEPR Gas Prices Nominal'!$B362,'GDP Deflator'!$B$5:$B$89,0))/100)</f>
        <v>14.098028072801096</v>
      </c>
      <c r="O362" s="1"/>
      <c r="P362" s="274">
        <f t="shared" si="32"/>
        <v>9.7793616355830277</v>
      </c>
      <c r="Q362" s="275">
        <f t="shared" si="36"/>
        <v>15.542381608801989</v>
      </c>
      <c r="R362" s="171"/>
    </row>
    <row r="363" spans="2:18">
      <c r="B363" s="94">
        <f t="shared" si="33"/>
        <v>2051</v>
      </c>
      <c r="C363" s="1">
        <f t="shared" si="34"/>
        <v>10</v>
      </c>
      <c r="D363" s="213">
        <v>55427</v>
      </c>
      <c r="E363" s="1" t="str">
        <f t="shared" si="35"/>
        <v>10-2051</v>
      </c>
      <c r="F363" s="268">
        <f>'IEPR Gas Prices Real'!F363*(INDEX('GDP Deflator'!$C$5:$C$89,MATCH('IEPR Gas Prices Nominal'!$B363,'GDP Deflator'!$B$5:$B$89,0))/100)</f>
        <v>9.3094180300027407</v>
      </c>
      <c r="G363" s="269">
        <f>'IEPR Gas Prices Real'!G363*(INDEX('GDP Deflator'!$C$5:$C$89,MATCH('IEPR Gas Prices Nominal'!$B363,'GDP Deflator'!$B$5:$B$89,0))/100)</f>
        <v>5.0348269640828276</v>
      </c>
      <c r="H363" s="270">
        <f>'IEPR Gas Prices Real'!H363*(INDEX('GDP Deflator'!$C$5:$C$89,MATCH('IEPR Gas Prices Nominal'!$B363,'GDP Deflator'!$B$5:$B$89,0))/100)</f>
        <v>14.344244994085569</v>
      </c>
      <c r="I363" s="269">
        <f>'IEPR Gas Prices Real'!I363*(INDEX('GDP Deflator'!$C$5:$C$89,MATCH('IEPR Gas Prices Nominal'!$B363,'GDP Deflator'!$B$5:$B$89,0))/100)</f>
        <v>9.7510120956563107</v>
      </c>
      <c r="J363" s="269">
        <f>'IEPR Gas Prices Real'!J363*(INDEX('GDP Deflator'!$C$5:$C$89,MATCH('IEPR Gas Prices Nominal'!$B363,'GDP Deflator'!$B$5:$B$89,0))/100)</f>
        <v>8.3234497777295822</v>
      </c>
      <c r="K363" s="269">
        <f>'IEPR Gas Prices Real'!K363*(INDEX('GDP Deflator'!$C$5:$C$89,MATCH('IEPR Gas Prices Nominal'!$B363,'GDP Deflator'!$B$5:$B$89,0))/100)</f>
        <v>18.074461873385893</v>
      </c>
      <c r="L363" s="268">
        <f>'IEPR Gas Prices Real'!L363*(INDEX('GDP Deflator'!$C$5:$C$89,MATCH('IEPR Gas Prices Nominal'!$B363,'GDP Deflator'!$B$5:$B$89,0))/100)</f>
        <v>10.108620519855616</v>
      </c>
      <c r="M363" s="269">
        <f>'IEPR Gas Prices Real'!M363*(INDEX('GDP Deflator'!$C$5:$C$89,MATCH('IEPR Gas Prices Nominal'!$B363,'GDP Deflator'!$B$5:$B$89,0))/100)</f>
        <v>3.9307831778444795</v>
      </c>
      <c r="N363" s="270">
        <f>'IEPR Gas Prices Real'!N363*(INDEX('GDP Deflator'!$C$5:$C$89,MATCH('IEPR Gas Prices Nominal'!$B363,'GDP Deflator'!$B$5:$B$89,0))/100)</f>
        <v>14.039403697700095</v>
      </c>
      <c r="O363" s="1"/>
      <c r="P363" s="274">
        <f t="shared" si="32"/>
        <v>9.7230168818382232</v>
      </c>
      <c r="Q363" s="275">
        <f t="shared" si="36"/>
        <v>15.486036855057186</v>
      </c>
      <c r="R363" s="171"/>
    </row>
    <row r="364" spans="2:18">
      <c r="B364" s="94">
        <f t="shared" si="33"/>
        <v>2051</v>
      </c>
      <c r="C364" s="1">
        <f t="shared" si="34"/>
        <v>11</v>
      </c>
      <c r="D364" s="213">
        <v>55458</v>
      </c>
      <c r="E364" s="1" t="str">
        <f t="shared" si="35"/>
        <v>11-2051</v>
      </c>
      <c r="F364" s="268">
        <f>'IEPR Gas Prices Real'!F364*(INDEX('GDP Deflator'!$C$5:$C$89,MATCH('IEPR Gas Prices Nominal'!$B364,'GDP Deflator'!$B$5:$B$89,0))/100)</f>
        <v>9.7696595476725498</v>
      </c>
      <c r="G364" s="269">
        <f>'IEPR Gas Prices Real'!G364*(INDEX('GDP Deflator'!$C$5:$C$89,MATCH('IEPR Gas Prices Nominal'!$B364,'GDP Deflator'!$B$5:$B$89,0))/100)</f>
        <v>5.0348269640828276</v>
      </c>
      <c r="H364" s="270">
        <f>'IEPR Gas Prices Real'!H364*(INDEX('GDP Deflator'!$C$5:$C$89,MATCH('IEPR Gas Prices Nominal'!$B364,'GDP Deflator'!$B$5:$B$89,0))/100)</f>
        <v>14.804486511755377</v>
      </c>
      <c r="I364" s="269">
        <f>'IEPR Gas Prices Real'!I364*(INDEX('GDP Deflator'!$C$5:$C$89,MATCH('IEPR Gas Prices Nominal'!$B364,'GDP Deflator'!$B$5:$B$89,0))/100)</f>
        <v>10.232932763127705</v>
      </c>
      <c r="J364" s="269">
        <f>'IEPR Gas Prices Real'!J364*(INDEX('GDP Deflator'!$C$5:$C$89,MATCH('IEPR Gas Prices Nominal'!$B364,'GDP Deflator'!$B$5:$B$89,0))/100)</f>
        <v>8.3234497777295822</v>
      </c>
      <c r="K364" s="269">
        <f>'IEPR Gas Prices Real'!K364*(INDEX('GDP Deflator'!$C$5:$C$89,MATCH('IEPR Gas Prices Nominal'!$B364,'GDP Deflator'!$B$5:$B$89,0))/100)</f>
        <v>18.556382540857285</v>
      </c>
      <c r="L364" s="268">
        <f>'IEPR Gas Prices Real'!L364*(INDEX('GDP Deflator'!$C$5:$C$89,MATCH('IEPR Gas Prices Nominal'!$B364,'GDP Deflator'!$B$5:$B$89,0))/100)</f>
        <v>10.608220405470634</v>
      </c>
      <c r="M364" s="269">
        <f>'IEPR Gas Prices Real'!M364*(INDEX('GDP Deflator'!$C$5:$C$89,MATCH('IEPR Gas Prices Nominal'!$B364,'GDP Deflator'!$B$5:$B$89,0))/100)</f>
        <v>3.9307831778444795</v>
      </c>
      <c r="N364" s="270">
        <f>'IEPR Gas Prices Real'!N364*(INDEX('GDP Deflator'!$C$5:$C$89,MATCH('IEPR Gas Prices Nominal'!$B364,'GDP Deflator'!$B$5:$B$89,0))/100)</f>
        <v>14.539003583315115</v>
      </c>
      <c r="O364" s="1"/>
      <c r="P364" s="274">
        <f t="shared" si="32"/>
        <v>10.203604238756961</v>
      </c>
      <c r="Q364" s="275">
        <f t="shared" si="36"/>
        <v>15.966624211975926</v>
      </c>
      <c r="R364" s="171"/>
    </row>
    <row r="365" spans="2:18">
      <c r="B365" s="94">
        <f t="shared" si="33"/>
        <v>2051</v>
      </c>
      <c r="C365" s="1">
        <f t="shared" si="34"/>
        <v>12</v>
      </c>
      <c r="D365" s="213">
        <v>55488</v>
      </c>
      <c r="E365" s="1" t="str">
        <f t="shared" si="35"/>
        <v>12-2051</v>
      </c>
      <c r="F365" s="268">
        <f>'IEPR Gas Prices Real'!F365*(INDEX('GDP Deflator'!$C$5:$C$89,MATCH('IEPR Gas Prices Nominal'!$B365,'GDP Deflator'!$B$5:$B$89,0))/100)</f>
        <v>9.8483487830167054</v>
      </c>
      <c r="G365" s="269">
        <f>'IEPR Gas Prices Real'!G365*(INDEX('GDP Deflator'!$C$5:$C$89,MATCH('IEPR Gas Prices Nominal'!$B365,'GDP Deflator'!$B$5:$B$89,0))/100)</f>
        <v>5.0348269640828276</v>
      </c>
      <c r="H365" s="270">
        <f>'IEPR Gas Prices Real'!H365*(INDEX('GDP Deflator'!$C$5:$C$89,MATCH('IEPR Gas Prices Nominal'!$B365,'GDP Deflator'!$B$5:$B$89,0))/100)</f>
        <v>14.883175747099534</v>
      </c>
      <c r="I365" s="269">
        <f>'IEPR Gas Prices Real'!I365*(INDEX('GDP Deflator'!$C$5:$C$89,MATCH('IEPR Gas Prices Nominal'!$B365,'GDP Deflator'!$B$5:$B$89,0))/100)</f>
        <v>10.315199675049382</v>
      </c>
      <c r="J365" s="269">
        <f>'IEPR Gas Prices Real'!J365*(INDEX('GDP Deflator'!$C$5:$C$89,MATCH('IEPR Gas Prices Nominal'!$B365,'GDP Deflator'!$B$5:$B$89,0))/100)</f>
        <v>8.3234497777295822</v>
      </c>
      <c r="K365" s="269">
        <f>'IEPR Gas Prices Real'!K365*(INDEX('GDP Deflator'!$C$5:$C$89,MATCH('IEPR Gas Prices Nominal'!$B365,'GDP Deflator'!$B$5:$B$89,0))/100)</f>
        <v>18.638649452778964</v>
      </c>
      <c r="L365" s="268">
        <f>'IEPR Gas Prices Real'!L365*(INDEX('GDP Deflator'!$C$5:$C$89,MATCH('IEPR Gas Prices Nominal'!$B365,'GDP Deflator'!$B$5:$B$89,0))/100)</f>
        <v>10.693509726840052</v>
      </c>
      <c r="M365" s="269">
        <f>'IEPR Gas Prices Real'!M365*(INDEX('GDP Deflator'!$C$5:$C$89,MATCH('IEPR Gas Prices Nominal'!$B365,'GDP Deflator'!$B$5:$B$89,0))/100)</f>
        <v>3.9307831778444795</v>
      </c>
      <c r="N365" s="270">
        <f>'IEPR Gas Prices Real'!N365*(INDEX('GDP Deflator'!$C$5:$C$89,MATCH('IEPR Gas Prices Nominal'!$B365,'GDP Deflator'!$B$5:$B$89,0))/100)</f>
        <v>14.62429290468453</v>
      </c>
      <c r="O365" s="1"/>
      <c r="P365" s="274">
        <f t="shared" si="32"/>
        <v>10.28568606163538</v>
      </c>
      <c r="Q365" s="275">
        <f t="shared" si="36"/>
        <v>16.048706034854344</v>
      </c>
      <c r="R365" s="171"/>
    </row>
    <row r="366" spans="2:18">
      <c r="B366" s="94">
        <f t="shared" si="33"/>
        <v>2052</v>
      </c>
      <c r="C366" s="1">
        <f t="shared" si="34"/>
        <v>1</v>
      </c>
      <c r="D366" s="213">
        <v>55519</v>
      </c>
      <c r="E366" s="1" t="str">
        <f t="shared" si="35"/>
        <v>1-2052</v>
      </c>
      <c r="F366" s="268">
        <f>'IEPR Gas Prices Real'!F366*(INDEX('GDP Deflator'!$C$5:$C$89,MATCH('IEPR Gas Prices Nominal'!$B366,'GDP Deflator'!$B$5:$B$89,0))/100)</f>
        <v>10.058446717157274</v>
      </c>
      <c r="G366" s="269">
        <f>'IEPR Gas Prices Real'!G366*(INDEX('GDP Deflator'!$C$5:$C$89,MATCH('IEPR Gas Prices Nominal'!$B366,'GDP Deflator'!$B$5:$B$89,0))/100)</f>
        <v>5.3468659994808965</v>
      </c>
      <c r="H366" s="270">
        <f>'IEPR Gas Prices Real'!H366*(INDEX('GDP Deflator'!$C$5:$C$89,MATCH('IEPR Gas Prices Nominal'!$B366,'GDP Deflator'!$B$5:$B$89,0))/100)</f>
        <v>15.405312716638171</v>
      </c>
      <c r="I366" s="269">
        <f>'IEPR Gas Prices Real'!I366*(INDEX('GDP Deflator'!$C$5:$C$89,MATCH('IEPR Gas Prices Nominal'!$B366,'GDP Deflator'!$B$5:$B$89,0))/100)</f>
        <v>10.535103500981251</v>
      </c>
      <c r="J366" s="269">
        <f>'IEPR Gas Prices Real'!J366*(INDEX('GDP Deflator'!$C$5:$C$89,MATCH('IEPR Gas Prices Nominal'!$B366,'GDP Deflator'!$B$5:$B$89,0))/100)</f>
        <v>8.8404531926841781</v>
      </c>
      <c r="K366" s="269">
        <f>'IEPR Gas Prices Real'!K366*(INDEX('GDP Deflator'!$C$5:$C$89,MATCH('IEPR Gas Prices Nominal'!$B366,'GDP Deflator'!$B$5:$B$89,0))/100)</f>
        <v>19.37555669366543</v>
      </c>
      <c r="L366" s="268">
        <f>'IEPR Gas Prices Real'!L366*(INDEX('GDP Deflator'!$C$5:$C$89,MATCH('IEPR Gas Prices Nominal'!$B366,'GDP Deflator'!$B$5:$B$89,0))/100)</f>
        <v>10.921482420813868</v>
      </c>
      <c r="M366" s="269">
        <f>'IEPR Gas Prices Real'!M366*(INDEX('GDP Deflator'!$C$5:$C$89,MATCH('IEPR Gas Prices Nominal'!$B366,'GDP Deflator'!$B$5:$B$89,0))/100)</f>
        <v>4.1749401536971069</v>
      </c>
      <c r="N366" s="270">
        <f>'IEPR Gas Prices Real'!N366*(INDEX('GDP Deflator'!$C$5:$C$89,MATCH('IEPR Gas Prices Nominal'!$B366,'GDP Deflator'!$B$5:$B$89,0))/100)</f>
        <v>15.096422574510974</v>
      </c>
      <c r="O366" s="1"/>
      <c r="P366" s="274">
        <f t="shared" si="32"/>
        <v>10.505010879650797</v>
      </c>
      <c r="Q366" s="275">
        <f t="shared" si="36"/>
        <v>16.625763994938193</v>
      </c>
      <c r="R366" s="171"/>
    </row>
    <row r="367" spans="2:18">
      <c r="B367" s="94">
        <f t="shared" si="33"/>
        <v>2052</v>
      </c>
      <c r="C367" s="1">
        <f t="shared" si="34"/>
        <v>2</v>
      </c>
      <c r="D367" s="213">
        <v>55550</v>
      </c>
      <c r="E367" s="1" t="str">
        <f t="shared" si="35"/>
        <v>2-2052</v>
      </c>
      <c r="F367" s="268">
        <f>'IEPR Gas Prices Real'!F367*(INDEX('GDP Deflator'!$C$5:$C$89,MATCH('IEPR Gas Prices Nominal'!$B367,'GDP Deflator'!$B$5:$B$89,0))/100)</f>
        <v>9.8380123503890502</v>
      </c>
      <c r="G367" s="269">
        <f>'IEPR Gas Prices Real'!G367*(INDEX('GDP Deflator'!$C$5:$C$89,MATCH('IEPR Gas Prices Nominal'!$B367,'GDP Deflator'!$B$5:$B$89,0))/100)</f>
        <v>5.3468659994808965</v>
      </c>
      <c r="H367" s="270">
        <f>'IEPR Gas Prices Real'!H367*(INDEX('GDP Deflator'!$C$5:$C$89,MATCH('IEPR Gas Prices Nominal'!$B367,'GDP Deflator'!$B$5:$B$89,0))/100)</f>
        <v>15.184878349869948</v>
      </c>
      <c r="I367" s="269">
        <f>'IEPR Gas Prices Real'!I367*(INDEX('GDP Deflator'!$C$5:$C$89,MATCH('IEPR Gas Prices Nominal'!$B367,'GDP Deflator'!$B$5:$B$89,0))/100)</f>
        <v>10.304072805257038</v>
      </c>
      <c r="J367" s="269">
        <f>'IEPR Gas Prices Real'!J367*(INDEX('GDP Deflator'!$C$5:$C$89,MATCH('IEPR Gas Prices Nominal'!$B367,'GDP Deflator'!$B$5:$B$89,0))/100)</f>
        <v>8.8404531926841781</v>
      </c>
      <c r="K367" s="269">
        <f>'IEPR Gas Prices Real'!K367*(INDEX('GDP Deflator'!$C$5:$C$89,MATCH('IEPR Gas Prices Nominal'!$B367,'GDP Deflator'!$B$5:$B$89,0))/100)</f>
        <v>19.144525997941216</v>
      </c>
      <c r="L367" s="268">
        <f>'IEPR Gas Prices Real'!L367*(INDEX('GDP Deflator'!$C$5:$C$89,MATCH('IEPR Gas Prices Nominal'!$B367,'GDP Deflator'!$B$5:$B$89,0))/100)</f>
        <v>10.68198239462442</v>
      </c>
      <c r="M367" s="269">
        <f>'IEPR Gas Prices Real'!M367*(INDEX('GDP Deflator'!$C$5:$C$89,MATCH('IEPR Gas Prices Nominal'!$B367,'GDP Deflator'!$B$5:$B$89,0))/100)</f>
        <v>4.1749401536971069</v>
      </c>
      <c r="N367" s="270">
        <f>'IEPR Gas Prices Real'!N367*(INDEX('GDP Deflator'!$C$5:$C$89,MATCH('IEPR Gas Prices Nominal'!$B367,'GDP Deflator'!$B$5:$B$89,0))/100)</f>
        <v>14.856922548321529</v>
      </c>
      <c r="O367" s="1"/>
      <c r="P367" s="274">
        <f t="shared" si="32"/>
        <v>10.274689183423503</v>
      </c>
      <c r="Q367" s="275">
        <f t="shared" si="36"/>
        <v>16.395442298710897</v>
      </c>
      <c r="R367" s="171"/>
    </row>
    <row r="368" spans="2:18">
      <c r="B368" s="94">
        <f t="shared" si="33"/>
        <v>2052</v>
      </c>
      <c r="C368" s="1">
        <f t="shared" si="34"/>
        <v>3</v>
      </c>
      <c r="D368" s="213">
        <v>55579</v>
      </c>
      <c r="E368" s="1" t="str">
        <f t="shared" si="35"/>
        <v>3-2052</v>
      </c>
      <c r="F368" s="268">
        <f>'IEPR Gas Prices Real'!F368*(INDEX('GDP Deflator'!$C$5:$C$89,MATCH('IEPR Gas Prices Nominal'!$B368,'GDP Deflator'!$B$5:$B$89,0))/100)</f>
        <v>9.0314104887751725</v>
      </c>
      <c r="G368" s="269">
        <f>'IEPR Gas Prices Real'!G368*(INDEX('GDP Deflator'!$C$5:$C$89,MATCH('IEPR Gas Prices Nominal'!$B368,'GDP Deflator'!$B$5:$B$89,0))/100)</f>
        <v>5.3468659994808965</v>
      </c>
      <c r="H368" s="270">
        <f>'IEPR Gas Prices Real'!H368*(INDEX('GDP Deflator'!$C$5:$C$89,MATCH('IEPR Gas Prices Nominal'!$B368,'GDP Deflator'!$B$5:$B$89,0))/100)</f>
        <v>14.37827648825607</v>
      </c>
      <c r="I368" s="269">
        <f>'IEPR Gas Prices Real'!I368*(INDEX('GDP Deflator'!$C$5:$C$89,MATCH('IEPR Gas Prices Nominal'!$B368,'GDP Deflator'!$B$5:$B$89,0))/100)</f>
        <v>9.4591215203908945</v>
      </c>
      <c r="J368" s="269">
        <f>'IEPR Gas Prices Real'!J368*(INDEX('GDP Deflator'!$C$5:$C$89,MATCH('IEPR Gas Prices Nominal'!$B368,'GDP Deflator'!$B$5:$B$89,0))/100)</f>
        <v>8.8404531926841781</v>
      </c>
      <c r="K368" s="269">
        <f>'IEPR Gas Prices Real'!K368*(INDEX('GDP Deflator'!$C$5:$C$89,MATCH('IEPR Gas Prices Nominal'!$B368,'GDP Deflator'!$B$5:$B$89,0))/100)</f>
        <v>18.299574713075071</v>
      </c>
      <c r="L368" s="268">
        <f>'IEPR Gas Prices Real'!L368*(INDEX('GDP Deflator'!$C$5:$C$89,MATCH('IEPR Gas Prices Nominal'!$B368,'GDP Deflator'!$B$5:$B$89,0))/100)</f>
        <v>9.8060453844530038</v>
      </c>
      <c r="M368" s="269">
        <f>'IEPR Gas Prices Real'!M368*(INDEX('GDP Deflator'!$C$5:$C$89,MATCH('IEPR Gas Prices Nominal'!$B368,'GDP Deflator'!$B$5:$B$89,0))/100)</f>
        <v>4.1749401536971069</v>
      </c>
      <c r="N368" s="270">
        <f>'IEPR Gas Prices Real'!N368*(INDEX('GDP Deflator'!$C$5:$C$89,MATCH('IEPR Gas Prices Nominal'!$B368,'GDP Deflator'!$B$5:$B$89,0))/100)</f>
        <v>13.980985538150112</v>
      </c>
      <c r="O368" s="1"/>
      <c r="P368" s="274">
        <f t="shared" si="32"/>
        <v>9.4321924645396908</v>
      </c>
      <c r="Q368" s="275">
        <f t="shared" si="36"/>
        <v>15.552945579827082</v>
      </c>
      <c r="R368" s="171"/>
    </row>
    <row r="369" spans="2:18">
      <c r="B369" s="94">
        <f t="shared" si="33"/>
        <v>2052</v>
      </c>
      <c r="C369" s="1">
        <f t="shared" si="34"/>
        <v>4</v>
      </c>
      <c r="D369" s="213">
        <v>55610</v>
      </c>
      <c r="E369" s="1" t="str">
        <f t="shared" si="35"/>
        <v>4-2052</v>
      </c>
      <c r="F369" s="268">
        <f>'IEPR Gas Prices Real'!F369*(INDEX('GDP Deflator'!$C$5:$C$89,MATCH('IEPR Gas Prices Nominal'!$B369,'GDP Deflator'!$B$5:$B$89,0))/100)</f>
        <v>8.8778243403459332</v>
      </c>
      <c r="G369" s="269">
        <f>'IEPR Gas Prices Real'!G369*(INDEX('GDP Deflator'!$C$5:$C$89,MATCH('IEPR Gas Prices Nominal'!$B369,'GDP Deflator'!$B$5:$B$89,0))/100)</f>
        <v>5.3468659994808965</v>
      </c>
      <c r="H369" s="270">
        <f>'IEPR Gas Prices Real'!H369*(INDEX('GDP Deflator'!$C$5:$C$89,MATCH('IEPR Gas Prices Nominal'!$B369,'GDP Deflator'!$B$5:$B$89,0))/100)</f>
        <v>14.224690339826831</v>
      </c>
      <c r="I369" s="269">
        <f>'IEPR Gas Prices Real'!I369*(INDEX('GDP Deflator'!$C$5:$C$89,MATCH('IEPR Gas Prices Nominal'!$B369,'GDP Deflator'!$B$5:$B$89,0))/100)</f>
        <v>9.298126229531178</v>
      </c>
      <c r="J369" s="269">
        <f>'IEPR Gas Prices Real'!J369*(INDEX('GDP Deflator'!$C$5:$C$89,MATCH('IEPR Gas Prices Nominal'!$B369,'GDP Deflator'!$B$5:$B$89,0))/100)</f>
        <v>8.8404531926841781</v>
      </c>
      <c r="K369" s="269">
        <f>'IEPR Gas Prices Real'!K369*(INDEX('GDP Deflator'!$C$5:$C$89,MATCH('IEPR Gas Prices Nominal'!$B369,'GDP Deflator'!$B$5:$B$89,0))/100)</f>
        <v>18.138579422215358</v>
      </c>
      <c r="L369" s="268">
        <f>'IEPR Gas Prices Real'!L369*(INDEX('GDP Deflator'!$C$5:$C$89,MATCH('IEPR Gas Prices Nominal'!$B369,'GDP Deflator'!$B$5:$B$89,0))/100)</f>
        <v>9.6391488480616374</v>
      </c>
      <c r="M369" s="269">
        <f>'IEPR Gas Prices Real'!M369*(INDEX('GDP Deflator'!$C$5:$C$89,MATCH('IEPR Gas Prices Nominal'!$B369,'GDP Deflator'!$B$5:$B$89,0))/100)</f>
        <v>4.1749401536971069</v>
      </c>
      <c r="N369" s="270">
        <f>'IEPR Gas Prices Real'!N369*(INDEX('GDP Deflator'!$C$5:$C$89,MATCH('IEPR Gas Prices Nominal'!$B369,'GDP Deflator'!$B$5:$B$89,0))/100)</f>
        <v>13.814089001758743</v>
      </c>
      <c r="O369" s="1"/>
      <c r="P369" s="274">
        <f t="shared" si="32"/>
        <v>9.2716998059795817</v>
      </c>
      <c r="Q369" s="275">
        <f t="shared" si="36"/>
        <v>15.392452921266978</v>
      </c>
      <c r="R369" s="171"/>
    </row>
    <row r="370" spans="2:18">
      <c r="B370" s="94">
        <f t="shared" si="33"/>
        <v>2052</v>
      </c>
      <c r="C370" s="1">
        <f t="shared" si="34"/>
        <v>5</v>
      </c>
      <c r="D370" s="213">
        <v>55640</v>
      </c>
      <c r="E370" s="1" t="str">
        <f t="shared" si="35"/>
        <v>5-2052</v>
      </c>
      <c r="F370" s="268">
        <f>'IEPR Gas Prices Real'!F370*(INDEX('GDP Deflator'!$C$5:$C$89,MATCH('IEPR Gas Prices Nominal'!$B370,'GDP Deflator'!$B$5:$B$89,0))/100)</f>
        <v>9.1868892473767438</v>
      </c>
      <c r="G370" s="269">
        <f>'IEPR Gas Prices Real'!G370*(INDEX('GDP Deflator'!$C$5:$C$89,MATCH('IEPR Gas Prices Nominal'!$B370,'GDP Deflator'!$B$5:$B$89,0))/100)</f>
        <v>5.3468659994808965</v>
      </c>
      <c r="H370" s="270">
        <f>'IEPR Gas Prices Real'!H370*(INDEX('GDP Deflator'!$C$5:$C$89,MATCH('IEPR Gas Prices Nominal'!$B370,'GDP Deflator'!$B$5:$B$89,0))/100)</f>
        <v>14.533755246857639</v>
      </c>
      <c r="I370" s="269">
        <f>'IEPR Gas Prices Real'!I370*(INDEX('GDP Deflator'!$C$5:$C$89,MATCH('IEPR Gas Prices Nominal'!$B370,'GDP Deflator'!$B$5:$B$89,0))/100)</f>
        <v>9.6216828501999707</v>
      </c>
      <c r="J370" s="269">
        <f>'IEPR Gas Prices Real'!J370*(INDEX('GDP Deflator'!$C$5:$C$89,MATCH('IEPR Gas Prices Nominal'!$B370,'GDP Deflator'!$B$5:$B$89,0))/100)</f>
        <v>8.8404531926841781</v>
      </c>
      <c r="K370" s="269">
        <f>'IEPR Gas Prices Real'!K370*(INDEX('GDP Deflator'!$C$5:$C$89,MATCH('IEPR Gas Prices Nominal'!$B370,'GDP Deflator'!$B$5:$B$89,0))/100)</f>
        <v>18.462136042884151</v>
      </c>
      <c r="L370" s="268">
        <f>'IEPR Gas Prices Real'!L370*(INDEX('GDP Deflator'!$C$5:$C$89,MATCH('IEPR Gas Prices Nominal'!$B370,'GDP Deflator'!$B$5:$B$89,0))/100)</f>
        <v>9.9745759461643768</v>
      </c>
      <c r="M370" s="269">
        <f>'IEPR Gas Prices Real'!M370*(INDEX('GDP Deflator'!$C$5:$C$89,MATCH('IEPR Gas Prices Nominal'!$B370,'GDP Deflator'!$B$5:$B$89,0))/100)</f>
        <v>4.1749401536971069</v>
      </c>
      <c r="N370" s="270">
        <f>'IEPR Gas Prices Real'!N370*(INDEX('GDP Deflator'!$C$5:$C$89,MATCH('IEPR Gas Prices Nominal'!$B370,'GDP Deflator'!$B$5:$B$89,0))/100)</f>
        <v>14.149516099861485</v>
      </c>
      <c r="O370" s="1"/>
      <c r="P370" s="274">
        <f t="shared" si="32"/>
        <v>9.5943826812470316</v>
      </c>
      <c r="Q370" s="275">
        <f t="shared" si="36"/>
        <v>15.715135796534426</v>
      </c>
      <c r="R370" s="171"/>
    </row>
    <row r="371" spans="2:18">
      <c r="B371" s="94">
        <f t="shared" si="33"/>
        <v>2052</v>
      </c>
      <c r="C371" s="1">
        <f t="shared" si="34"/>
        <v>6</v>
      </c>
      <c r="D371" s="213">
        <v>55671</v>
      </c>
      <c r="E371" s="1" t="str">
        <f t="shared" si="35"/>
        <v>6-2052</v>
      </c>
      <c r="F371" s="268">
        <f>'IEPR Gas Prices Real'!F371*(INDEX('GDP Deflator'!$C$5:$C$89,MATCH('IEPR Gas Prices Nominal'!$B371,'GDP Deflator'!$B$5:$B$89,0))/100)</f>
        <v>9.4244833141165696</v>
      </c>
      <c r="G371" s="269">
        <f>'IEPR Gas Prices Real'!G371*(INDEX('GDP Deflator'!$C$5:$C$89,MATCH('IEPR Gas Prices Nominal'!$B371,'GDP Deflator'!$B$5:$B$89,0))/100)</f>
        <v>5.3468659994808965</v>
      </c>
      <c r="H371" s="270">
        <f>'IEPR Gas Prices Real'!H371*(INDEX('GDP Deflator'!$C$5:$C$89,MATCH('IEPR Gas Prices Nominal'!$B371,'GDP Deflator'!$B$5:$B$89,0))/100)</f>
        <v>14.771349313597467</v>
      </c>
      <c r="I371" s="269">
        <f>'IEPR Gas Prices Real'!I371*(INDEX('GDP Deflator'!$C$5:$C$89,MATCH('IEPR Gas Prices Nominal'!$B371,'GDP Deflator'!$B$5:$B$89,0))/100)</f>
        <v>9.8703777274358835</v>
      </c>
      <c r="J371" s="269">
        <f>'IEPR Gas Prices Real'!J371*(INDEX('GDP Deflator'!$C$5:$C$89,MATCH('IEPR Gas Prices Nominal'!$B371,'GDP Deflator'!$B$5:$B$89,0))/100)</f>
        <v>8.8404531926841781</v>
      </c>
      <c r="K371" s="269">
        <f>'IEPR Gas Prices Real'!K371*(INDEX('GDP Deflator'!$C$5:$C$89,MATCH('IEPR Gas Prices Nominal'!$B371,'GDP Deflator'!$B$5:$B$89,0))/100)</f>
        <v>18.710830920120063</v>
      </c>
      <c r="L371" s="268">
        <f>'IEPR Gas Prices Real'!L371*(INDEX('GDP Deflator'!$C$5:$C$89,MATCH('IEPR Gas Prices Nominal'!$B371,'GDP Deflator'!$B$5:$B$89,0))/100)</f>
        <v>10.232395819177469</v>
      </c>
      <c r="M371" s="269">
        <f>'IEPR Gas Prices Real'!M371*(INDEX('GDP Deflator'!$C$5:$C$89,MATCH('IEPR Gas Prices Nominal'!$B371,'GDP Deflator'!$B$5:$B$89,0))/100)</f>
        <v>4.1749401536971069</v>
      </c>
      <c r="N371" s="270">
        <f>'IEPR Gas Prices Real'!N371*(INDEX('GDP Deflator'!$C$5:$C$89,MATCH('IEPR Gas Prices Nominal'!$B371,'GDP Deflator'!$B$5:$B$89,0))/100)</f>
        <v>14.407335972874575</v>
      </c>
      <c r="O371" s="1"/>
      <c r="P371" s="274">
        <f t="shared" si="32"/>
        <v>9.8424189535766402</v>
      </c>
      <c r="Q371" s="275">
        <f t="shared" si="36"/>
        <v>15.963172068864035</v>
      </c>
      <c r="R371" s="171"/>
    </row>
    <row r="372" spans="2:18">
      <c r="B372" s="94">
        <f t="shared" si="33"/>
        <v>2052</v>
      </c>
      <c r="C372" s="1">
        <f t="shared" si="34"/>
        <v>7</v>
      </c>
      <c r="D372" s="213">
        <v>55701</v>
      </c>
      <c r="E372" s="1" t="str">
        <f t="shared" si="35"/>
        <v>7-2052</v>
      </c>
      <c r="F372" s="268">
        <f>'IEPR Gas Prices Real'!F372*(INDEX('GDP Deflator'!$C$5:$C$89,MATCH('IEPR Gas Prices Nominal'!$B372,'GDP Deflator'!$B$5:$B$89,0))/100)</f>
        <v>9.4993471092919286</v>
      </c>
      <c r="G372" s="269">
        <f>'IEPR Gas Prices Real'!G372*(INDEX('GDP Deflator'!$C$5:$C$89,MATCH('IEPR Gas Prices Nominal'!$B372,'GDP Deflator'!$B$5:$B$89,0))/100)</f>
        <v>5.3468659994808965</v>
      </c>
      <c r="H372" s="270">
        <f>'IEPR Gas Prices Real'!H372*(INDEX('GDP Deflator'!$C$5:$C$89,MATCH('IEPR Gas Prices Nominal'!$B372,'GDP Deflator'!$B$5:$B$89,0))/100)</f>
        <v>14.846213108772824</v>
      </c>
      <c r="I372" s="269">
        <f>'IEPR Gas Prices Real'!I372*(INDEX('GDP Deflator'!$C$5:$C$89,MATCH('IEPR Gas Prices Nominal'!$B372,'GDP Deflator'!$B$5:$B$89,0))/100)</f>
        <v>9.9486384004805224</v>
      </c>
      <c r="J372" s="269">
        <f>'IEPR Gas Prices Real'!J372*(INDEX('GDP Deflator'!$C$5:$C$89,MATCH('IEPR Gas Prices Nominal'!$B372,'GDP Deflator'!$B$5:$B$89,0))/100)</f>
        <v>8.8404531926841781</v>
      </c>
      <c r="K372" s="269">
        <f>'IEPR Gas Prices Real'!K372*(INDEX('GDP Deflator'!$C$5:$C$89,MATCH('IEPR Gas Prices Nominal'!$B372,'GDP Deflator'!$B$5:$B$89,0))/100)</f>
        <v>18.789091593164702</v>
      </c>
      <c r="L372" s="268">
        <f>'IEPR Gas Prices Real'!L372*(INDEX('GDP Deflator'!$C$5:$C$89,MATCH('IEPR Gas Prices Nominal'!$B372,'GDP Deflator'!$B$5:$B$89,0))/100)</f>
        <v>10.313530555094371</v>
      </c>
      <c r="M372" s="269">
        <f>'IEPR Gas Prices Real'!M372*(INDEX('GDP Deflator'!$C$5:$C$89,MATCH('IEPR Gas Prices Nominal'!$B372,'GDP Deflator'!$B$5:$B$89,0))/100)</f>
        <v>4.1749401536971069</v>
      </c>
      <c r="N372" s="270">
        <f>'IEPR Gas Prices Real'!N372*(INDEX('GDP Deflator'!$C$5:$C$89,MATCH('IEPR Gas Prices Nominal'!$B372,'GDP Deflator'!$B$5:$B$89,0))/100)</f>
        <v>14.488470708791477</v>
      </c>
      <c r="O372" s="1"/>
      <c r="P372" s="274">
        <f t="shared" si="32"/>
        <v>9.9205053549556066</v>
      </c>
      <c r="Q372" s="275">
        <f t="shared" si="36"/>
        <v>16.041258470243001</v>
      </c>
      <c r="R372" s="171"/>
    </row>
    <row r="373" spans="2:18">
      <c r="B373" s="94">
        <f t="shared" si="33"/>
        <v>2052</v>
      </c>
      <c r="C373" s="1">
        <f t="shared" si="34"/>
        <v>8</v>
      </c>
      <c r="D373" s="213">
        <v>55732</v>
      </c>
      <c r="E373" s="1" t="str">
        <f t="shared" si="35"/>
        <v>8-2052</v>
      </c>
      <c r="F373" s="268">
        <f>'IEPR Gas Prices Real'!F373*(INDEX('GDP Deflator'!$C$5:$C$89,MATCH('IEPR Gas Prices Nominal'!$B373,'GDP Deflator'!$B$5:$B$89,0))/100)</f>
        <v>9.4260679876419946</v>
      </c>
      <c r="G373" s="269">
        <f>'IEPR Gas Prices Real'!G373*(INDEX('GDP Deflator'!$C$5:$C$89,MATCH('IEPR Gas Prices Nominal'!$B373,'GDP Deflator'!$B$5:$B$89,0))/100)</f>
        <v>5.3468659994808965</v>
      </c>
      <c r="H373" s="270">
        <f>'IEPR Gas Prices Real'!H373*(INDEX('GDP Deflator'!$C$5:$C$89,MATCH('IEPR Gas Prices Nominal'!$B373,'GDP Deflator'!$B$5:$B$89,0))/100)</f>
        <v>14.772933987122892</v>
      </c>
      <c r="I373" s="269">
        <f>'IEPR Gas Prices Real'!I373*(INDEX('GDP Deflator'!$C$5:$C$89,MATCH('IEPR Gas Prices Nominal'!$B373,'GDP Deflator'!$B$5:$B$89,0))/100)</f>
        <v>9.8717493973486352</v>
      </c>
      <c r="J373" s="269">
        <f>'IEPR Gas Prices Real'!J373*(INDEX('GDP Deflator'!$C$5:$C$89,MATCH('IEPR Gas Prices Nominal'!$B373,'GDP Deflator'!$B$5:$B$89,0))/100)</f>
        <v>8.8404531926841781</v>
      </c>
      <c r="K373" s="269">
        <f>'IEPR Gas Prices Real'!K373*(INDEX('GDP Deflator'!$C$5:$C$89,MATCH('IEPR Gas Prices Nominal'!$B373,'GDP Deflator'!$B$5:$B$89,0))/100)</f>
        <v>18.712202590032813</v>
      </c>
      <c r="L373" s="268">
        <f>'IEPR Gas Prices Real'!L373*(INDEX('GDP Deflator'!$C$5:$C$89,MATCH('IEPR Gas Prices Nominal'!$B373,'GDP Deflator'!$B$5:$B$89,0))/100)</f>
        <v>10.233825098309989</v>
      </c>
      <c r="M373" s="269">
        <f>'IEPR Gas Prices Real'!M373*(INDEX('GDP Deflator'!$C$5:$C$89,MATCH('IEPR Gas Prices Nominal'!$B373,'GDP Deflator'!$B$5:$B$89,0))/100)</f>
        <v>4.1749401536971069</v>
      </c>
      <c r="N373" s="270">
        <f>'IEPR Gas Prices Real'!N373*(INDEX('GDP Deflator'!$C$5:$C$89,MATCH('IEPR Gas Prices Nominal'!$B373,'GDP Deflator'!$B$5:$B$89,0))/100)</f>
        <v>14.408765252007099</v>
      </c>
      <c r="O373" s="1"/>
      <c r="P373" s="274">
        <f t="shared" si="32"/>
        <v>9.8438808277668723</v>
      </c>
      <c r="Q373" s="275">
        <f t="shared" si="36"/>
        <v>15.964633943054269</v>
      </c>
      <c r="R373" s="171"/>
    </row>
    <row r="374" spans="2:18">
      <c r="B374" s="94">
        <f t="shared" si="33"/>
        <v>2052</v>
      </c>
      <c r="C374" s="1">
        <f t="shared" si="34"/>
        <v>9</v>
      </c>
      <c r="D374" s="213">
        <v>55763</v>
      </c>
      <c r="E374" s="1" t="str">
        <f t="shared" si="35"/>
        <v>9-2052</v>
      </c>
      <c r="F374" s="268">
        <f>'IEPR Gas Prices Real'!F374*(INDEX('GDP Deflator'!$C$5:$C$89,MATCH('IEPR Gas Prices Nominal'!$B374,'GDP Deflator'!$B$5:$B$89,0))/100)</f>
        <v>9.5587499509135814</v>
      </c>
      <c r="G374" s="269">
        <f>'IEPR Gas Prices Real'!G374*(INDEX('GDP Deflator'!$C$5:$C$89,MATCH('IEPR Gas Prices Nominal'!$B374,'GDP Deflator'!$B$5:$B$89,0))/100)</f>
        <v>5.3468659994808965</v>
      </c>
      <c r="H374" s="270">
        <f>'IEPR Gas Prices Real'!H374*(INDEX('GDP Deflator'!$C$5:$C$89,MATCH('IEPR Gas Prices Nominal'!$B374,'GDP Deflator'!$B$5:$B$89,0))/100)</f>
        <v>14.905615950394477</v>
      </c>
      <c r="I374" s="269">
        <f>'IEPR Gas Prices Real'!I374*(INDEX('GDP Deflator'!$C$5:$C$89,MATCH('IEPR Gas Prices Nominal'!$B374,'GDP Deflator'!$B$5:$B$89,0))/100)</f>
        <v>10.010558772115731</v>
      </c>
      <c r="J374" s="269">
        <f>'IEPR Gas Prices Real'!J374*(INDEX('GDP Deflator'!$C$5:$C$89,MATCH('IEPR Gas Prices Nominal'!$B374,'GDP Deflator'!$B$5:$B$89,0))/100)</f>
        <v>8.8404531926841781</v>
      </c>
      <c r="K374" s="269">
        <f>'IEPR Gas Prices Real'!K374*(INDEX('GDP Deflator'!$C$5:$C$89,MATCH('IEPR Gas Prices Nominal'!$B374,'GDP Deflator'!$B$5:$B$89,0))/100)</f>
        <v>18.851011964799913</v>
      </c>
      <c r="L374" s="268">
        <f>'IEPR Gas Prices Real'!L374*(INDEX('GDP Deflator'!$C$5:$C$89,MATCH('IEPR Gas Prices Nominal'!$B374,'GDP Deflator'!$B$5:$B$89,0))/100)</f>
        <v>10.37772942070135</v>
      </c>
      <c r="M374" s="269">
        <f>'IEPR Gas Prices Real'!M374*(INDEX('GDP Deflator'!$C$5:$C$89,MATCH('IEPR Gas Prices Nominal'!$B374,'GDP Deflator'!$B$5:$B$89,0))/100)</f>
        <v>4.1749401536971069</v>
      </c>
      <c r="N374" s="270">
        <f>'IEPR Gas Prices Real'!N374*(INDEX('GDP Deflator'!$C$5:$C$89,MATCH('IEPR Gas Prices Nominal'!$B374,'GDP Deflator'!$B$5:$B$89,0))/100)</f>
        <v>14.552669574398458</v>
      </c>
      <c r="O374" s="1"/>
      <c r="P374" s="274">
        <f t="shared" si="32"/>
        <v>9.9823460479102213</v>
      </c>
      <c r="Q374" s="275">
        <f t="shared" si="36"/>
        <v>16.103099163197616</v>
      </c>
      <c r="R374" s="171"/>
    </row>
    <row r="375" spans="2:18">
      <c r="B375" s="94">
        <f t="shared" si="33"/>
        <v>2052</v>
      </c>
      <c r="C375" s="1">
        <f t="shared" si="34"/>
        <v>10</v>
      </c>
      <c r="D375" s="213">
        <v>55793</v>
      </c>
      <c r="E375" s="1" t="str">
        <f t="shared" si="35"/>
        <v>10-2052</v>
      </c>
      <c r="F375" s="268">
        <f>'IEPR Gas Prices Real'!F375*(INDEX('GDP Deflator'!$C$5:$C$89,MATCH('IEPR Gas Prices Nominal'!$B375,'GDP Deflator'!$B$5:$B$89,0))/100)</f>
        <v>9.5037631273538477</v>
      </c>
      <c r="G375" s="269">
        <f>'IEPR Gas Prices Real'!G375*(INDEX('GDP Deflator'!$C$5:$C$89,MATCH('IEPR Gas Prices Nominal'!$B375,'GDP Deflator'!$B$5:$B$89,0))/100)</f>
        <v>5.3468659994808965</v>
      </c>
      <c r="H375" s="270">
        <f>'IEPR Gas Prices Real'!H375*(INDEX('GDP Deflator'!$C$5:$C$89,MATCH('IEPR Gas Prices Nominal'!$B375,'GDP Deflator'!$B$5:$B$89,0))/100)</f>
        <v>14.850629126834745</v>
      </c>
      <c r="I375" s="269">
        <f>'IEPR Gas Prices Real'!I375*(INDEX('GDP Deflator'!$C$5:$C$89,MATCH('IEPR Gas Prices Nominal'!$B375,'GDP Deflator'!$B$5:$B$89,0))/100)</f>
        <v>9.9528277138902368</v>
      </c>
      <c r="J375" s="269">
        <f>'IEPR Gas Prices Real'!J375*(INDEX('GDP Deflator'!$C$5:$C$89,MATCH('IEPR Gas Prices Nominal'!$B375,'GDP Deflator'!$B$5:$B$89,0))/100)</f>
        <v>8.8404531926841781</v>
      </c>
      <c r="K375" s="269">
        <f>'IEPR Gas Prices Real'!K375*(INDEX('GDP Deflator'!$C$5:$C$89,MATCH('IEPR Gas Prices Nominal'!$B375,'GDP Deflator'!$B$5:$B$89,0))/100)</f>
        <v>18.793280906574417</v>
      </c>
      <c r="L375" s="268">
        <f>'IEPR Gas Prices Real'!L375*(INDEX('GDP Deflator'!$C$5:$C$89,MATCH('IEPR Gas Prices Nominal'!$B375,'GDP Deflator'!$B$5:$B$89,0))/100)</f>
        <v>10.317884564181234</v>
      </c>
      <c r="M375" s="269">
        <f>'IEPR Gas Prices Real'!M375*(INDEX('GDP Deflator'!$C$5:$C$89,MATCH('IEPR Gas Prices Nominal'!$B375,'GDP Deflator'!$B$5:$B$89,0))/100)</f>
        <v>4.1749401536971069</v>
      </c>
      <c r="N375" s="270">
        <f>'IEPR Gas Prices Real'!N375*(INDEX('GDP Deflator'!$C$5:$C$89,MATCH('IEPR Gas Prices Nominal'!$B375,'GDP Deflator'!$B$5:$B$89,0))/100)</f>
        <v>14.492824717878342</v>
      </c>
      <c r="O375" s="1"/>
      <c r="P375" s="274">
        <f t="shared" si="32"/>
        <v>9.9248251351417736</v>
      </c>
      <c r="Q375" s="275">
        <f t="shared" si="36"/>
        <v>16.04557825042917</v>
      </c>
      <c r="R375" s="171"/>
    </row>
    <row r="376" spans="2:18">
      <c r="B376" s="94">
        <f t="shared" si="33"/>
        <v>2052</v>
      </c>
      <c r="C376" s="1">
        <f t="shared" si="34"/>
        <v>11</v>
      </c>
      <c r="D376" s="213">
        <v>55824</v>
      </c>
      <c r="E376" s="1" t="str">
        <f t="shared" si="35"/>
        <v>11-2052</v>
      </c>
      <c r="F376" s="268">
        <f>'IEPR Gas Prices Real'!F376*(INDEX('GDP Deflator'!$C$5:$C$89,MATCH('IEPR Gas Prices Nominal'!$B376,'GDP Deflator'!$B$5:$B$89,0))/100)</f>
        <v>9.9736044077665351</v>
      </c>
      <c r="G376" s="269">
        <f>'IEPR Gas Prices Real'!G376*(INDEX('GDP Deflator'!$C$5:$C$89,MATCH('IEPR Gas Prices Nominal'!$B376,'GDP Deflator'!$B$5:$B$89,0))/100)</f>
        <v>5.3468659994808965</v>
      </c>
      <c r="H376" s="270">
        <f>'IEPR Gas Prices Real'!H376*(INDEX('GDP Deflator'!$C$5:$C$89,MATCH('IEPR Gas Prices Nominal'!$B376,'GDP Deflator'!$B$5:$B$89,0))/100)</f>
        <v>15.320470407247431</v>
      </c>
      <c r="I376" s="269">
        <f>'IEPR Gas Prices Real'!I376*(INDEX('GDP Deflator'!$C$5:$C$89,MATCH('IEPR Gas Prices Nominal'!$B376,'GDP Deflator'!$B$5:$B$89,0))/100)</f>
        <v>10.444717190163718</v>
      </c>
      <c r="J376" s="269">
        <f>'IEPR Gas Prices Real'!J376*(INDEX('GDP Deflator'!$C$5:$C$89,MATCH('IEPR Gas Prices Nominal'!$B376,'GDP Deflator'!$B$5:$B$89,0))/100)</f>
        <v>8.8404531926841781</v>
      </c>
      <c r="K376" s="269">
        <f>'IEPR Gas Prices Real'!K376*(INDEX('GDP Deflator'!$C$5:$C$89,MATCH('IEPR Gas Prices Nominal'!$B376,'GDP Deflator'!$B$5:$B$89,0))/100)</f>
        <v>19.285170382847898</v>
      </c>
      <c r="L376" s="268">
        <f>'IEPR Gas Prices Real'!L376*(INDEX('GDP Deflator'!$C$5:$C$89,MATCH('IEPR Gas Prices Nominal'!$B376,'GDP Deflator'!$B$5:$B$89,0))/100)</f>
        <v>10.827819773562835</v>
      </c>
      <c r="M376" s="269">
        <f>'IEPR Gas Prices Real'!M376*(INDEX('GDP Deflator'!$C$5:$C$89,MATCH('IEPR Gas Prices Nominal'!$B376,'GDP Deflator'!$B$5:$B$89,0))/100)</f>
        <v>4.1749401536971069</v>
      </c>
      <c r="N376" s="270">
        <f>'IEPR Gas Prices Real'!N376*(INDEX('GDP Deflator'!$C$5:$C$89,MATCH('IEPR Gas Prices Nominal'!$B376,'GDP Deflator'!$B$5:$B$89,0))/100)</f>
        <v>15.002759927259941</v>
      </c>
      <c r="O376" s="1"/>
      <c r="P376" s="274">
        <f t="shared" si="32"/>
        <v>10.415380457164362</v>
      </c>
      <c r="Q376" s="275">
        <f t="shared" si="36"/>
        <v>16.536133572451757</v>
      </c>
      <c r="R376" s="171"/>
    </row>
    <row r="377" spans="2:18">
      <c r="B377" s="94">
        <f t="shared" si="33"/>
        <v>2052</v>
      </c>
      <c r="C377" s="1">
        <f t="shared" si="34"/>
        <v>12</v>
      </c>
      <c r="D377" s="213">
        <v>55854</v>
      </c>
      <c r="E377" s="1" t="str">
        <f t="shared" si="35"/>
        <v>12-2052</v>
      </c>
      <c r="F377" s="268">
        <f>'IEPR Gas Prices Real'!F377*(INDEX('GDP Deflator'!$C$5:$C$89,MATCH('IEPR Gas Prices Nominal'!$B377,'GDP Deflator'!$B$5:$B$89,0))/100)</f>
        <v>10.053927916696988</v>
      </c>
      <c r="G377" s="269">
        <f>'IEPR Gas Prices Real'!G377*(INDEX('GDP Deflator'!$C$5:$C$89,MATCH('IEPR Gas Prices Nominal'!$B377,'GDP Deflator'!$B$5:$B$89,0))/100)</f>
        <v>5.3468659994808965</v>
      </c>
      <c r="H377" s="270">
        <f>'IEPR Gas Prices Real'!H377*(INDEX('GDP Deflator'!$C$5:$C$89,MATCH('IEPR Gas Prices Nominal'!$B377,'GDP Deflator'!$B$5:$B$89,0))/100)</f>
        <v>15.400793916177886</v>
      </c>
      <c r="I377" s="269">
        <f>'IEPR Gas Prices Real'!I377*(INDEX('GDP Deflator'!$C$5:$C$89,MATCH('IEPR Gas Prices Nominal'!$B377,'GDP Deflator'!$B$5:$B$89,0))/100)</f>
        <v>10.528681233205132</v>
      </c>
      <c r="J377" s="269">
        <f>'IEPR Gas Prices Real'!J377*(INDEX('GDP Deflator'!$C$5:$C$89,MATCH('IEPR Gas Prices Nominal'!$B377,'GDP Deflator'!$B$5:$B$89,0))/100)</f>
        <v>8.8404531926841781</v>
      </c>
      <c r="K377" s="269">
        <f>'IEPR Gas Prices Real'!K377*(INDEX('GDP Deflator'!$C$5:$C$89,MATCH('IEPR Gas Prices Nominal'!$B377,'GDP Deflator'!$B$5:$B$89,0))/100)</f>
        <v>19.36913442588931</v>
      </c>
      <c r="L377" s="268">
        <f>'IEPR Gas Prices Real'!L377*(INDEX('GDP Deflator'!$C$5:$C$89,MATCH('IEPR Gas Prices Nominal'!$B377,'GDP Deflator'!$B$5:$B$89,0))/100)</f>
        <v>10.914867434792805</v>
      </c>
      <c r="M377" s="269">
        <f>'IEPR Gas Prices Real'!M377*(INDEX('GDP Deflator'!$C$5:$C$89,MATCH('IEPR Gas Prices Nominal'!$B377,'GDP Deflator'!$B$5:$B$89,0))/100)</f>
        <v>4.1749401536971069</v>
      </c>
      <c r="N377" s="270">
        <f>'IEPR Gas Prices Real'!N377*(INDEX('GDP Deflator'!$C$5:$C$89,MATCH('IEPR Gas Prices Nominal'!$B377,'GDP Deflator'!$B$5:$B$89,0))/100)</f>
        <v>15.089807588489915</v>
      </c>
      <c r="O377" s="1"/>
      <c r="P377" s="274">
        <f t="shared" si="32"/>
        <v>10.499158861564974</v>
      </c>
      <c r="Q377" s="275">
        <f t="shared" si="36"/>
        <v>16.619911976852368</v>
      </c>
      <c r="R377" s="171"/>
    </row>
    <row r="378" spans="2:18">
      <c r="B378" s="94">
        <f t="shared" si="33"/>
        <v>2053</v>
      </c>
      <c r="C378" s="1">
        <f t="shared" si="34"/>
        <v>1</v>
      </c>
      <c r="D378" s="213">
        <v>55885</v>
      </c>
      <c r="E378" s="1" t="str">
        <f t="shared" si="35"/>
        <v>1-2053</v>
      </c>
      <c r="F378" s="268">
        <f>'IEPR Gas Prices Real'!F378*(INDEX('GDP Deflator'!$C$5:$C$89,MATCH('IEPR Gas Prices Nominal'!$B378,'GDP Deflator'!$B$5:$B$89,0))/100)</f>
        <v>10.263337290123351</v>
      </c>
      <c r="G378" s="269">
        <f>'IEPR Gas Prices Real'!G378*(INDEX('GDP Deflator'!$C$5:$C$89,MATCH('IEPR Gas Prices Nominal'!$B378,'GDP Deflator'!$B$5:$B$89,0))/100)</f>
        <v>5.67538347585403</v>
      </c>
      <c r="H378" s="270">
        <f>'IEPR Gas Prices Real'!H378*(INDEX('GDP Deflator'!$C$5:$C$89,MATCH('IEPR Gas Prices Nominal'!$B378,'GDP Deflator'!$B$5:$B$89,0))/100)</f>
        <v>15.938720765977381</v>
      </c>
      <c r="I378" s="269">
        <f>'IEPR Gas Prices Real'!I378*(INDEX('GDP Deflator'!$C$5:$C$89,MATCH('IEPR Gas Prices Nominal'!$B378,'GDP Deflator'!$B$5:$B$89,0))/100)</f>
        <v>10.747855126383666</v>
      </c>
      <c r="J378" s="269">
        <f>'IEPR Gas Prices Real'!J378*(INDEX('GDP Deflator'!$C$5:$C$89,MATCH('IEPR Gas Prices Nominal'!$B378,'GDP Deflator'!$B$5:$B$89,0))/100)</f>
        <v>9.3848394270926541</v>
      </c>
      <c r="K378" s="269">
        <f>'IEPR Gas Prices Real'!K378*(INDEX('GDP Deflator'!$C$5:$C$89,MATCH('IEPR Gas Prices Nominal'!$B378,'GDP Deflator'!$B$5:$B$89,0))/100)</f>
        <v>20.13269455347632</v>
      </c>
      <c r="L378" s="268">
        <f>'IEPR Gas Prices Real'!L378*(INDEX('GDP Deflator'!$C$5:$C$89,MATCH('IEPR Gas Prices Nominal'!$B378,'GDP Deflator'!$B$5:$B$89,0))/100)</f>
        <v>11.142081888204629</v>
      </c>
      <c r="M378" s="269">
        <f>'IEPR Gas Prices Real'!M378*(INDEX('GDP Deflator'!$C$5:$C$89,MATCH('IEPR Gas Prices Nominal'!$B378,'GDP Deflator'!$B$5:$B$89,0))/100)</f>
        <v>4.4320287779582177</v>
      </c>
      <c r="N378" s="270">
        <f>'IEPR Gas Prices Real'!N378*(INDEX('GDP Deflator'!$C$5:$C$89,MATCH('IEPR Gas Prices Nominal'!$B378,'GDP Deflator'!$B$5:$B$89,0))/100)</f>
        <v>15.574110666162845</v>
      </c>
      <c r="O378" s="1"/>
      <c r="P378" s="274">
        <f t="shared" si="32"/>
        <v>10.717758101570547</v>
      </c>
      <c r="Q378" s="275">
        <f t="shared" si="36"/>
        <v>17.215175328538848</v>
      </c>
      <c r="R378" s="171"/>
    </row>
    <row r="379" spans="2:18">
      <c r="B379" s="94">
        <f t="shared" si="33"/>
        <v>2053</v>
      </c>
      <c r="C379" s="1">
        <f t="shared" si="34"/>
        <v>2</v>
      </c>
      <c r="D379" s="213">
        <v>55916</v>
      </c>
      <c r="E379" s="1" t="str">
        <f t="shared" si="35"/>
        <v>2-2053</v>
      </c>
      <c r="F379" s="268">
        <f>'IEPR Gas Prices Real'!F379*(INDEX('GDP Deflator'!$C$5:$C$89,MATCH('IEPR Gas Prices Nominal'!$B379,'GDP Deflator'!$B$5:$B$89,0))/100)</f>
        <v>10.038509391983769</v>
      </c>
      <c r="G379" s="269">
        <f>'IEPR Gas Prices Real'!G379*(INDEX('GDP Deflator'!$C$5:$C$89,MATCH('IEPR Gas Prices Nominal'!$B379,'GDP Deflator'!$B$5:$B$89,0))/100)</f>
        <v>5.67538347585403</v>
      </c>
      <c r="H379" s="270">
        <f>'IEPR Gas Prices Real'!H379*(INDEX('GDP Deflator'!$C$5:$C$89,MATCH('IEPR Gas Prices Nominal'!$B379,'GDP Deflator'!$B$5:$B$89,0))/100)</f>
        <v>15.713892867837799</v>
      </c>
      <c r="I379" s="269">
        <f>'IEPR Gas Prices Real'!I379*(INDEX('GDP Deflator'!$C$5:$C$89,MATCH('IEPR Gas Prices Nominal'!$B379,'GDP Deflator'!$B$5:$B$89,0))/100)</f>
        <v>10.512292192983127</v>
      </c>
      <c r="J379" s="269">
        <f>'IEPR Gas Prices Real'!J379*(INDEX('GDP Deflator'!$C$5:$C$89,MATCH('IEPR Gas Prices Nominal'!$B379,'GDP Deflator'!$B$5:$B$89,0))/100)</f>
        <v>9.3848394270926541</v>
      </c>
      <c r="K379" s="269">
        <f>'IEPR Gas Prices Real'!K379*(INDEX('GDP Deflator'!$C$5:$C$89,MATCH('IEPR Gas Prices Nominal'!$B379,'GDP Deflator'!$B$5:$B$89,0))/100)</f>
        <v>19.897131620075783</v>
      </c>
      <c r="L379" s="268">
        <f>'IEPR Gas Prices Real'!L379*(INDEX('GDP Deflator'!$C$5:$C$89,MATCH('IEPR Gas Prices Nominal'!$B379,'GDP Deflator'!$B$5:$B$89,0))/100)</f>
        <v>10.897879959330268</v>
      </c>
      <c r="M379" s="269">
        <f>'IEPR Gas Prices Real'!M379*(INDEX('GDP Deflator'!$C$5:$C$89,MATCH('IEPR Gas Prices Nominal'!$B379,'GDP Deflator'!$B$5:$B$89,0))/100)</f>
        <v>4.4320287779582177</v>
      </c>
      <c r="N379" s="270">
        <f>'IEPR Gas Prices Real'!N379*(INDEX('GDP Deflator'!$C$5:$C$89,MATCH('IEPR Gas Prices Nominal'!$B379,'GDP Deflator'!$B$5:$B$89,0))/100)</f>
        <v>15.329908737288486</v>
      </c>
      <c r="O379" s="1"/>
      <c r="P379" s="274">
        <f t="shared" si="32"/>
        <v>10.482893848099055</v>
      </c>
      <c r="Q379" s="275">
        <f t="shared" si="36"/>
        <v>16.980311075067355</v>
      </c>
      <c r="R379" s="171"/>
    </row>
    <row r="380" spans="2:18">
      <c r="B380" s="94">
        <f t="shared" si="33"/>
        <v>2053</v>
      </c>
      <c r="C380" s="1">
        <f t="shared" si="34"/>
        <v>3</v>
      </c>
      <c r="D380" s="213">
        <v>55944</v>
      </c>
      <c r="E380" s="1" t="str">
        <f t="shared" si="35"/>
        <v>3-2053</v>
      </c>
      <c r="F380" s="268">
        <f>'IEPR Gas Prices Real'!F380*(INDEX('GDP Deflator'!$C$5:$C$89,MATCH('IEPR Gas Prices Nominal'!$B380,'GDP Deflator'!$B$5:$B$89,0))/100)</f>
        <v>9.2155579126698708</v>
      </c>
      <c r="G380" s="269">
        <f>'IEPR Gas Prices Real'!G380*(INDEX('GDP Deflator'!$C$5:$C$89,MATCH('IEPR Gas Prices Nominal'!$B380,'GDP Deflator'!$B$5:$B$89,0))/100)</f>
        <v>5.67538347585403</v>
      </c>
      <c r="H380" s="270">
        <f>'IEPR Gas Prices Real'!H380*(INDEX('GDP Deflator'!$C$5:$C$89,MATCH('IEPR Gas Prices Nominal'!$B380,'GDP Deflator'!$B$5:$B$89,0))/100)</f>
        <v>14.890941388523901</v>
      </c>
      <c r="I380" s="269">
        <f>'IEPR Gas Prices Real'!I380*(INDEX('GDP Deflator'!$C$5:$C$89,MATCH('IEPR Gas Prices Nominal'!$B380,'GDP Deflator'!$B$5:$B$89,0))/100)</f>
        <v>9.6503889693171647</v>
      </c>
      <c r="J380" s="269">
        <f>'IEPR Gas Prices Real'!J380*(INDEX('GDP Deflator'!$C$5:$C$89,MATCH('IEPR Gas Prices Nominal'!$B380,'GDP Deflator'!$B$5:$B$89,0))/100)</f>
        <v>9.3848394270926541</v>
      </c>
      <c r="K380" s="269">
        <f>'IEPR Gas Prices Real'!K380*(INDEX('GDP Deflator'!$C$5:$C$89,MATCH('IEPR Gas Prices Nominal'!$B380,'GDP Deflator'!$B$5:$B$89,0))/100)</f>
        <v>19.035228396409817</v>
      </c>
      <c r="L380" s="268">
        <f>'IEPR Gas Prices Real'!L380*(INDEX('GDP Deflator'!$C$5:$C$89,MATCH('IEPR Gas Prices Nominal'!$B380,'GDP Deflator'!$B$5:$B$89,0))/100)</f>
        <v>10.004363622563821</v>
      </c>
      <c r="M380" s="269">
        <f>'IEPR Gas Prices Real'!M380*(INDEX('GDP Deflator'!$C$5:$C$89,MATCH('IEPR Gas Prices Nominal'!$B380,'GDP Deflator'!$B$5:$B$89,0))/100)</f>
        <v>4.4320287779582177</v>
      </c>
      <c r="N380" s="270">
        <f>'IEPR Gas Prices Real'!N380*(INDEX('GDP Deflator'!$C$5:$C$89,MATCH('IEPR Gas Prices Nominal'!$B380,'GDP Deflator'!$B$5:$B$89,0))/100)</f>
        <v>14.436392400522038</v>
      </c>
      <c r="O380" s="1"/>
      <c r="P380" s="274">
        <f t="shared" si="32"/>
        <v>9.6234368348502866</v>
      </c>
      <c r="Q380" s="275">
        <f t="shared" si="36"/>
        <v>16.120854061818587</v>
      </c>
      <c r="R380" s="171"/>
    </row>
    <row r="381" spans="2:18">
      <c r="B381" s="94">
        <f t="shared" si="33"/>
        <v>2053</v>
      </c>
      <c r="C381" s="1">
        <f t="shared" si="34"/>
        <v>4</v>
      </c>
      <c r="D381" s="213">
        <v>55975</v>
      </c>
      <c r="E381" s="1" t="str">
        <f t="shared" si="35"/>
        <v>4-2053</v>
      </c>
      <c r="F381" s="268">
        <f>'IEPR Gas Prices Real'!F381*(INDEX('GDP Deflator'!$C$5:$C$89,MATCH('IEPR Gas Prices Nominal'!$B381,'GDP Deflator'!$B$5:$B$89,0))/100)</f>
        <v>9.058927482803</v>
      </c>
      <c r="G381" s="269">
        <f>'IEPR Gas Prices Real'!G381*(INDEX('GDP Deflator'!$C$5:$C$89,MATCH('IEPR Gas Prices Nominal'!$B381,'GDP Deflator'!$B$5:$B$89,0))/100)</f>
        <v>5.67538347585403</v>
      </c>
      <c r="H381" s="270">
        <f>'IEPR Gas Prices Real'!H381*(INDEX('GDP Deflator'!$C$5:$C$89,MATCH('IEPR Gas Prices Nominal'!$B381,'GDP Deflator'!$B$5:$B$89,0))/100)</f>
        <v>14.73431095865703</v>
      </c>
      <c r="I381" s="269">
        <f>'IEPR Gas Prices Real'!I381*(INDEX('GDP Deflator'!$C$5:$C$89,MATCH('IEPR Gas Prices Nominal'!$B381,'GDP Deflator'!$B$5:$B$89,0))/100)</f>
        <v>9.486258614151069</v>
      </c>
      <c r="J381" s="269">
        <f>'IEPR Gas Prices Real'!J381*(INDEX('GDP Deflator'!$C$5:$C$89,MATCH('IEPR Gas Prices Nominal'!$B381,'GDP Deflator'!$B$5:$B$89,0))/100)</f>
        <v>9.3848394270926541</v>
      </c>
      <c r="K381" s="269">
        <f>'IEPR Gas Prices Real'!K381*(INDEX('GDP Deflator'!$C$5:$C$89,MATCH('IEPR Gas Prices Nominal'!$B381,'GDP Deflator'!$B$5:$B$89,0))/100)</f>
        <v>18.871098041243723</v>
      </c>
      <c r="L381" s="268">
        <f>'IEPR Gas Prices Real'!L381*(INDEX('GDP Deflator'!$C$5:$C$89,MATCH('IEPR Gas Prices Nominal'!$B381,'GDP Deflator'!$B$5:$B$89,0))/100)</f>
        <v>9.8342142144296059</v>
      </c>
      <c r="M381" s="269">
        <f>'IEPR Gas Prices Real'!M381*(INDEX('GDP Deflator'!$C$5:$C$89,MATCH('IEPR Gas Prices Nominal'!$B381,'GDP Deflator'!$B$5:$B$89,0))/100)</f>
        <v>4.4320287779582177</v>
      </c>
      <c r="N381" s="270">
        <f>'IEPR Gas Prices Real'!N381*(INDEX('GDP Deflator'!$C$5:$C$89,MATCH('IEPR Gas Prices Nominal'!$B381,'GDP Deflator'!$B$5:$B$89,0))/100)</f>
        <v>14.266242992387822</v>
      </c>
      <c r="O381" s="1"/>
      <c r="P381" s="274">
        <f t="shared" si="32"/>
        <v>9.4598001037945583</v>
      </c>
      <c r="Q381" s="275">
        <f t="shared" si="36"/>
        <v>15.957217330762859</v>
      </c>
      <c r="R381" s="171"/>
    </row>
    <row r="382" spans="2:18">
      <c r="B382" s="94">
        <f t="shared" si="33"/>
        <v>2053</v>
      </c>
      <c r="C382" s="1">
        <f t="shared" si="34"/>
        <v>5</v>
      </c>
      <c r="D382" s="213">
        <v>56005</v>
      </c>
      <c r="E382" s="1" t="str">
        <f t="shared" si="35"/>
        <v>5-2053</v>
      </c>
      <c r="F382" s="268">
        <f>'IEPR Gas Prices Real'!F382*(INDEX('GDP Deflator'!$C$5:$C$89,MATCH('IEPR Gas Prices Nominal'!$B382,'GDP Deflator'!$B$5:$B$89,0))/100)</f>
        <v>9.3743874912025671</v>
      </c>
      <c r="G382" s="269">
        <f>'IEPR Gas Prices Real'!G382*(INDEX('GDP Deflator'!$C$5:$C$89,MATCH('IEPR Gas Prices Nominal'!$B382,'GDP Deflator'!$B$5:$B$89,0))/100)</f>
        <v>5.67538347585403</v>
      </c>
      <c r="H382" s="270">
        <f>'IEPR Gas Prices Real'!H382*(INDEX('GDP Deflator'!$C$5:$C$89,MATCH('IEPR Gas Prices Nominal'!$B382,'GDP Deflator'!$B$5:$B$89,0))/100)</f>
        <v>15.049770967056597</v>
      </c>
      <c r="I382" s="269">
        <f>'IEPR Gas Prices Real'!I382*(INDEX('GDP Deflator'!$C$5:$C$89,MATCH('IEPR Gas Prices Nominal'!$B382,'GDP Deflator'!$B$5:$B$89,0))/100)</f>
        <v>9.8164864016217805</v>
      </c>
      <c r="J382" s="269">
        <f>'IEPR Gas Prices Real'!J382*(INDEX('GDP Deflator'!$C$5:$C$89,MATCH('IEPR Gas Prices Nominal'!$B382,'GDP Deflator'!$B$5:$B$89,0))/100)</f>
        <v>9.3848394270926541</v>
      </c>
      <c r="K382" s="269">
        <f>'IEPR Gas Prices Real'!K382*(INDEX('GDP Deflator'!$C$5:$C$89,MATCH('IEPR Gas Prices Nominal'!$B382,'GDP Deflator'!$B$5:$B$89,0))/100)</f>
        <v>19.201325828714435</v>
      </c>
      <c r="L382" s="268">
        <f>'IEPR Gas Prices Real'!L382*(INDEX('GDP Deflator'!$C$5:$C$89,MATCH('IEPR Gas Prices Nominal'!$B382,'GDP Deflator'!$B$5:$B$89,0))/100)</f>
        <v>10.176556008010923</v>
      </c>
      <c r="M382" s="269">
        <f>'IEPR Gas Prices Real'!M382*(INDEX('GDP Deflator'!$C$5:$C$89,MATCH('IEPR Gas Prices Nominal'!$B382,'GDP Deflator'!$B$5:$B$89,0))/100)</f>
        <v>4.4320287779582177</v>
      </c>
      <c r="N382" s="270">
        <f>'IEPR Gas Prices Real'!N382*(INDEX('GDP Deflator'!$C$5:$C$89,MATCH('IEPR Gas Prices Nominal'!$B382,'GDP Deflator'!$B$5:$B$89,0))/100)</f>
        <v>14.608584785969141</v>
      </c>
      <c r="O382" s="1"/>
      <c r="P382" s="274">
        <f t="shared" si="32"/>
        <v>9.7891433002784236</v>
      </c>
      <c r="Q382" s="275">
        <f t="shared" si="36"/>
        <v>16.286560527246724</v>
      </c>
      <c r="R382" s="171"/>
    </row>
    <row r="383" spans="2:18">
      <c r="B383" s="94">
        <f t="shared" si="33"/>
        <v>2053</v>
      </c>
      <c r="C383" s="1">
        <f t="shared" si="34"/>
        <v>6</v>
      </c>
      <c r="D383" s="213">
        <v>56036</v>
      </c>
      <c r="E383" s="1" t="str">
        <f t="shared" si="35"/>
        <v>6-2053</v>
      </c>
      <c r="F383" s="268">
        <f>'IEPR Gas Prices Real'!F383*(INDEX('GDP Deflator'!$C$5:$C$89,MATCH('IEPR Gas Prices Nominal'!$B383,'GDP Deflator'!$B$5:$B$89,0))/100)</f>
        <v>9.6169233685118609</v>
      </c>
      <c r="G383" s="269">
        <f>'IEPR Gas Prices Real'!G383*(INDEX('GDP Deflator'!$C$5:$C$89,MATCH('IEPR Gas Prices Nominal'!$B383,'GDP Deflator'!$B$5:$B$89,0))/100)</f>
        <v>5.67538347585403</v>
      </c>
      <c r="H383" s="270">
        <f>'IEPR Gas Prices Real'!H383*(INDEX('GDP Deflator'!$C$5:$C$89,MATCH('IEPR Gas Prices Nominal'!$B383,'GDP Deflator'!$B$5:$B$89,0))/100)</f>
        <v>15.292306844365891</v>
      </c>
      <c r="I383" s="269">
        <f>'IEPR Gas Prices Real'!I383*(INDEX('GDP Deflator'!$C$5:$C$89,MATCH('IEPR Gas Prices Nominal'!$B383,'GDP Deflator'!$B$5:$B$89,0))/100)</f>
        <v>10.070344189904951</v>
      </c>
      <c r="J383" s="269">
        <f>'IEPR Gas Prices Real'!J383*(INDEX('GDP Deflator'!$C$5:$C$89,MATCH('IEPR Gas Prices Nominal'!$B383,'GDP Deflator'!$B$5:$B$89,0))/100)</f>
        <v>9.3848394270926541</v>
      </c>
      <c r="K383" s="269">
        <f>'IEPR Gas Prices Real'!K383*(INDEX('GDP Deflator'!$C$5:$C$89,MATCH('IEPR Gas Prices Nominal'!$B383,'GDP Deflator'!$B$5:$B$89,0))/100)</f>
        <v>19.455183616997605</v>
      </c>
      <c r="L383" s="268">
        <f>'IEPR Gas Prices Real'!L383*(INDEX('GDP Deflator'!$C$5:$C$89,MATCH('IEPR Gas Prices Nominal'!$B383,'GDP Deflator'!$B$5:$B$89,0))/100)</f>
        <v>10.439726619219831</v>
      </c>
      <c r="M383" s="269">
        <f>'IEPR Gas Prices Real'!M383*(INDEX('GDP Deflator'!$C$5:$C$89,MATCH('IEPR Gas Prices Nominal'!$B383,'GDP Deflator'!$B$5:$B$89,0))/100)</f>
        <v>4.4320287779582177</v>
      </c>
      <c r="N383" s="270">
        <f>'IEPR Gas Prices Real'!N383*(INDEX('GDP Deflator'!$C$5:$C$89,MATCH('IEPR Gas Prices Nominal'!$B383,'GDP Deflator'!$B$5:$B$89,0))/100)</f>
        <v>14.871755397178047</v>
      </c>
      <c r="O383" s="1"/>
      <c r="P383" s="274">
        <f t="shared" si="32"/>
        <v>10.042331392545549</v>
      </c>
      <c r="Q383" s="275">
        <f t="shared" si="36"/>
        <v>16.539748619513848</v>
      </c>
      <c r="R383" s="171"/>
    </row>
    <row r="384" spans="2:18">
      <c r="B384" s="94">
        <f t="shared" si="33"/>
        <v>2053</v>
      </c>
      <c r="C384" s="1">
        <f t="shared" si="34"/>
        <v>7</v>
      </c>
      <c r="D384" s="213">
        <v>56066</v>
      </c>
      <c r="E384" s="1" t="str">
        <f t="shared" si="35"/>
        <v>7-2053</v>
      </c>
      <c r="F384" s="268">
        <f>'IEPR Gas Prices Real'!F384*(INDEX('GDP Deflator'!$C$5:$C$89,MATCH('IEPR Gas Prices Nominal'!$B384,'GDP Deflator'!$B$5:$B$89,0))/100)</f>
        <v>9.6934092368994271</v>
      </c>
      <c r="G384" s="269">
        <f>'IEPR Gas Prices Real'!G384*(INDEX('GDP Deflator'!$C$5:$C$89,MATCH('IEPR Gas Prices Nominal'!$B384,'GDP Deflator'!$B$5:$B$89,0))/100)</f>
        <v>5.67538347585403</v>
      </c>
      <c r="H384" s="270">
        <f>'IEPR Gas Prices Real'!H384*(INDEX('GDP Deflator'!$C$5:$C$89,MATCH('IEPR Gas Prices Nominal'!$B384,'GDP Deflator'!$B$5:$B$89,0))/100)</f>
        <v>15.368792712753457</v>
      </c>
      <c r="I384" s="269">
        <f>'IEPR Gas Prices Real'!I384*(INDEX('GDP Deflator'!$C$5:$C$89,MATCH('IEPR Gas Prices Nominal'!$B384,'GDP Deflator'!$B$5:$B$89,0))/100)</f>
        <v>10.150319148540161</v>
      </c>
      <c r="J384" s="269">
        <f>'IEPR Gas Prices Real'!J384*(INDEX('GDP Deflator'!$C$5:$C$89,MATCH('IEPR Gas Prices Nominal'!$B384,'GDP Deflator'!$B$5:$B$89,0))/100)</f>
        <v>9.3848394270926541</v>
      </c>
      <c r="K384" s="269">
        <f>'IEPR Gas Prices Real'!K384*(INDEX('GDP Deflator'!$C$5:$C$89,MATCH('IEPR Gas Prices Nominal'!$B384,'GDP Deflator'!$B$5:$B$89,0))/100)</f>
        <v>19.535158575632813</v>
      </c>
      <c r="L384" s="268">
        <f>'IEPR Gas Prices Real'!L384*(INDEX('GDP Deflator'!$C$5:$C$89,MATCH('IEPR Gas Prices Nominal'!$B384,'GDP Deflator'!$B$5:$B$89,0))/100)</f>
        <v>10.522636383588212</v>
      </c>
      <c r="M384" s="269">
        <f>'IEPR Gas Prices Real'!M384*(INDEX('GDP Deflator'!$C$5:$C$89,MATCH('IEPR Gas Prices Nominal'!$B384,'GDP Deflator'!$B$5:$B$89,0))/100)</f>
        <v>4.4320287779582177</v>
      </c>
      <c r="N384" s="270">
        <f>'IEPR Gas Prices Real'!N384*(INDEX('GDP Deflator'!$C$5:$C$89,MATCH('IEPR Gas Prices Nominal'!$B384,'GDP Deflator'!$B$5:$B$89,0))/100)</f>
        <v>14.95466516154643</v>
      </c>
      <c r="O384" s="1"/>
      <c r="P384" s="274">
        <f t="shared" si="32"/>
        <v>10.122121589675935</v>
      </c>
      <c r="Q384" s="275">
        <f t="shared" si="36"/>
        <v>16.619538816644233</v>
      </c>
      <c r="R384" s="171"/>
    </row>
    <row r="385" spans="2:18">
      <c r="B385" s="94">
        <f t="shared" si="33"/>
        <v>2053</v>
      </c>
      <c r="C385" s="1">
        <f t="shared" si="34"/>
        <v>8</v>
      </c>
      <c r="D385" s="213">
        <v>56097</v>
      </c>
      <c r="E385" s="1" t="str">
        <f t="shared" si="35"/>
        <v>8-2053</v>
      </c>
      <c r="F385" s="268">
        <f>'IEPR Gas Prices Real'!F385*(INDEX('GDP Deflator'!$C$5:$C$89,MATCH('IEPR Gas Prices Nominal'!$B385,'GDP Deflator'!$B$5:$B$89,0))/100)</f>
        <v>9.6187257988226111</v>
      </c>
      <c r="G385" s="269">
        <f>'IEPR Gas Prices Real'!G385*(INDEX('GDP Deflator'!$C$5:$C$89,MATCH('IEPR Gas Prices Nominal'!$B385,'GDP Deflator'!$B$5:$B$89,0))/100)</f>
        <v>5.67538347585403</v>
      </c>
      <c r="H385" s="270">
        <f>'IEPR Gas Prices Real'!H385*(INDEX('GDP Deflator'!$C$5:$C$89,MATCH('IEPR Gas Prices Nominal'!$B385,'GDP Deflator'!$B$5:$B$89,0))/100)</f>
        <v>15.294109274676641</v>
      </c>
      <c r="I385" s="269">
        <f>'IEPR Gas Prices Real'!I385*(INDEX('GDP Deflator'!$C$5:$C$89,MATCH('IEPR Gas Prices Nominal'!$B385,'GDP Deflator'!$B$5:$B$89,0))/100)</f>
        <v>10.071999235946429</v>
      </c>
      <c r="J385" s="269">
        <f>'IEPR Gas Prices Real'!J385*(INDEX('GDP Deflator'!$C$5:$C$89,MATCH('IEPR Gas Prices Nominal'!$B385,'GDP Deflator'!$B$5:$B$89,0))/100)</f>
        <v>9.3848394270926541</v>
      </c>
      <c r="K385" s="269">
        <f>'IEPR Gas Prices Real'!K385*(INDEX('GDP Deflator'!$C$5:$C$89,MATCH('IEPR Gas Prices Nominal'!$B385,'GDP Deflator'!$B$5:$B$89,0))/100)</f>
        <v>19.456838663039079</v>
      </c>
      <c r="L385" s="268">
        <f>'IEPR Gas Prices Real'!L385*(INDEX('GDP Deflator'!$C$5:$C$89,MATCH('IEPR Gas Prices Nominal'!$B385,'GDP Deflator'!$B$5:$B$89,0))/100)</f>
        <v>10.441444966121328</v>
      </c>
      <c r="M385" s="269">
        <f>'IEPR Gas Prices Real'!M385*(INDEX('GDP Deflator'!$C$5:$C$89,MATCH('IEPR Gas Prices Nominal'!$B385,'GDP Deflator'!$B$5:$B$89,0))/100)</f>
        <v>4.4320287779582177</v>
      </c>
      <c r="N385" s="270">
        <f>'IEPR Gas Prices Real'!N385*(INDEX('GDP Deflator'!$C$5:$C$89,MATCH('IEPR Gas Prices Nominal'!$B385,'GDP Deflator'!$B$5:$B$89,0))/100)</f>
        <v>14.873473744079545</v>
      </c>
      <c r="O385" s="1"/>
      <c r="P385" s="274">
        <f t="shared" si="32"/>
        <v>10.044056666963455</v>
      </c>
      <c r="Q385" s="275">
        <f t="shared" si="36"/>
        <v>16.541473893931755</v>
      </c>
      <c r="R385" s="171"/>
    </row>
    <row r="386" spans="2:18">
      <c r="B386" s="94">
        <f t="shared" si="33"/>
        <v>2053</v>
      </c>
      <c r="C386" s="1">
        <f t="shared" si="34"/>
        <v>9</v>
      </c>
      <c r="D386" s="213">
        <v>56128</v>
      </c>
      <c r="E386" s="1" t="str">
        <f t="shared" si="35"/>
        <v>9-2053</v>
      </c>
      <c r="F386" s="268">
        <f>'IEPR Gas Prices Real'!F386*(INDEX('GDP Deflator'!$C$5:$C$89,MATCH('IEPR Gas Prices Nominal'!$B386,'GDP Deflator'!$B$5:$B$89,0))/100)</f>
        <v>9.754213639666661</v>
      </c>
      <c r="G386" s="269">
        <f>'IEPR Gas Prices Real'!G386*(INDEX('GDP Deflator'!$C$5:$C$89,MATCH('IEPR Gas Prices Nominal'!$B386,'GDP Deflator'!$B$5:$B$89,0))/100)</f>
        <v>5.67538347585403</v>
      </c>
      <c r="H386" s="270">
        <f>'IEPR Gas Prices Real'!H386*(INDEX('GDP Deflator'!$C$5:$C$89,MATCH('IEPR Gas Prices Nominal'!$B386,'GDP Deflator'!$B$5:$B$89,0))/100)</f>
        <v>15.429597115520691</v>
      </c>
      <c r="I386" s="269">
        <f>'IEPR Gas Prices Real'!I386*(INDEX('GDP Deflator'!$C$5:$C$89,MATCH('IEPR Gas Prices Nominal'!$B386,'GDP Deflator'!$B$5:$B$89,0))/100)</f>
        <v>10.213753987114686</v>
      </c>
      <c r="J386" s="269">
        <f>'IEPR Gas Prices Real'!J386*(INDEX('GDP Deflator'!$C$5:$C$89,MATCH('IEPR Gas Prices Nominal'!$B386,'GDP Deflator'!$B$5:$B$89,0))/100)</f>
        <v>9.3848394270926541</v>
      </c>
      <c r="K386" s="269">
        <f>'IEPR Gas Prices Real'!K386*(INDEX('GDP Deflator'!$C$5:$C$89,MATCH('IEPR Gas Prices Nominal'!$B386,'GDP Deflator'!$B$5:$B$89,0))/100)</f>
        <v>19.59859341420734</v>
      </c>
      <c r="L386" s="268">
        <f>'IEPR Gas Prices Real'!L386*(INDEX('GDP Deflator'!$C$5:$C$89,MATCH('IEPR Gas Prices Nominal'!$B386,'GDP Deflator'!$B$5:$B$89,0))/100)</f>
        <v>10.588400664180215</v>
      </c>
      <c r="M386" s="269">
        <f>'IEPR Gas Prices Real'!M386*(INDEX('GDP Deflator'!$C$5:$C$89,MATCH('IEPR Gas Prices Nominal'!$B386,'GDP Deflator'!$B$5:$B$89,0))/100)</f>
        <v>4.4320287779582177</v>
      </c>
      <c r="N386" s="270">
        <f>'IEPR Gas Prices Real'!N386*(INDEX('GDP Deflator'!$C$5:$C$89,MATCH('IEPR Gas Prices Nominal'!$B386,'GDP Deflator'!$B$5:$B$89,0))/100)</f>
        <v>15.020429442138431</v>
      </c>
      <c r="O386" s="1"/>
      <c r="P386" s="274">
        <f t="shared" si="32"/>
        <v>10.185456096987187</v>
      </c>
      <c r="Q386" s="275">
        <f t="shared" si="36"/>
        <v>16.682873323955487</v>
      </c>
      <c r="R386" s="171"/>
    </row>
    <row r="387" spans="2:18">
      <c r="B387" s="94">
        <f t="shared" si="33"/>
        <v>2053</v>
      </c>
      <c r="C387" s="1">
        <f t="shared" si="34"/>
        <v>10</v>
      </c>
      <c r="D387" s="213">
        <v>56158</v>
      </c>
      <c r="E387" s="1" t="str">
        <f t="shared" si="35"/>
        <v>10-2053</v>
      </c>
      <c r="F387" s="268">
        <f>'IEPR Gas Prices Real'!F387*(INDEX('GDP Deflator'!$C$5:$C$89,MATCH('IEPR Gas Prices Nominal'!$B387,'GDP Deflator'!$B$5:$B$89,0))/100)</f>
        <v>9.6981958873607148</v>
      </c>
      <c r="G387" s="269">
        <f>'IEPR Gas Prices Real'!G387*(INDEX('GDP Deflator'!$C$5:$C$89,MATCH('IEPR Gas Prices Nominal'!$B387,'GDP Deflator'!$B$5:$B$89,0))/100)</f>
        <v>5.67538347585403</v>
      </c>
      <c r="H387" s="270">
        <f>'IEPR Gas Prices Real'!H387*(INDEX('GDP Deflator'!$C$5:$C$89,MATCH('IEPR Gas Prices Nominal'!$B387,'GDP Deflator'!$B$5:$B$89,0))/100)</f>
        <v>15.373579363214743</v>
      </c>
      <c r="I387" s="269">
        <f>'IEPR Gas Prices Real'!I387*(INDEX('GDP Deflator'!$C$5:$C$89,MATCH('IEPR Gas Prices Nominal'!$B387,'GDP Deflator'!$B$5:$B$89,0))/100)</f>
        <v>10.154979971728102</v>
      </c>
      <c r="J387" s="269">
        <f>'IEPR Gas Prices Real'!J387*(INDEX('GDP Deflator'!$C$5:$C$89,MATCH('IEPR Gas Prices Nominal'!$B387,'GDP Deflator'!$B$5:$B$89,0))/100)</f>
        <v>9.3848394270926541</v>
      </c>
      <c r="K387" s="269">
        <f>'IEPR Gas Prices Real'!K387*(INDEX('GDP Deflator'!$C$5:$C$89,MATCH('IEPR Gas Prices Nominal'!$B387,'GDP Deflator'!$B$5:$B$89,0))/100)</f>
        <v>19.539819398820754</v>
      </c>
      <c r="L387" s="268">
        <f>'IEPR Gas Prices Real'!L387*(INDEX('GDP Deflator'!$C$5:$C$89,MATCH('IEPR Gas Prices Nominal'!$B387,'GDP Deflator'!$B$5:$B$89,0))/100)</f>
        <v>10.527472089950054</v>
      </c>
      <c r="M387" s="269">
        <f>'IEPR Gas Prices Real'!M387*(INDEX('GDP Deflator'!$C$5:$C$89,MATCH('IEPR Gas Prices Nominal'!$B387,'GDP Deflator'!$B$5:$B$89,0))/100)</f>
        <v>4.4320287779582177</v>
      </c>
      <c r="N387" s="270">
        <f>'IEPR Gas Prices Real'!N387*(INDEX('GDP Deflator'!$C$5:$C$89,MATCH('IEPR Gas Prices Nominal'!$B387,'GDP Deflator'!$B$5:$B$89,0))/100)</f>
        <v>14.959500867908273</v>
      </c>
      <c r="O387" s="1"/>
      <c r="P387" s="274">
        <f t="shared" si="32"/>
        <v>10.126882649679622</v>
      </c>
      <c r="Q387" s="275">
        <f t="shared" si="36"/>
        <v>16.624299876647925</v>
      </c>
      <c r="R387" s="171"/>
    </row>
    <row r="388" spans="2:18">
      <c r="B388" s="94">
        <f t="shared" si="33"/>
        <v>2053</v>
      </c>
      <c r="C388" s="1">
        <f t="shared" si="34"/>
        <v>11</v>
      </c>
      <c r="D388" s="213">
        <v>56189</v>
      </c>
      <c r="E388" s="1" t="str">
        <f t="shared" si="35"/>
        <v>11-2053</v>
      </c>
      <c r="F388" s="268">
        <f>'IEPR Gas Prices Real'!F388*(INDEX('GDP Deflator'!$C$5:$C$89,MATCH('IEPR Gas Prices Nominal'!$B388,'GDP Deflator'!$B$5:$B$89,0))/100)</f>
        <v>10.177747522726134</v>
      </c>
      <c r="G388" s="269">
        <f>'IEPR Gas Prices Real'!G388*(INDEX('GDP Deflator'!$C$5:$C$89,MATCH('IEPR Gas Prices Nominal'!$B388,'GDP Deflator'!$B$5:$B$89,0))/100)</f>
        <v>5.67538347585403</v>
      </c>
      <c r="H388" s="270">
        <f>'IEPR Gas Prices Real'!H388*(INDEX('GDP Deflator'!$C$5:$C$89,MATCH('IEPR Gas Prices Nominal'!$B388,'GDP Deflator'!$B$5:$B$89,0))/100)</f>
        <v>15.853130998580166</v>
      </c>
      <c r="I388" s="269">
        <f>'IEPR Gas Prices Real'!I388*(INDEX('GDP Deflator'!$C$5:$C$89,MATCH('IEPR Gas Prices Nominal'!$B388,'GDP Deflator'!$B$5:$B$89,0))/100)</f>
        <v>10.65699548836292</v>
      </c>
      <c r="J388" s="269">
        <f>'IEPR Gas Prices Real'!J388*(INDEX('GDP Deflator'!$C$5:$C$89,MATCH('IEPR Gas Prices Nominal'!$B388,'GDP Deflator'!$B$5:$B$89,0))/100)</f>
        <v>9.3848394270926541</v>
      </c>
      <c r="K388" s="269">
        <f>'IEPR Gas Prices Real'!K388*(INDEX('GDP Deflator'!$C$5:$C$89,MATCH('IEPR Gas Prices Nominal'!$B388,'GDP Deflator'!$B$5:$B$89,0))/100)</f>
        <v>20.041834915455574</v>
      </c>
      <c r="L388" s="268">
        <f>'IEPR Gas Prices Real'!L388*(INDEX('GDP Deflator'!$C$5:$C$89,MATCH('IEPR Gas Prices Nominal'!$B388,'GDP Deflator'!$B$5:$B$89,0))/100)</f>
        <v>11.04790327651229</v>
      </c>
      <c r="M388" s="269">
        <f>'IEPR Gas Prices Real'!M388*(INDEX('GDP Deflator'!$C$5:$C$89,MATCH('IEPR Gas Prices Nominal'!$B388,'GDP Deflator'!$B$5:$B$89,0))/100)</f>
        <v>4.4320287779582177</v>
      </c>
      <c r="N388" s="270">
        <f>'IEPR Gas Prices Real'!N388*(INDEX('GDP Deflator'!$C$5:$C$89,MATCH('IEPR Gas Prices Nominal'!$B388,'GDP Deflator'!$B$5:$B$89,0))/100)</f>
        <v>15.479932054470508</v>
      </c>
      <c r="O388" s="1"/>
      <c r="P388" s="274">
        <f t="shared" si="32"/>
        <v>10.627548762533781</v>
      </c>
      <c r="Q388" s="275">
        <f t="shared" si="36"/>
        <v>17.124965989502083</v>
      </c>
      <c r="R388" s="171"/>
    </row>
    <row r="389" spans="2:18">
      <c r="B389" s="94">
        <f t="shared" si="33"/>
        <v>2053</v>
      </c>
      <c r="C389" s="1">
        <f t="shared" si="34"/>
        <v>12</v>
      </c>
      <c r="D389" s="213">
        <v>56219</v>
      </c>
      <c r="E389" s="1" t="str">
        <f t="shared" si="35"/>
        <v>12-2053</v>
      </c>
      <c r="F389" s="268">
        <f>'IEPR Gas Prices Real'!F389*(INDEX('GDP Deflator'!$C$5:$C$89,MATCH('IEPR Gas Prices Nominal'!$B389,'GDP Deflator'!$B$5:$B$89,0))/100)</f>
        <v>10.259814022873822</v>
      </c>
      <c r="G389" s="269">
        <f>'IEPR Gas Prices Real'!G389*(INDEX('GDP Deflator'!$C$5:$C$89,MATCH('IEPR Gas Prices Nominal'!$B389,'GDP Deflator'!$B$5:$B$89,0))/100)</f>
        <v>5.67538347585403</v>
      </c>
      <c r="H389" s="270">
        <f>'IEPR Gas Prices Real'!H389*(INDEX('GDP Deflator'!$C$5:$C$89,MATCH('IEPR Gas Prices Nominal'!$B389,'GDP Deflator'!$B$5:$B$89,0))/100)</f>
        <v>15.935197498727852</v>
      </c>
      <c r="I389" s="269">
        <f>'IEPR Gas Prices Real'!I389*(INDEX('GDP Deflator'!$C$5:$C$89,MATCH('IEPR Gas Prices Nominal'!$B389,'GDP Deflator'!$B$5:$B$89,0))/100)</f>
        <v>10.742802370194198</v>
      </c>
      <c r="J389" s="269">
        <f>'IEPR Gas Prices Real'!J389*(INDEX('GDP Deflator'!$C$5:$C$89,MATCH('IEPR Gas Prices Nominal'!$B389,'GDP Deflator'!$B$5:$B$89,0))/100)</f>
        <v>9.3848394270926541</v>
      </c>
      <c r="K389" s="269">
        <f>'IEPR Gas Prices Real'!K389*(INDEX('GDP Deflator'!$C$5:$C$89,MATCH('IEPR Gas Prices Nominal'!$B389,'GDP Deflator'!$B$5:$B$89,0))/100)</f>
        <v>20.127641797286852</v>
      </c>
      <c r="L389" s="268">
        <f>'IEPR Gas Prices Real'!L389*(INDEX('GDP Deflator'!$C$5:$C$89,MATCH('IEPR Gas Prices Nominal'!$B389,'GDP Deflator'!$B$5:$B$89,0))/100)</f>
        <v>11.136859012278476</v>
      </c>
      <c r="M389" s="269">
        <f>'IEPR Gas Prices Real'!M389*(INDEX('GDP Deflator'!$C$5:$C$89,MATCH('IEPR Gas Prices Nominal'!$B389,'GDP Deflator'!$B$5:$B$89,0))/100)</f>
        <v>4.4320287779582177</v>
      </c>
      <c r="N389" s="270">
        <f>'IEPR Gas Prices Real'!N389*(INDEX('GDP Deflator'!$C$5:$C$89,MATCH('IEPR Gas Prices Nominal'!$B389,'GDP Deflator'!$B$5:$B$89,0))/100)</f>
        <v>15.568887790236694</v>
      </c>
      <c r="O389" s="1"/>
      <c r="P389" s="274">
        <f t="shared" si="32"/>
        <v>10.713158468448832</v>
      </c>
      <c r="Q389" s="275">
        <f t="shared" si="36"/>
        <v>17.210575695417131</v>
      </c>
      <c r="R389" s="171"/>
    </row>
    <row r="390" spans="2:18">
      <c r="B390" s="94">
        <f t="shared" si="33"/>
        <v>2054</v>
      </c>
      <c r="C390" s="1">
        <f t="shared" si="34"/>
        <v>1</v>
      </c>
      <c r="D390" s="213">
        <v>56250</v>
      </c>
      <c r="E390" s="1" t="str">
        <f t="shared" si="35"/>
        <v>1-2054</v>
      </c>
      <c r="F390" s="268">
        <f>'IEPR Gas Prices Real'!F390*(INDEX('GDP Deflator'!$C$5:$C$89,MATCH('IEPR Gas Prices Nominal'!$B390,'GDP Deflator'!$B$5:$B$89,0))/100)</f>
        <v>10.467862596523332</v>
      </c>
      <c r="G390" s="269">
        <f>'IEPR Gas Prices Real'!G390*(INDEX('GDP Deflator'!$C$5:$C$89,MATCH('IEPR Gas Prices Nominal'!$B390,'GDP Deflator'!$B$5:$B$89,0))/100)</f>
        <v>6.0208218741568809</v>
      </c>
      <c r="H390" s="270">
        <f>'IEPR Gas Prices Real'!H390*(INDEX('GDP Deflator'!$C$5:$C$89,MATCH('IEPR Gas Prices Nominal'!$B390,'GDP Deflator'!$B$5:$B$89,0))/100)</f>
        <v>16.488684470680216</v>
      </c>
      <c r="I390" s="269">
        <f>'IEPR Gas Prices Real'!I390*(INDEX('GDP Deflator'!$C$5:$C$89,MATCH('IEPR Gas Prices Nominal'!$B390,'GDP Deflator'!$B$5:$B$89,0))/100)</f>
        <v>10.960540097007643</v>
      </c>
      <c r="J390" s="269">
        <f>'IEPR Gas Prices Real'!J390*(INDEX('GDP Deflator'!$C$5:$C$89,MATCH('IEPR Gas Prices Nominal'!$B390,'GDP Deflator'!$B$5:$B$89,0))/100)</f>
        <v>9.9573508754205502</v>
      </c>
      <c r="K390" s="269">
        <f>'IEPR Gas Prices Real'!K390*(INDEX('GDP Deflator'!$C$5:$C$89,MATCH('IEPR Gas Prices Nominal'!$B390,'GDP Deflator'!$B$5:$B$89,0))/100)</f>
        <v>20.917890972428193</v>
      </c>
      <c r="L390" s="268">
        <f>'IEPR Gas Prices Real'!L390*(INDEX('GDP Deflator'!$C$5:$C$89,MATCH('IEPR Gas Prices Nominal'!$B390,'GDP Deflator'!$B$5:$B$89,0))/100)</f>
        <v>11.362579743363831</v>
      </c>
      <c r="M390" s="269">
        <f>'IEPR Gas Prices Real'!M390*(INDEX('GDP Deflator'!$C$5:$C$89,MATCH('IEPR Gas Prices Nominal'!$B390,'GDP Deflator'!$B$5:$B$89,0))/100)</f>
        <v>4.7023996494485392</v>
      </c>
      <c r="N390" s="270">
        <f>'IEPR Gas Prices Real'!N390*(INDEX('GDP Deflator'!$C$5:$C$89,MATCH('IEPR Gas Prices Nominal'!$B390,'GDP Deflator'!$B$5:$B$89,0))/100)</f>
        <v>16.064979392812372</v>
      </c>
      <c r="O390" s="1"/>
      <c r="P390" s="274">
        <f t="shared" ref="P390:P401" si="37">AVERAGE(F390,I390,L390)</f>
        <v>10.930327478964935</v>
      </c>
      <c r="Q390" s="275">
        <f t="shared" si="36"/>
        <v>17.823851611973595</v>
      </c>
      <c r="R390" s="171"/>
    </row>
    <row r="391" spans="2:18">
      <c r="B391" s="94">
        <f t="shared" ref="B391:B401" si="38">YEAR(D391)</f>
        <v>2054</v>
      </c>
      <c r="C391" s="1">
        <f t="shared" ref="C391:C401" si="39">MONTH(D391)</f>
        <v>2</v>
      </c>
      <c r="D391" s="213">
        <v>56281</v>
      </c>
      <c r="E391" s="1" t="str">
        <f t="shared" ref="E391:E401" si="40">C391&amp;"-"&amp;B391</f>
        <v>2-2054</v>
      </c>
      <c r="F391" s="268">
        <f>'IEPR Gas Prices Real'!F391*(INDEX('GDP Deflator'!$C$5:$C$89,MATCH('IEPR Gas Prices Nominal'!$B391,'GDP Deflator'!$B$5:$B$89,0))/100)</f>
        <v>10.238578972463406</v>
      </c>
      <c r="G391" s="269">
        <f>'IEPR Gas Prices Real'!G391*(INDEX('GDP Deflator'!$C$5:$C$89,MATCH('IEPR Gas Prices Nominal'!$B391,'GDP Deflator'!$B$5:$B$89,0))/100)</f>
        <v>6.0208218741568809</v>
      </c>
      <c r="H391" s="270">
        <f>'IEPR Gas Prices Real'!H391*(INDEX('GDP Deflator'!$C$5:$C$89,MATCH('IEPR Gas Prices Nominal'!$B391,'GDP Deflator'!$B$5:$B$89,0))/100)</f>
        <v>16.259400846620288</v>
      </c>
      <c r="I391" s="269">
        <f>'IEPR Gas Prices Real'!I391*(INDEX('GDP Deflator'!$C$5:$C$89,MATCH('IEPR Gas Prices Nominal'!$B391,'GDP Deflator'!$B$5:$B$89,0))/100)</f>
        <v>10.720362479637771</v>
      </c>
      <c r="J391" s="269">
        <f>'IEPR Gas Prices Real'!J391*(INDEX('GDP Deflator'!$C$5:$C$89,MATCH('IEPR Gas Prices Nominal'!$B391,'GDP Deflator'!$B$5:$B$89,0))/100)</f>
        <v>9.9573508754205502</v>
      </c>
      <c r="K391" s="269">
        <f>'IEPR Gas Prices Real'!K391*(INDEX('GDP Deflator'!$C$5:$C$89,MATCH('IEPR Gas Prices Nominal'!$B391,'GDP Deflator'!$B$5:$B$89,0))/100)</f>
        <v>20.677713355058319</v>
      </c>
      <c r="L391" s="268">
        <f>'IEPR Gas Prices Real'!L391*(INDEX('GDP Deflator'!$C$5:$C$89,MATCH('IEPR Gas Prices Nominal'!$B391,'GDP Deflator'!$B$5:$B$89,0))/100)</f>
        <v>11.11358850912897</v>
      </c>
      <c r="M391" s="269">
        <f>'IEPR Gas Prices Real'!M391*(INDEX('GDP Deflator'!$C$5:$C$89,MATCH('IEPR Gas Prices Nominal'!$B391,'GDP Deflator'!$B$5:$B$89,0))/100)</f>
        <v>4.7023996494485392</v>
      </c>
      <c r="N391" s="270">
        <f>'IEPR Gas Prices Real'!N391*(INDEX('GDP Deflator'!$C$5:$C$89,MATCH('IEPR Gas Prices Nominal'!$B391,'GDP Deflator'!$B$5:$B$89,0))/100)</f>
        <v>15.815988158577509</v>
      </c>
      <c r="O391" s="1"/>
      <c r="P391" s="274">
        <f t="shared" si="37"/>
        <v>10.690843320410048</v>
      </c>
      <c r="Q391" s="275">
        <f t="shared" ref="Q391:Q401" si="41">AVERAGE(H391,K391,N391)</f>
        <v>17.584367453418707</v>
      </c>
      <c r="R391" s="171"/>
    </row>
    <row r="392" spans="2:18">
      <c r="B392" s="94">
        <f t="shared" si="38"/>
        <v>2054</v>
      </c>
      <c r="C392" s="1">
        <f t="shared" si="39"/>
        <v>3</v>
      </c>
      <c r="D392" s="213">
        <v>56309</v>
      </c>
      <c r="E392" s="1" t="str">
        <f t="shared" si="40"/>
        <v>3-2054</v>
      </c>
      <c r="F392" s="268">
        <f>'IEPR Gas Prices Real'!F392*(INDEX('GDP Deflator'!$C$5:$C$89,MATCH('IEPR Gas Prices Nominal'!$B392,'GDP Deflator'!$B$5:$B$89,0))/100)</f>
        <v>9.3992484742091129</v>
      </c>
      <c r="G392" s="269">
        <f>'IEPR Gas Prices Real'!G392*(INDEX('GDP Deflator'!$C$5:$C$89,MATCH('IEPR Gas Prices Nominal'!$B392,'GDP Deflator'!$B$5:$B$89,0))/100)</f>
        <v>6.0208218741568809</v>
      </c>
      <c r="H392" s="270">
        <f>'IEPR Gas Prices Real'!H392*(INDEX('GDP Deflator'!$C$5:$C$89,MATCH('IEPR Gas Prices Nominal'!$B392,'GDP Deflator'!$B$5:$B$89,0))/100)</f>
        <v>15.420070348365995</v>
      </c>
      <c r="I392" s="269">
        <f>'IEPR Gas Prices Real'!I392*(INDEX('GDP Deflator'!$C$5:$C$89,MATCH('IEPR Gas Prices Nominal'!$B392,'GDP Deflator'!$B$5:$B$89,0))/100)</f>
        <v>9.841442509164203</v>
      </c>
      <c r="J392" s="269">
        <f>'IEPR Gas Prices Real'!J392*(INDEX('GDP Deflator'!$C$5:$C$89,MATCH('IEPR Gas Prices Nominal'!$B392,'GDP Deflator'!$B$5:$B$89,0))/100)</f>
        <v>9.9573508754205502</v>
      </c>
      <c r="K392" s="269">
        <f>'IEPR Gas Prices Real'!K392*(INDEX('GDP Deflator'!$C$5:$C$89,MATCH('IEPR Gas Prices Nominal'!$B392,'GDP Deflator'!$B$5:$B$89,0))/100)</f>
        <v>19.798793384584751</v>
      </c>
      <c r="L392" s="268">
        <f>'IEPR Gas Prices Real'!L392*(INDEX('GDP Deflator'!$C$5:$C$89,MATCH('IEPR Gas Prices Nominal'!$B392,'GDP Deflator'!$B$5:$B$89,0))/100)</f>
        <v>10.202426056583111</v>
      </c>
      <c r="M392" s="269">
        <f>'IEPR Gas Prices Real'!M392*(INDEX('GDP Deflator'!$C$5:$C$89,MATCH('IEPR Gas Prices Nominal'!$B392,'GDP Deflator'!$B$5:$B$89,0))/100)</f>
        <v>4.7023996494485392</v>
      </c>
      <c r="N392" s="270">
        <f>'IEPR Gas Prices Real'!N392*(INDEX('GDP Deflator'!$C$5:$C$89,MATCH('IEPR Gas Prices Nominal'!$B392,'GDP Deflator'!$B$5:$B$89,0))/100)</f>
        <v>14.90482570603165</v>
      </c>
      <c r="O392" s="1"/>
      <c r="P392" s="274">
        <f t="shared" si="37"/>
        <v>9.8143723466521422</v>
      </c>
      <c r="Q392" s="275">
        <f t="shared" si="41"/>
        <v>16.7078964796608</v>
      </c>
      <c r="R392" s="171"/>
    </row>
    <row r="393" spans="2:18">
      <c r="B393" s="94">
        <f t="shared" si="38"/>
        <v>2054</v>
      </c>
      <c r="C393" s="1">
        <f t="shared" si="39"/>
        <v>4</v>
      </c>
      <c r="D393" s="213">
        <v>56340</v>
      </c>
      <c r="E393" s="1" t="str">
        <f t="shared" si="40"/>
        <v>4-2054</v>
      </c>
      <c r="F393" s="268">
        <f>'IEPR Gas Prices Real'!F393*(INDEX('GDP Deflator'!$C$5:$C$89,MATCH('IEPR Gas Prices Nominal'!$B393,'GDP Deflator'!$B$5:$B$89,0))/100)</f>
        <v>9.2395181761213916</v>
      </c>
      <c r="G393" s="269">
        <f>'IEPR Gas Prices Real'!G393*(INDEX('GDP Deflator'!$C$5:$C$89,MATCH('IEPR Gas Prices Nominal'!$B393,'GDP Deflator'!$B$5:$B$89,0))/100)</f>
        <v>6.0208218741568809</v>
      </c>
      <c r="H393" s="270">
        <f>'IEPR Gas Prices Real'!H393*(INDEX('GDP Deflator'!$C$5:$C$89,MATCH('IEPR Gas Prices Nominal'!$B393,'GDP Deflator'!$B$5:$B$89,0))/100)</f>
        <v>15.260340050278273</v>
      </c>
      <c r="I393" s="269">
        <f>'IEPR Gas Prices Real'!I393*(INDEX('GDP Deflator'!$C$5:$C$89,MATCH('IEPR Gas Prices Nominal'!$B393,'GDP Deflator'!$B$5:$B$89,0))/100)</f>
        <v>9.6741050000211199</v>
      </c>
      <c r="J393" s="269">
        <f>'IEPR Gas Prices Real'!J393*(INDEX('GDP Deflator'!$C$5:$C$89,MATCH('IEPR Gas Prices Nominal'!$B393,'GDP Deflator'!$B$5:$B$89,0))/100)</f>
        <v>9.9573508754205502</v>
      </c>
      <c r="K393" s="269">
        <f>'IEPR Gas Prices Real'!K393*(INDEX('GDP Deflator'!$C$5:$C$89,MATCH('IEPR Gas Prices Nominal'!$B393,'GDP Deflator'!$B$5:$B$89,0))/100)</f>
        <v>19.63145587544167</v>
      </c>
      <c r="L393" s="268">
        <f>'IEPR Gas Prices Real'!L393*(INDEX('GDP Deflator'!$C$5:$C$89,MATCH('IEPR Gas Prices Nominal'!$B393,'GDP Deflator'!$B$5:$B$89,0))/100)</f>
        <v>10.02894723486307</v>
      </c>
      <c r="M393" s="269">
        <f>'IEPR Gas Prices Real'!M393*(INDEX('GDP Deflator'!$C$5:$C$89,MATCH('IEPR Gas Prices Nominal'!$B393,'GDP Deflator'!$B$5:$B$89,0))/100)</f>
        <v>4.7023996494485392</v>
      </c>
      <c r="N393" s="270">
        <f>'IEPR Gas Prices Real'!N393*(INDEX('GDP Deflator'!$C$5:$C$89,MATCH('IEPR Gas Prices Nominal'!$B393,'GDP Deflator'!$B$5:$B$89,0))/100)</f>
        <v>14.731346884311609</v>
      </c>
      <c r="O393" s="1"/>
      <c r="P393" s="274">
        <f t="shared" si="37"/>
        <v>9.6475234703351944</v>
      </c>
      <c r="Q393" s="275">
        <f t="shared" si="41"/>
        <v>16.541047603343852</v>
      </c>
      <c r="R393" s="171"/>
    </row>
    <row r="394" spans="2:18">
      <c r="B394" s="94">
        <f t="shared" si="38"/>
        <v>2054</v>
      </c>
      <c r="C394" s="1">
        <f t="shared" si="39"/>
        <v>5</v>
      </c>
      <c r="D394" s="213">
        <v>56370</v>
      </c>
      <c r="E394" s="1" t="str">
        <f t="shared" si="40"/>
        <v>5-2054</v>
      </c>
      <c r="F394" s="268">
        <f>'IEPR Gas Prices Real'!F394*(INDEX('GDP Deflator'!$C$5:$C$89,MATCH('IEPR Gas Prices Nominal'!$B394,'GDP Deflator'!$B$5:$B$89,0))/100)</f>
        <v>9.5612898800584709</v>
      </c>
      <c r="G394" s="269">
        <f>'IEPR Gas Prices Real'!G394*(INDEX('GDP Deflator'!$C$5:$C$89,MATCH('IEPR Gas Prices Nominal'!$B394,'GDP Deflator'!$B$5:$B$89,0))/100)</f>
        <v>6.0208218741568809</v>
      </c>
      <c r="H394" s="270">
        <f>'IEPR Gas Prices Real'!H394*(INDEX('GDP Deflator'!$C$5:$C$89,MATCH('IEPR Gas Prices Nominal'!$B394,'GDP Deflator'!$B$5:$B$89,0))/100)</f>
        <v>15.582111754215351</v>
      </c>
      <c r="I394" s="269">
        <f>'IEPR Gas Prices Real'!I394*(INDEX('GDP Deflator'!$C$5:$C$89,MATCH('IEPR Gas Prices Nominal'!$B394,'GDP Deflator'!$B$5:$B$89,0))/100)</f>
        <v>10.010915629136486</v>
      </c>
      <c r="J394" s="269">
        <f>'IEPR Gas Prices Real'!J394*(INDEX('GDP Deflator'!$C$5:$C$89,MATCH('IEPR Gas Prices Nominal'!$B394,'GDP Deflator'!$B$5:$B$89,0))/100)</f>
        <v>9.9573508754205502</v>
      </c>
      <c r="K394" s="269">
        <f>'IEPR Gas Prices Real'!K394*(INDEX('GDP Deflator'!$C$5:$C$89,MATCH('IEPR Gas Prices Nominal'!$B394,'GDP Deflator'!$B$5:$B$89,0))/100)</f>
        <v>19.968266504557036</v>
      </c>
      <c r="L394" s="268">
        <f>'IEPR Gas Prices Real'!L394*(INDEX('GDP Deflator'!$C$5:$C$89,MATCH('IEPR Gas Prices Nominal'!$B394,'GDP Deflator'!$B$5:$B$89,0))/100)</f>
        <v>10.378108440508916</v>
      </c>
      <c r="M394" s="269">
        <f>'IEPR Gas Prices Real'!M394*(INDEX('GDP Deflator'!$C$5:$C$89,MATCH('IEPR Gas Prices Nominal'!$B394,'GDP Deflator'!$B$5:$B$89,0))/100)</f>
        <v>4.7023996494485392</v>
      </c>
      <c r="N394" s="270">
        <f>'IEPR Gas Prices Real'!N394*(INDEX('GDP Deflator'!$C$5:$C$89,MATCH('IEPR Gas Prices Nominal'!$B394,'GDP Deflator'!$B$5:$B$89,0))/100)</f>
        <v>15.080508089957455</v>
      </c>
      <c r="O394" s="1"/>
      <c r="P394" s="274">
        <f t="shared" si="37"/>
        <v>9.9834379832346247</v>
      </c>
      <c r="Q394" s="275">
        <f t="shared" si="41"/>
        <v>16.876962116243281</v>
      </c>
      <c r="R394" s="171"/>
    </row>
    <row r="395" spans="2:18">
      <c r="B395" s="94">
        <f t="shared" si="38"/>
        <v>2054</v>
      </c>
      <c r="C395" s="1">
        <f t="shared" si="39"/>
        <v>6</v>
      </c>
      <c r="D395" s="213">
        <v>56401</v>
      </c>
      <c r="E395" s="1" t="str">
        <f t="shared" si="40"/>
        <v>6-2054</v>
      </c>
      <c r="F395" s="268">
        <f>'IEPR Gas Prices Real'!F395*(INDEX('GDP Deflator'!$C$5:$C$89,MATCH('IEPR Gas Prices Nominal'!$B395,'GDP Deflator'!$B$5:$B$89,0))/100)</f>
        <v>9.8086848919333249</v>
      </c>
      <c r="G395" s="269">
        <f>'IEPR Gas Prices Real'!G395*(INDEX('GDP Deflator'!$C$5:$C$89,MATCH('IEPR Gas Prices Nominal'!$B395,'GDP Deflator'!$B$5:$B$89,0))/100)</f>
        <v>6.0208218741568809</v>
      </c>
      <c r="H395" s="270">
        <f>'IEPR Gas Prices Real'!H395*(INDEX('GDP Deflator'!$C$5:$C$89,MATCH('IEPR Gas Prices Nominal'!$B395,'GDP Deflator'!$B$5:$B$89,0))/100)</f>
        <v>15.829506766090207</v>
      </c>
      <c r="I395" s="269">
        <f>'IEPR Gas Prices Real'!I395*(INDEX('GDP Deflator'!$C$5:$C$89,MATCH('IEPR Gas Prices Nominal'!$B395,'GDP Deflator'!$B$5:$B$89,0))/100)</f>
        <v>10.269846247047887</v>
      </c>
      <c r="J395" s="269">
        <f>'IEPR Gas Prices Real'!J395*(INDEX('GDP Deflator'!$C$5:$C$89,MATCH('IEPR Gas Prices Nominal'!$B395,'GDP Deflator'!$B$5:$B$89,0))/100)</f>
        <v>9.9573508754205502</v>
      </c>
      <c r="K395" s="269">
        <f>'IEPR Gas Prices Real'!K395*(INDEX('GDP Deflator'!$C$5:$C$89,MATCH('IEPR Gas Prices Nominal'!$B395,'GDP Deflator'!$B$5:$B$89,0))/100)</f>
        <v>20.227197122468436</v>
      </c>
      <c r="L395" s="268">
        <f>'IEPR Gas Prices Real'!L395*(INDEX('GDP Deflator'!$C$5:$C$89,MATCH('IEPR Gas Prices Nominal'!$B395,'GDP Deflator'!$B$5:$B$89,0))/100)</f>
        <v>10.646532846551347</v>
      </c>
      <c r="M395" s="269">
        <f>'IEPR Gas Prices Real'!M395*(INDEX('GDP Deflator'!$C$5:$C$89,MATCH('IEPR Gas Prices Nominal'!$B395,'GDP Deflator'!$B$5:$B$89,0))/100)</f>
        <v>4.7023996494485392</v>
      </c>
      <c r="N395" s="270">
        <f>'IEPR Gas Prices Real'!N395*(INDEX('GDP Deflator'!$C$5:$C$89,MATCH('IEPR Gas Prices Nominal'!$B395,'GDP Deflator'!$B$5:$B$89,0))/100)</f>
        <v>15.348932495999886</v>
      </c>
      <c r="O395" s="1"/>
      <c r="P395" s="274">
        <f t="shared" si="37"/>
        <v>10.24168799517752</v>
      </c>
      <c r="Q395" s="275">
        <f t="shared" si="41"/>
        <v>17.135212128186179</v>
      </c>
      <c r="R395" s="171"/>
    </row>
    <row r="396" spans="2:18">
      <c r="B396" s="94">
        <f t="shared" si="38"/>
        <v>2054</v>
      </c>
      <c r="C396" s="1">
        <f t="shared" si="39"/>
        <v>7</v>
      </c>
      <c r="D396" s="213">
        <v>56431</v>
      </c>
      <c r="E396" s="1" t="str">
        <f t="shared" si="40"/>
        <v>7-2054</v>
      </c>
      <c r="F396" s="268">
        <f>'IEPR Gas Prices Real'!F396*(INDEX('GDP Deflator'!$C$5:$C$89,MATCH('IEPR Gas Prices Nominal'!$B396,'GDP Deflator'!$B$5:$B$89,0))/100)</f>
        <v>9.8867196391326573</v>
      </c>
      <c r="G396" s="269">
        <f>'IEPR Gas Prices Real'!G396*(INDEX('GDP Deflator'!$C$5:$C$89,MATCH('IEPR Gas Prices Nominal'!$B396,'GDP Deflator'!$B$5:$B$89,0))/100)</f>
        <v>6.0208218741568809</v>
      </c>
      <c r="H396" s="270">
        <f>'IEPR Gas Prices Real'!H396*(INDEX('GDP Deflator'!$C$5:$C$89,MATCH('IEPR Gas Prices Nominal'!$B396,'GDP Deflator'!$B$5:$B$89,0))/100)</f>
        <v>15.907541513289539</v>
      </c>
      <c r="I396" s="269">
        <f>'IEPR Gas Prices Real'!I396*(INDEX('GDP Deflator'!$C$5:$C$89,MATCH('IEPR Gas Prices Nominal'!$B396,'GDP Deflator'!$B$5:$B$89,0))/100)</f>
        <v>10.351450757895233</v>
      </c>
      <c r="J396" s="269">
        <f>'IEPR Gas Prices Real'!J396*(INDEX('GDP Deflator'!$C$5:$C$89,MATCH('IEPR Gas Prices Nominal'!$B396,'GDP Deflator'!$B$5:$B$89,0))/100)</f>
        <v>9.9573508754205502</v>
      </c>
      <c r="K396" s="269">
        <f>'IEPR Gas Prices Real'!K396*(INDEX('GDP Deflator'!$C$5:$C$89,MATCH('IEPR Gas Prices Nominal'!$B396,'GDP Deflator'!$B$5:$B$89,0))/100)</f>
        <v>20.308801633315781</v>
      </c>
      <c r="L396" s="268">
        <f>'IEPR Gas Prices Real'!L396*(INDEX('GDP Deflator'!$C$5:$C$89,MATCH('IEPR Gas Prices Nominal'!$B396,'GDP Deflator'!$B$5:$B$89,0))/100)</f>
        <v>10.731126900800293</v>
      </c>
      <c r="M396" s="269">
        <f>'IEPR Gas Prices Real'!M396*(INDEX('GDP Deflator'!$C$5:$C$89,MATCH('IEPR Gas Prices Nominal'!$B396,'GDP Deflator'!$B$5:$B$89,0))/100)</f>
        <v>4.7023996494485392</v>
      </c>
      <c r="N396" s="270">
        <f>'IEPR Gas Prices Real'!N396*(INDEX('GDP Deflator'!$C$5:$C$89,MATCH('IEPR Gas Prices Nominal'!$B396,'GDP Deflator'!$B$5:$B$89,0))/100)</f>
        <v>15.433526550248832</v>
      </c>
      <c r="O396" s="1"/>
      <c r="P396" s="274">
        <f t="shared" si="37"/>
        <v>10.323099099276062</v>
      </c>
      <c r="Q396" s="275">
        <f t="shared" si="41"/>
        <v>17.216623232284718</v>
      </c>
      <c r="R396" s="171"/>
    </row>
    <row r="397" spans="2:18">
      <c r="B397" s="94">
        <f t="shared" si="38"/>
        <v>2054</v>
      </c>
      <c r="C397" s="1">
        <f t="shared" si="39"/>
        <v>8</v>
      </c>
      <c r="D397" s="213">
        <v>56462</v>
      </c>
      <c r="E397" s="1" t="str">
        <f t="shared" si="40"/>
        <v>8-2054</v>
      </c>
      <c r="F397" s="268">
        <f>'IEPR Gas Prices Real'!F397*(INDEX('GDP Deflator'!$C$5:$C$89,MATCH('IEPR Gas Prices Nominal'!$B397,'GDP Deflator'!$B$5:$B$89,0))/100)</f>
        <v>9.8105703978490233</v>
      </c>
      <c r="G397" s="269">
        <f>'IEPR Gas Prices Real'!G397*(INDEX('GDP Deflator'!$C$5:$C$89,MATCH('IEPR Gas Prices Nominal'!$B397,'GDP Deflator'!$B$5:$B$89,0))/100)</f>
        <v>6.0208218741568809</v>
      </c>
      <c r="H397" s="270">
        <f>'IEPR Gas Prices Real'!H397*(INDEX('GDP Deflator'!$C$5:$C$89,MATCH('IEPR Gas Prices Nominal'!$B397,'GDP Deflator'!$B$5:$B$89,0))/100)</f>
        <v>15.831392272005903</v>
      </c>
      <c r="I397" s="269">
        <f>'IEPR Gas Prices Real'!I397*(INDEX('GDP Deflator'!$C$5:$C$89,MATCH('IEPR Gas Prices Nominal'!$B397,'GDP Deflator'!$B$5:$B$89,0))/100)</f>
        <v>10.271623747686798</v>
      </c>
      <c r="J397" s="269">
        <f>'IEPR Gas Prices Real'!J397*(INDEX('GDP Deflator'!$C$5:$C$89,MATCH('IEPR Gas Prices Nominal'!$B397,'GDP Deflator'!$B$5:$B$89,0))/100)</f>
        <v>9.9573508754205502</v>
      </c>
      <c r="K397" s="269">
        <f>'IEPR Gas Prices Real'!K397*(INDEX('GDP Deflator'!$C$5:$C$89,MATCH('IEPR Gas Prices Nominal'!$B397,'GDP Deflator'!$B$5:$B$89,0))/100)</f>
        <v>20.228974623107348</v>
      </c>
      <c r="L397" s="268">
        <f>'IEPR Gas Prices Real'!L397*(INDEX('GDP Deflator'!$C$5:$C$89,MATCH('IEPR Gas Prices Nominal'!$B397,'GDP Deflator'!$B$5:$B$89,0))/100)</f>
        <v>10.64836836000071</v>
      </c>
      <c r="M397" s="269">
        <f>'IEPR Gas Prices Real'!M397*(INDEX('GDP Deflator'!$C$5:$C$89,MATCH('IEPR Gas Prices Nominal'!$B397,'GDP Deflator'!$B$5:$B$89,0))/100)</f>
        <v>4.7023996494485392</v>
      </c>
      <c r="N397" s="270">
        <f>'IEPR Gas Prices Real'!N397*(INDEX('GDP Deflator'!$C$5:$C$89,MATCH('IEPR Gas Prices Nominal'!$B397,'GDP Deflator'!$B$5:$B$89,0))/100)</f>
        <v>15.350768009449249</v>
      </c>
      <c r="O397" s="1"/>
      <c r="P397" s="274">
        <f t="shared" si="37"/>
        <v>10.243520835178844</v>
      </c>
      <c r="Q397" s="275">
        <f t="shared" si="41"/>
        <v>17.137044968187499</v>
      </c>
      <c r="R397" s="171"/>
    </row>
    <row r="398" spans="2:18">
      <c r="B398" s="94">
        <f t="shared" si="38"/>
        <v>2054</v>
      </c>
      <c r="C398" s="1">
        <f t="shared" si="39"/>
        <v>9</v>
      </c>
      <c r="D398" s="213">
        <v>56493</v>
      </c>
      <c r="E398" s="1" t="str">
        <f t="shared" si="40"/>
        <v>9-2054</v>
      </c>
      <c r="F398" s="268">
        <f>'IEPR Gas Prices Real'!F398*(INDEX('GDP Deflator'!$C$5:$C$89,MATCH('IEPR Gas Prices Nominal'!$B398,'GDP Deflator'!$B$5:$B$89,0))/100)</f>
        <v>9.9487844323044552</v>
      </c>
      <c r="G398" s="269">
        <f>'IEPR Gas Prices Real'!G398*(INDEX('GDP Deflator'!$C$5:$C$89,MATCH('IEPR Gas Prices Nominal'!$B398,'GDP Deflator'!$B$5:$B$89,0))/100)</f>
        <v>6.0208218741568809</v>
      </c>
      <c r="H398" s="270">
        <f>'IEPR Gas Prices Real'!H398*(INDEX('GDP Deflator'!$C$5:$C$89,MATCH('IEPR Gas Prices Nominal'!$B398,'GDP Deflator'!$B$5:$B$89,0))/100)</f>
        <v>15.969606306461335</v>
      </c>
      <c r="I398" s="269">
        <f>'IEPR Gas Prices Real'!I398*(INDEX('GDP Deflator'!$C$5:$C$89,MATCH('IEPR Gas Prices Nominal'!$B398,'GDP Deflator'!$B$5:$B$89,0))/100)</f>
        <v>10.416233511600552</v>
      </c>
      <c r="J398" s="269">
        <f>'IEPR Gas Prices Real'!J398*(INDEX('GDP Deflator'!$C$5:$C$89,MATCH('IEPR Gas Prices Nominal'!$B398,'GDP Deflator'!$B$5:$B$89,0))/100)</f>
        <v>9.9573508754205502</v>
      </c>
      <c r="K398" s="269">
        <f>'IEPR Gas Prices Real'!K398*(INDEX('GDP Deflator'!$C$5:$C$89,MATCH('IEPR Gas Prices Nominal'!$B398,'GDP Deflator'!$B$5:$B$89,0))/100)</f>
        <v>20.373584387021104</v>
      </c>
      <c r="L398" s="268">
        <f>'IEPR Gas Prices Real'!L398*(INDEX('GDP Deflator'!$C$5:$C$89,MATCH('IEPR Gas Prices Nominal'!$B398,'GDP Deflator'!$B$5:$B$89,0))/100)</f>
        <v>10.798278506079882</v>
      </c>
      <c r="M398" s="269">
        <f>'IEPR Gas Prices Real'!M398*(INDEX('GDP Deflator'!$C$5:$C$89,MATCH('IEPR Gas Prices Nominal'!$B398,'GDP Deflator'!$B$5:$B$89,0))/100)</f>
        <v>4.7023996494485392</v>
      </c>
      <c r="N398" s="270">
        <f>'IEPR Gas Prices Real'!N398*(INDEX('GDP Deflator'!$C$5:$C$89,MATCH('IEPR Gas Prices Nominal'!$B398,'GDP Deflator'!$B$5:$B$89,0))/100)</f>
        <v>15.500678155528421</v>
      </c>
      <c r="O398" s="1"/>
      <c r="P398" s="274">
        <f t="shared" si="37"/>
        <v>10.387765483328296</v>
      </c>
      <c r="Q398" s="275">
        <f t="shared" si="41"/>
        <v>17.281289616336952</v>
      </c>
      <c r="R398" s="171"/>
    </row>
    <row r="399" spans="2:18">
      <c r="B399" s="94">
        <f t="shared" si="38"/>
        <v>2054</v>
      </c>
      <c r="C399" s="1">
        <f t="shared" si="39"/>
        <v>10</v>
      </c>
      <c r="D399" s="213">
        <v>56523</v>
      </c>
      <c r="E399" s="1" t="str">
        <f t="shared" si="40"/>
        <v>10-2054</v>
      </c>
      <c r="F399" s="268">
        <f>'IEPR Gas Prices Real'!F399*(INDEX('GDP Deflator'!$C$5:$C$89,MATCH('IEPR Gas Prices Nominal'!$B399,'GDP Deflator'!$B$5:$B$89,0))/100)</f>
        <v>9.8916730387413523</v>
      </c>
      <c r="G399" s="269">
        <f>'IEPR Gas Prices Real'!G399*(INDEX('GDP Deflator'!$C$5:$C$89,MATCH('IEPR Gas Prices Nominal'!$B399,'GDP Deflator'!$B$5:$B$89,0))/100)</f>
        <v>6.0208218741568809</v>
      </c>
      <c r="H399" s="270">
        <f>'IEPR Gas Prices Real'!H399*(INDEX('GDP Deflator'!$C$5:$C$89,MATCH('IEPR Gas Prices Nominal'!$B399,'GDP Deflator'!$B$5:$B$89,0))/100)</f>
        <v>15.912494912898234</v>
      </c>
      <c r="I399" s="269">
        <f>'IEPR Gas Prices Real'!I399*(INDEX('GDP Deflator'!$C$5:$C$89,MATCH('IEPR Gas Prices Nominal'!$B399,'GDP Deflator'!$B$5:$B$89,0))/100)</f>
        <v>10.356339558591257</v>
      </c>
      <c r="J399" s="269">
        <f>'IEPR Gas Prices Real'!J399*(INDEX('GDP Deflator'!$C$5:$C$89,MATCH('IEPR Gas Prices Nominal'!$B399,'GDP Deflator'!$B$5:$B$89,0))/100)</f>
        <v>9.9573508754205502</v>
      </c>
      <c r="K399" s="269">
        <f>'IEPR Gas Prices Real'!K399*(INDEX('GDP Deflator'!$C$5:$C$89,MATCH('IEPR Gas Prices Nominal'!$B399,'GDP Deflator'!$B$5:$B$89,0))/100)</f>
        <v>20.313690434011807</v>
      </c>
      <c r="L399" s="268">
        <f>'IEPR Gas Prices Real'!L399*(INDEX('GDP Deflator'!$C$5:$C$89,MATCH('IEPR Gas Prices Nominal'!$B399,'GDP Deflator'!$B$5:$B$89,0))/100)</f>
        <v>10.736184149838484</v>
      </c>
      <c r="M399" s="269">
        <f>'IEPR Gas Prices Real'!M399*(INDEX('GDP Deflator'!$C$5:$C$89,MATCH('IEPR Gas Prices Nominal'!$B399,'GDP Deflator'!$B$5:$B$89,0))/100)</f>
        <v>4.7023996494485392</v>
      </c>
      <c r="N399" s="270">
        <f>'IEPR Gas Prices Real'!N399*(INDEX('GDP Deflator'!$C$5:$C$89,MATCH('IEPR Gas Prices Nominal'!$B399,'GDP Deflator'!$B$5:$B$89,0))/100)</f>
        <v>15.438583799287024</v>
      </c>
      <c r="O399" s="1"/>
      <c r="P399" s="274">
        <f t="shared" si="37"/>
        <v>10.328065582390366</v>
      </c>
      <c r="Q399" s="275">
        <f t="shared" si="41"/>
        <v>17.221589715399023</v>
      </c>
      <c r="R399" s="171"/>
    </row>
    <row r="400" spans="2:18">
      <c r="B400" s="94">
        <f t="shared" si="38"/>
        <v>2054</v>
      </c>
      <c r="C400" s="1">
        <f t="shared" si="39"/>
        <v>11</v>
      </c>
      <c r="D400" s="213">
        <v>56554</v>
      </c>
      <c r="E400" s="1" t="str">
        <f t="shared" si="40"/>
        <v>11-2054</v>
      </c>
      <c r="F400" s="268">
        <f>'IEPR Gas Prices Real'!F400*(INDEX('GDP Deflator'!$C$5:$C$89,MATCH('IEPR Gas Prices Nominal'!$B400,'GDP Deflator'!$B$5:$B$89,0))/100)</f>
        <v>10.380816578557369</v>
      </c>
      <c r="G400" s="269">
        <f>'IEPR Gas Prices Real'!G400*(INDEX('GDP Deflator'!$C$5:$C$89,MATCH('IEPR Gas Prices Nominal'!$B400,'GDP Deflator'!$B$5:$B$89,0))/100)</f>
        <v>6.0208218741568809</v>
      </c>
      <c r="H400" s="270">
        <f>'IEPR Gas Prices Real'!H400*(INDEX('GDP Deflator'!$C$5:$C$89,MATCH('IEPR Gas Prices Nominal'!$B400,'GDP Deflator'!$B$5:$B$89,0))/100)</f>
        <v>16.401638452714252</v>
      </c>
      <c r="I400" s="269">
        <f>'IEPR Gas Prices Real'!I400*(INDEX('GDP Deflator'!$C$5:$C$89,MATCH('IEPR Gas Prices Nominal'!$B400,'GDP Deflator'!$B$5:$B$89,0))/100)</f>
        <v>10.868356815866756</v>
      </c>
      <c r="J400" s="269">
        <f>'IEPR Gas Prices Real'!J400*(INDEX('GDP Deflator'!$C$5:$C$89,MATCH('IEPR Gas Prices Nominal'!$B400,'GDP Deflator'!$B$5:$B$89,0))/100)</f>
        <v>9.9573508754205502</v>
      </c>
      <c r="K400" s="269">
        <f>'IEPR Gas Prices Real'!K400*(INDEX('GDP Deflator'!$C$5:$C$89,MATCH('IEPR Gas Prices Nominal'!$B400,'GDP Deflator'!$B$5:$B$89,0))/100)</f>
        <v>20.825707691287306</v>
      </c>
      <c r="L400" s="268">
        <f>'IEPR Gas Prices Real'!L400*(INDEX('GDP Deflator'!$C$5:$C$89,MATCH('IEPR Gas Prices Nominal'!$B400,'GDP Deflator'!$B$5:$B$89,0))/100)</f>
        <v>11.266977116022321</v>
      </c>
      <c r="M400" s="269">
        <f>'IEPR Gas Prices Real'!M400*(INDEX('GDP Deflator'!$C$5:$C$89,MATCH('IEPR Gas Prices Nominal'!$B400,'GDP Deflator'!$B$5:$B$89,0))/100)</f>
        <v>4.7023996494485392</v>
      </c>
      <c r="N400" s="270">
        <f>'IEPR Gas Prices Real'!N400*(INDEX('GDP Deflator'!$C$5:$C$89,MATCH('IEPR Gas Prices Nominal'!$B400,'GDP Deflator'!$B$5:$B$89,0))/100)</f>
        <v>15.96937676547086</v>
      </c>
      <c r="O400" s="1"/>
      <c r="P400" s="274">
        <f t="shared" si="37"/>
        <v>10.838716836815484</v>
      </c>
      <c r="Q400" s="275">
        <f t="shared" si="41"/>
        <v>17.73224096982414</v>
      </c>
      <c r="R400" s="171"/>
    </row>
    <row r="401" spans="2:18">
      <c r="B401" s="95">
        <f t="shared" si="38"/>
        <v>2054</v>
      </c>
      <c r="C401" s="215">
        <f t="shared" si="39"/>
        <v>12</v>
      </c>
      <c r="D401" s="216">
        <v>56584</v>
      </c>
      <c r="E401" s="215" t="str">
        <f t="shared" si="40"/>
        <v>12-2054</v>
      </c>
      <c r="F401" s="271">
        <f>'IEPR Gas Prices Real'!F401*(INDEX('GDP Deflator'!$C$5:$C$89,MATCH('IEPR Gas Prices Nominal'!$B401,'GDP Deflator'!$B$5:$B$89,0))/100)</f>
        <v>10.46454563412968</v>
      </c>
      <c r="G401" s="272">
        <f>'IEPR Gas Prices Real'!G401*(INDEX('GDP Deflator'!$C$5:$C$89,MATCH('IEPR Gas Prices Nominal'!$B401,'GDP Deflator'!$B$5:$B$89,0))/100)</f>
        <v>6.0208218741568809</v>
      </c>
      <c r="H401" s="273">
        <f>'IEPR Gas Prices Real'!H401*(INDEX('GDP Deflator'!$C$5:$C$89,MATCH('IEPR Gas Prices Nominal'!$B401,'GDP Deflator'!$B$5:$B$89,0))/100)</f>
        <v>16.485367508286561</v>
      </c>
      <c r="I401" s="272">
        <f>'IEPR Gas Prices Real'!I401*(INDEX('GDP Deflator'!$C$5:$C$89,MATCH('IEPR Gas Prices Nominal'!$B401,'GDP Deflator'!$B$5:$B$89,0))/100)</f>
        <v>10.955913348521589</v>
      </c>
      <c r="J401" s="272">
        <f>'IEPR Gas Prices Real'!J401*(INDEX('GDP Deflator'!$C$5:$C$89,MATCH('IEPR Gas Prices Nominal'!$B401,'GDP Deflator'!$B$5:$B$89,0))/100)</f>
        <v>9.9573508754205502</v>
      </c>
      <c r="K401" s="272">
        <f>'IEPR Gas Prices Real'!K401*(INDEX('GDP Deflator'!$C$5:$C$89,MATCH('IEPR Gas Prices Nominal'!$B401,'GDP Deflator'!$B$5:$B$89,0))/100)</f>
        <v>20.913264223942136</v>
      </c>
      <c r="L401" s="271">
        <f>'IEPR Gas Prices Real'!L401*(INDEX('GDP Deflator'!$C$5:$C$89,MATCH('IEPR Gas Prices Nominal'!$B401,'GDP Deflator'!$B$5:$B$89,0))/100)</f>
        <v>11.357741140053035</v>
      </c>
      <c r="M401" s="272">
        <f>'IEPR Gas Prices Real'!M401*(INDEX('GDP Deflator'!$C$5:$C$89,MATCH('IEPR Gas Prices Nominal'!$B401,'GDP Deflator'!$B$5:$B$89,0))/100)</f>
        <v>4.7023996494485392</v>
      </c>
      <c r="N401" s="273">
        <f>'IEPR Gas Prices Real'!N401*(INDEX('GDP Deflator'!$C$5:$C$89,MATCH('IEPR Gas Prices Nominal'!$B401,'GDP Deflator'!$B$5:$B$89,0))/100)</f>
        <v>16.060140789501574</v>
      </c>
      <c r="O401" s="1"/>
      <c r="P401" s="276">
        <f t="shared" si="37"/>
        <v>10.926066707568102</v>
      </c>
      <c r="Q401" s="277">
        <f t="shared" si="41"/>
        <v>17.819590840576755</v>
      </c>
      <c r="R401" s="171"/>
    </row>
  </sheetData>
  <mergeCells count="6">
    <mergeCell ref="B4:C4"/>
    <mergeCell ref="Q4:Q5"/>
    <mergeCell ref="P4:P5"/>
    <mergeCell ref="L4:N4"/>
    <mergeCell ref="G4:H4"/>
    <mergeCell ref="J4:K4"/>
  </mergeCells>
  <pageMargins left="0.7" right="0.7" top="0.75" bottom="0.75" header="0.3" footer="0.3"/>
  <pageSetup orientation="portrait" horizontalDpi="90" verticalDpi="9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1CC16-1BCE-4B78-B754-C49E08B3723B}">
  <sheetPr codeName="Sheet13">
    <tabColor theme="5"/>
  </sheetPr>
  <dimension ref="A1:AY401"/>
  <sheetViews>
    <sheetView workbookViewId="0"/>
  </sheetViews>
  <sheetFormatPr baseColWidth="10" defaultColWidth="9" defaultRowHeight="15"/>
  <cols>
    <col min="1" max="1" width="7.796875" style="7" customWidth="1"/>
    <col min="5" max="5" width="11.796875" bestFit="1" customWidth="1"/>
    <col min="6" max="6" width="16.19921875" bestFit="1" customWidth="1"/>
    <col min="7" max="7" width="17.796875" bestFit="1" customWidth="1"/>
    <col min="8" max="8" width="14" bestFit="1" customWidth="1"/>
    <col min="9" max="9" width="16.19921875" bestFit="1" customWidth="1"/>
    <col min="10" max="10" width="17.796875" customWidth="1"/>
    <col min="11" max="11" width="14" bestFit="1" customWidth="1"/>
    <col min="12" max="12" width="21.3984375" bestFit="1" customWidth="1"/>
    <col min="13" max="13" width="17.796875" bestFit="1" customWidth="1"/>
    <col min="14" max="14" width="14" bestFit="1" customWidth="1"/>
    <col min="16" max="16" width="15.59765625" customWidth="1"/>
    <col min="17" max="17" width="23.19921875" bestFit="1" customWidth="1"/>
    <col min="18" max="18" width="9.796875" customWidth="1"/>
    <col min="19" max="19" width="16.796875" customWidth="1"/>
    <col min="20" max="20" width="12" bestFit="1" customWidth="1"/>
    <col min="21" max="21" width="9.796875" bestFit="1" customWidth="1"/>
  </cols>
  <sheetData>
    <row r="1" spans="1:51" s="56" customFormat="1">
      <c r="A1" s="26"/>
    </row>
    <row r="2" spans="1:51" s="181" customFormat="1">
      <c r="A2" s="59"/>
      <c r="B2" s="59" t="s">
        <v>210</v>
      </c>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row>
    <row r="3" spans="1:51" s="56" customFormat="1">
      <c r="A3" s="26"/>
    </row>
    <row r="4" spans="1:51" s="195" customFormat="1" ht="32.25" customHeight="1">
      <c r="A4" s="191"/>
      <c r="B4" s="370"/>
      <c r="C4" s="371"/>
      <c r="D4" s="209"/>
      <c r="E4" s="209"/>
      <c r="F4" s="217" t="s">
        <v>397</v>
      </c>
      <c r="G4" s="376" t="s">
        <v>196</v>
      </c>
      <c r="H4" s="378"/>
      <c r="I4" s="217" t="s">
        <v>195</v>
      </c>
      <c r="J4" s="376" t="s">
        <v>197</v>
      </c>
      <c r="K4" s="378"/>
      <c r="L4" s="376" t="s">
        <v>198</v>
      </c>
      <c r="M4" s="377"/>
      <c r="N4" s="378"/>
      <c r="O4" s="37"/>
      <c r="P4" s="374" t="s">
        <v>199</v>
      </c>
      <c r="Q4" s="372" t="s">
        <v>200</v>
      </c>
      <c r="R4" s="192"/>
      <c r="S4" s="193"/>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row>
    <row r="5" spans="1:51" s="195" customFormat="1">
      <c r="A5" s="191"/>
      <c r="B5" s="210" t="s">
        <v>201</v>
      </c>
      <c r="C5" s="211" t="s">
        <v>50</v>
      </c>
      <c r="D5" s="211" t="s">
        <v>202</v>
      </c>
      <c r="E5" s="211" t="s">
        <v>203</v>
      </c>
      <c r="F5" s="210" t="s">
        <v>204</v>
      </c>
      <c r="G5" s="211" t="s">
        <v>205</v>
      </c>
      <c r="H5" s="212" t="s">
        <v>206</v>
      </c>
      <c r="I5" s="210" t="s">
        <v>204</v>
      </c>
      <c r="J5" s="211" t="s">
        <v>205</v>
      </c>
      <c r="K5" s="212" t="s">
        <v>206</v>
      </c>
      <c r="L5" s="210" t="s">
        <v>204</v>
      </c>
      <c r="M5" s="211" t="s">
        <v>205</v>
      </c>
      <c r="N5" s="212" t="s">
        <v>206</v>
      </c>
      <c r="O5" s="37"/>
      <c r="P5" s="375"/>
      <c r="Q5" s="373"/>
      <c r="R5" s="192"/>
      <c r="S5" s="278" t="s">
        <v>207</v>
      </c>
      <c r="T5" s="279">
        <f>'User Dashboard'!E$58</f>
        <v>2023</v>
      </c>
      <c r="U5" s="279">
        <f>'User Dashboard'!F$58</f>
        <v>2024</v>
      </c>
      <c r="V5" s="279">
        <f>'User Dashboard'!G$58</f>
        <v>2025</v>
      </c>
      <c r="W5" s="279">
        <f>'User Dashboard'!H$58</f>
        <v>2026</v>
      </c>
      <c r="X5" s="279">
        <f>'User Dashboard'!I$58</f>
        <v>2027</v>
      </c>
      <c r="Y5" s="279">
        <f>'User Dashboard'!J$58</f>
        <v>2028</v>
      </c>
      <c r="Z5" s="279">
        <f>'User Dashboard'!K$58</f>
        <v>2029</v>
      </c>
      <c r="AA5" s="279">
        <f>'User Dashboard'!L$58</f>
        <v>2030</v>
      </c>
      <c r="AB5" s="279">
        <f>'User Dashboard'!M$58</f>
        <v>2031</v>
      </c>
      <c r="AC5" s="279">
        <f>'User Dashboard'!N$58</f>
        <v>2032</v>
      </c>
      <c r="AD5" s="279">
        <f>'User Dashboard'!O$58</f>
        <v>2033</v>
      </c>
      <c r="AE5" s="279">
        <f>'User Dashboard'!P$58</f>
        <v>2034</v>
      </c>
      <c r="AF5" s="279">
        <f>'User Dashboard'!Q$58</f>
        <v>2035</v>
      </c>
      <c r="AG5" s="279">
        <f>'User Dashboard'!R$58</f>
        <v>2036</v>
      </c>
      <c r="AH5" s="279">
        <f>'User Dashboard'!S$58</f>
        <v>2037</v>
      </c>
      <c r="AI5" s="279">
        <f>'User Dashboard'!T$58</f>
        <v>2038</v>
      </c>
      <c r="AJ5" s="279">
        <f>'User Dashboard'!U$58</f>
        <v>2039</v>
      </c>
      <c r="AK5" s="279">
        <f>'User Dashboard'!V$58</f>
        <v>2040</v>
      </c>
      <c r="AL5" s="279">
        <f>'User Dashboard'!W$58</f>
        <v>2041</v>
      </c>
      <c r="AM5" s="279">
        <f>'User Dashboard'!X$58</f>
        <v>2042</v>
      </c>
      <c r="AN5" s="279">
        <f>'User Dashboard'!Y$58</f>
        <v>2043</v>
      </c>
      <c r="AO5" s="279">
        <f>'User Dashboard'!Z$58</f>
        <v>2044</v>
      </c>
      <c r="AP5" s="279">
        <f>'User Dashboard'!AA$58</f>
        <v>2045</v>
      </c>
      <c r="AQ5" s="279">
        <f>'User Dashboard'!AB$58</f>
        <v>2046</v>
      </c>
      <c r="AR5" s="279">
        <f>'User Dashboard'!AC$58</f>
        <v>2047</v>
      </c>
      <c r="AS5" s="279">
        <f>'User Dashboard'!AD$58</f>
        <v>2048</v>
      </c>
      <c r="AT5" s="279">
        <f>'User Dashboard'!AE$58</f>
        <v>2049</v>
      </c>
      <c r="AU5" s="279">
        <f>'User Dashboard'!AF$58</f>
        <v>2050</v>
      </c>
      <c r="AV5" s="279">
        <f>'User Dashboard'!AG$58</f>
        <v>2051</v>
      </c>
      <c r="AW5" s="279">
        <f>'User Dashboard'!AH$58</f>
        <v>2052</v>
      </c>
      <c r="AX5" s="279">
        <f>'User Dashboard'!AI$58</f>
        <v>2053</v>
      </c>
      <c r="AY5" s="280">
        <f>'User Dashboard'!AJ$58</f>
        <v>2054</v>
      </c>
    </row>
    <row r="6" spans="1:51">
      <c r="A6" s="26"/>
      <c r="B6" s="94">
        <f>YEAR(D6)</f>
        <v>2022</v>
      </c>
      <c r="C6" s="1">
        <f>MONTH(D6)</f>
        <v>1</v>
      </c>
      <c r="D6" s="213">
        <v>44562</v>
      </c>
      <c r="E6" s="1" t="str">
        <f>C6&amp;"-"&amp;B6</f>
        <v>1-2022</v>
      </c>
      <c r="F6" s="293">
        <v>7.1456828023246928</v>
      </c>
      <c r="G6" s="294">
        <v>0.8880808876599291</v>
      </c>
      <c r="H6" s="295">
        <v>8.033763689984621</v>
      </c>
      <c r="I6" s="294">
        <v>7.6905059775732125</v>
      </c>
      <c r="J6" s="294">
        <v>1.4664363155196718</v>
      </c>
      <c r="K6" s="294">
        <v>9.1569422930928841</v>
      </c>
      <c r="L6" s="293">
        <v>7.663440790131764</v>
      </c>
      <c r="M6" s="294">
        <v>0.69253054374736689</v>
      </c>
      <c r="N6" s="295">
        <v>8.3559713338791308</v>
      </c>
      <c r="O6" s="1"/>
      <c r="P6" s="274">
        <f>AVERAGE(F6,I6,L6)</f>
        <v>7.4998765233432225</v>
      </c>
      <c r="Q6" s="275">
        <f>AVERAGE(H6,K6,N6)</f>
        <v>8.5155591056522137</v>
      </c>
      <c r="R6" s="171"/>
      <c r="S6" s="283">
        <v>1</v>
      </c>
      <c r="T6" s="281">
        <f t="shared" ref="T6:AC17" si="0">INDEX($P$6:$P$401,MATCH(_xlfn.CONCAT($S6,"-",T$5),$E$6:$E$401,0))</f>
        <v>5.6743612037801938</v>
      </c>
      <c r="U6" s="281">
        <f t="shared" si="0"/>
        <v>5.5275615737470085</v>
      </c>
      <c r="V6" s="281">
        <f t="shared" si="0"/>
        <v>5.5416814310859932</v>
      </c>
      <c r="W6" s="281">
        <f t="shared" si="0"/>
        <v>5.5406483233614097</v>
      </c>
      <c r="X6" s="281">
        <f t="shared" si="0"/>
        <v>5.5355627248575656</v>
      </c>
      <c r="Y6" s="281">
        <f t="shared" si="0"/>
        <v>5.5298932774110057</v>
      </c>
      <c r="Z6" s="281">
        <f t="shared" si="0"/>
        <v>5.5256846082773583</v>
      </c>
      <c r="AA6" s="281">
        <f t="shared" si="0"/>
        <v>5.5221248053937479</v>
      </c>
      <c r="AB6" s="281">
        <f t="shared" si="0"/>
        <v>5.5178788613960235</v>
      </c>
      <c r="AC6" s="281">
        <f t="shared" si="0"/>
        <v>5.5136318086028906</v>
      </c>
      <c r="AD6" s="281">
        <f t="shared" ref="AD6:AM17" si="1">INDEX($P$6:$P$401,MATCH(_xlfn.CONCAT($S6,"-",AD$5),$E$6:$E$401,0))</f>
        <v>5.5104434142509975</v>
      </c>
      <c r="AE6" s="281">
        <f t="shared" si="1"/>
        <v>5.5054561984836639</v>
      </c>
      <c r="AF6" s="281">
        <f t="shared" si="1"/>
        <v>5.502566611162842</v>
      </c>
      <c r="AG6" s="281">
        <f t="shared" si="1"/>
        <v>5.4955100559738534</v>
      </c>
      <c r="AH6" s="281">
        <f t="shared" si="1"/>
        <v>5.4891654272736696</v>
      </c>
      <c r="AI6" s="281">
        <f t="shared" si="1"/>
        <v>5.4850872797197958</v>
      </c>
      <c r="AJ6" s="281">
        <f t="shared" si="1"/>
        <v>5.4813584507119648</v>
      </c>
      <c r="AK6" s="281">
        <f t="shared" si="1"/>
        <v>5.477844222909571</v>
      </c>
      <c r="AL6" s="281">
        <f t="shared" si="1"/>
        <v>5.4731301884718926</v>
      </c>
      <c r="AM6" s="281">
        <f t="shared" si="1"/>
        <v>5.4687842256927404</v>
      </c>
      <c r="AN6" s="281">
        <f t="shared" ref="AN6:AY17" si="2">INDEX($P$6:$P$401,MATCH(_xlfn.CONCAT($S6,"-",AN$5),$E$6:$E$401,0))</f>
        <v>5.4645824706956416</v>
      </c>
      <c r="AO6" s="281">
        <f t="shared" si="2"/>
        <v>5.4605953462772021</v>
      </c>
      <c r="AP6" s="281">
        <f t="shared" si="2"/>
        <v>5.4566944056464957</v>
      </c>
      <c r="AQ6" s="281">
        <f t="shared" si="2"/>
        <v>5.4530410660728608</v>
      </c>
      <c r="AR6" s="281">
        <f t="shared" si="2"/>
        <v>5.4494533855446106</v>
      </c>
      <c r="AS6" s="281">
        <f t="shared" si="2"/>
        <v>5.4461346542652045</v>
      </c>
      <c r="AT6" s="281">
        <f t="shared" si="2"/>
        <v>5.4429559278051824</v>
      </c>
      <c r="AU6" s="281">
        <f t="shared" si="2"/>
        <v>5.4399704360330281</v>
      </c>
      <c r="AV6" s="281">
        <f t="shared" si="2"/>
        <v>5.4370760904811526</v>
      </c>
      <c r="AW6" s="281">
        <f t="shared" si="2"/>
        <v>5.4344052896056461</v>
      </c>
      <c r="AX6" s="281">
        <f t="shared" si="2"/>
        <v>5.4317589753010518</v>
      </c>
      <c r="AY6" s="282">
        <f t="shared" si="2"/>
        <v>5.4298281947506881</v>
      </c>
    </row>
    <row r="7" spans="1:51">
      <c r="A7" s="26"/>
      <c r="B7" s="94">
        <f t="shared" ref="B7:B70" si="3">YEAR(D7)</f>
        <v>2022</v>
      </c>
      <c r="C7" s="1">
        <f t="shared" ref="C7:C70" si="4">MONTH(D7)</f>
        <v>2</v>
      </c>
      <c r="D7" s="213">
        <v>44593</v>
      </c>
      <c r="E7" s="1" t="str">
        <f t="shared" ref="E7:E70" si="5">C7&amp;"-"&amp;B7</f>
        <v>2-2022</v>
      </c>
      <c r="F7" s="296">
        <v>6.9893045661019109</v>
      </c>
      <c r="G7" s="297">
        <v>0.8880808876599291</v>
      </c>
      <c r="H7" s="298">
        <v>7.87738545376184</v>
      </c>
      <c r="I7" s="297">
        <v>7.5222046698182128</v>
      </c>
      <c r="J7" s="297">
        <v>1.4664363155196718</v>
      </c>
      <c r="K7" s="297">
        <v>8.9886409853378844</v>
      </c>
      <c r="L7" s="296">
        <v>7.4957317849449332</v>
      </c>
      <c r="M7" s="297">
        <v>0.69253054374736689</v>
      </c>
      <c r="N7" s="298">
        <v>8.1882623286923</v>
      </c>
      <c r="O7" s="1"/>
      <c r="P7" s="274">
        <f t="shared" ref="P7:P70" si="6">AVERAGE(F7,I7,L7)</f>
        <v>7.3357470069550184</v>
      </c>
      <c r="Q7" s="275">
        <f t="shared" ref="Q7:Q70" si="7">AVERAGE(H7,K7,N7)</f>
        <v>8.3514295892640078</v>
      </c>
      <c r="R7" s="171"/>
      <c r="S7" s="284">
        <v>2</v>
      </c>
      <c r="T7" s="281">
        <f t="shared" si="0"/>
        <v>5.5370138478692335</v>
      </c>
      <c r="U7" s="281">
        <f t="shared" si="0"/>
        <v>5.4078552822790158</v>
      </c>
      <c r="V7" s="281">
        <f t="shared" si="0"/>
        <v>5.4203509771348513</v>
      </c>
      <c r="W7" s="281">
        <f t="shared" si="0"/>
        <v>5.4189858779831779</v>
      </c>
      <c r="X7" s="281">
        <f t="shared" si="0"/>
        <v>5.413948372232646</v>
      </c>
      <c r="Y7" s="281">
        <f t="shared" si="0"/>
        <v>5.408527146707315</v>
      </c>
      <c r="Z7" s="281">
        <f t="shared" si="0"/>
        <v>5.4044737409237511</v>
      </c>
      <c r="AA7" s="281">
        <f t="shared" si="0"/>
        <v>5.4009317526008838</v>
      </c>
      <c r="AB7" s="281">
        <f t="shared" si="0"/>
        <v>5.3967685841031274</v>
      </c>
      <c r="AC7" s="281">
        <f t="shared" si="0"/>
        <v>5.3927249744787185</v>
      </c>
      <c r="AD7" s="281">
        <f t="shared" si="1"/>
        <v>5.389426352838945</v>
      </c>
      <c r="AE7" s="281">
        <f t="shared" si="1"/>
        <v>5.3847688568847332</v>
      </c>
      <c r="AF7" s="281">
        <f t="shared" si="1"/>
        <v>5.3815678702847691</v>
      </c>
      <c r="AG7" s="281">
        <f t="shared" si="1"/>
        <v>5.3747109606175245</v>
      </c>
      <c r="AH7" s="281">
        <f t="shared" si="1"/>
        <v>5.3687041305412322</v>
      </c>
      <c r="AI7" s="281">
        <f t="shared" si="1"/>
        <v>5.364743651358638</v>
      </c>
      <c r="AJ7" s="281">
        <f t="shared" si="1"/>
        <v>5.3611254682811689</v>
      </c>
      <c r="AK7" s="281">
        <f t="shared" si="1"/>
        <v>5.3575785772221947</v>
      </c>
      <c r="AL7" s="281">
        <f t="shared" si="1"/>
        <v>5.352999422627577</v>
      </c>
      <c r="AM7" s="281">
        <f t="shared" si="1"/>
        <v>5.3487597031443856</v>
      </c>
      <c r="AN7" s="281">
        <f t="shared" si="2"/>
        <v>5.3446684679227872</v>
      </c>
      <c r="AO7" s="281">
        <f t="shared" si="2"/>
        <v>5.3407742918657908</v>
      </c>
      <c r="AP7" s="281">
        <f t="shared" si="2"/>
        <v>5.3369803958264681</v>
      </c>
      <c r="AQ7" s="281">
        <f t="shared" si="2"/>
        <v>5.333410761719624</v>
      </c>
      <c r="AR7" s="281">
        <f t="shared" si="2"/>
        <v>5.3299245154652501</v>
      </c>
      <c r="AS7" s="281">
        <f t="shared" si="2"/>
        <v>5.326689351235685</v>
      </c>
      <c r="AT7" s="281">
        <f t="shared" si="2"/>
        <v>5.3235968013975183</v>
      </c>
      <c r="AU7" s="281">
        <f t="shared" si="2"/>
        <v>5.3206829141445269</v>
      </c>
      <c r="AV7" s="281">
        <f t="shared" si="2"/>
        <v>5.3178721003814848</v>
      </c>
      <c r="AW7" s="281">
        <f t="shared" si="2"/>
        <v>5.3152562988403771</v>
      </c>
      <c r="AX7" s="281">
        <f t="shared" si="2"/>
        <v>5.3127297898425532</v>
      </c>
      <c r="AY7" s="282">
        <f t="shared" si="2"/>
        <v>5.3108603194679063</v>
      </c>
    </row>
    <row r="8" spans="1:51">
      <c r="A8" s="26"/>
      <c r="B8" s="94">
        <f t="shared" si="3"/>
        <v>2022</v>
      </c>
      <c r="C8" s="1">
        <f t="shared" si="4"/>
        <v>3</v>
      </c>
      <c r="D8" s="213">
        <v>44621</v>
      </c>
      <c r="E8" s="1" t="str">
        <f t="shared" si="5"/>
        <v>3-2022</v>
      </c>
      <c r="F8" s="296">
        <v>6.4164671135239679</v>
      </c>
      <c r="G8" s="297">
        <v>0.8880808876599291</v>
      </c>
      <c r="H8" s="298">
        <v>7.304548001183897</v>
      </c>
      <c r="I8" s="297">
        <v>6.9056911783719812</v>
      </c>
      <c r="J8" s="297">
        <v>1.4664363155196718</v>
      </c>
      <c r="K8" s="297">
        <v>8.3721274938916537</v>
      </c>
      <c r="L8" s="296">
        <v>6.881387988607818</v>
      </c>
      <c r="M8" s="297">
        <v>0.69253054374736689</v>
      </c>
      <c r="N8" s="298">
        <v>7.5739185323551848</v>
      </c>
      <c r="O8" s="1"/>
      <c r="P8" s="274">
        <f t="shared" si="6"/>
        <v>6.7345154268345881</v>
      </c>
      <c r="Q8" s="275">
        <f t="shared" si="7"/>
        <v>7.7501980091435785</v>
      </c>
      <c r="R8" s="171"/>
      <c r="S8" s="284">
        <v>3</v>
      </c>
      <c r="T8" s="281">
        <f t="shared" si="0"/>
        <v>5.0711161840361472</v>
      </c>
      <c r="U8" s="281">
        <f t="shared" si="0"/>
        <v>4.9657892583210819</v>
      </c>
      <c r="V8" s="281">
        <f t="shared" si="0"/>
        <v>4.9760534466558513</v>
      </c>
      <c r="W8" s="281">
        <f t="shared" si="0"/>
        <v>4.9744746923420964</v>
      </c>
      <c r="X8" s="281">
        <f t="shared" si="0"/>
        <v>4.9697920342671633</v>
      </c>
      <c r="Y8" s="281">
        <f t="shared" si="0"/>
        <v>4.9649291025943532</v>
      </c>
      <c r="Z8" s="281">
        <f t="shared" si="0"/>
        <v>4.9612658935819143</v>
      </c>
      <c r="AA8" s="281">
        <f t="shared" si="0"/>
        <v>4.9579590392494763</v>
      </c>
      <c r="AB8" s="281">
        <f t="shared" si="0"/>
        <v>4.9541277678965621</v>
      </c>
      <c r="AC8" s="281">
        <f t="shared" si="0"/>
        <v>4.950517012046407</v>
      </c>
      <c r="AD8" s="281">
        <f t="shared" si="1"/>
        <v>4.9473234924722265</v>
      </c>
      <c r="AE8" s="281">
        <f t="shared" si="1"/>
        <v>4.9432502206357496</v>
      </c>
      <c r="AF8" s="281">
        <f t="shared" si="1"/>
        <v>4.9399676531462395</v>
      </c>
      <c r="AG8" s="281">
        <f t="shared" si="1"/>
        <v>4.9337142417281337</v>
      </c>
      <c r="AH8" s="281">
        <f t="shared" si="1"/>
        <v>4.9283823713783681</v>
      </c>
      <c r="AI8" s="281">
        <f t="shared" si="1"/>
        <v>4.9247725813224195</v>
      </c>
      <c r="AJ8" s="281">
        <f t="shared" si="1"/>
        <v>4.9214776042328294</v>
      </c>
      <c r="AK8" s="281">
        <f t="shared" si="1"/>
        <v>4.9181208239242409</v>
      </c>
      <c r="AL8" s="281">
        <f t="shared" si="1"/>
        <v>4.9139460900022476</v>
      </c>
      <c r="AM8" s="281">
        <f t="shared" si="1"/>
        <v>4.9100640766678287</v>
      </c>
      <c r="AN8" s="281">
        <f t="shared" si="2"/>
        <v>4.9063252011662799</v>
      </c>
      <c r="AO8" s="281">
        <f t="shared" si="2"/>
        <v>4.9027554148257861</v>
      </c>
      <c r="AP8" s="281">
        <f t="shared" si="2"/>
        <v>4.8992923620437008</v>
      </c>
      <c r="AQ8" s="281">
        <f t="shared" si="2"/>
        <v>4.8960187390802092</v>
      </c>
      <c r="AR8" s="281">
        <f t="shared" si="2"/>
        <v>4.8928392644756409</v>
      </c>
      <c r="AS8" s="281">
        <f t="shared" si="2"/>
        <v>4.8898792939579288</v>
      </c>
      <c r="AT8" s="281">
        <f t="shared" si="2"/>
        <v>4.8870554577629015</v>
      </c>
      <c r="AU8" s="281">
        <f t="shared" si="2"/>
        <v>4.8843861455498958</v>
      </c>
      <c r="AV8" s="281">
        <f t="shared" si="2"/>
        <v>4.881824239921472</v>
      </c>
      <c r="AW8" s="281">
        <f t="shared" si="2"/>
        <v>4.8794196606845324</v>
      </c>
      <c r="AX8" s="281">
        <f t="shared" si="2"/>
        <v>4.877157042131878</v>
      </c>
      <c r="AY8" s="282">
        <f t="shared" si="2"/>
        <v>4.875458286514184</v>
      </c>
    </row>
    <row r="9" spans="1:51">
      <c r="A9" s="26"/>
      <c r="B9" s="94">
        <f t="shared" si="3"/>
        <v>2022</v>
      </c>
      <c r="C9" s="1">
        <f t="shared" si="4"/>
        <v>4</v>
      </c>
      <c r="D9" s="213">
        <v>44652</v>
      </c>
      <c r="E9" s="1" t="str">
        <f t="shared" si="5"/>
        <v>4-2022</v>
      </c>
      <c r="F9" s="296">
        <v>6.3075503701799951</v>
      </c>
      <c r="G9" s="297">
        <v>0.8880808876599291</v>
      </c>
      <c r="H9" s="298">
        <v>7.1956312578399242</v>
      </c>
      <c r="I9" s="297">
        <v>6.7884700689390067</v>
      </c>
      <c r="J9" s="297">
        <v>1.4664363155196718</v>
      </c>
      <c r="K9" s="297">
        <v>8.2549063844586783</v>
      </c>
      <c r="L9" s="296">
        <v>6.7645794152691066</v>
      </c>
      <c r="M9" s="297">
        <v>0.69253054374736689</v>
      </c>
      <c r="N9" s="298">
        <v>7.4571099590164733</v>
      </c>
      <c r="O9" s="1"/>
      <c r="P9" s="274">
        <f t="shared" si="6"/>
        <v>6.6201999514627028</v>
      </c>
      <c r="Q9" s="275">
        <f t="shared" si="7"/>
        <v>7.6358825337716922</v>
      </c>
      <c r="R9" s="171"/>
      <c r="S9" s="284">
        <v>4</v>
      </c>
      <c r="T9" s="281">
        <f t="shared" si="0"/>
        <v>4.9731526671499671</v>
      </c>
      <c r="U9" s="281">
        <f t="shared" si="0"/>
        <v>4.8826346904184446</v>
      </c>
      <c r="V9" s="281">
        <f t="shared" si="0"/>
        <v>4.8915377731867453</v>
      </c>
      <c r="W9" s="281">
        <f t="shared" si="0"/>
        <v>4.8896658058736611</v>
      </c>
      <c r="X9" s="281">
        <f t="shared" si="0"/>
        <v>4.8850055967772859</v>
      </c>
      <c r="Y9" s="281">
        <f t="shared" si="0"/>
        <v>4.880337251408382</v>
      </c>
      <c r="Z9" s="281">
        <f t="shared" si="0"/>
        <v>4.8767932226243387</v>
      </c>
      <c r="AA9" s="281">
        <f t="shared" si="0"/>
        <v>4.8734882727420485</v>
      </c>
      <c r="AB9" s="281">
        <f t="shared" si="0"/>
        <v>4.869712881032922</v>
      </c>
      <c r="AC9" s="281">
        <f t="shared" si="0"/>
        <v>4.8662631372167704</v>
      </c>
      <c r="AD9" s="281">
        <f t="shared" si="1"/>
        <v>4.8629613811444052</v>
      </c>
      <c r="AE9" s="281">
        <f t="shared" si="1"/>
        <v>4.8591563136981195</v>
      </c>
      <c r="AF9" s="281">
        <f t="shared" si="1"/>
        <v>4.8555913734199265</v>
      </c>
      <c r="AG9" s="281">
        <f t="shared" si="1"/>
        <v>4.8494849180710347</v>
      </c>
      <c r="AH9" s="281">
        <f t="shared" si="1"/>
        <v>4.8444230986318901</v>
      </c>
      <c r="AI9" s="281">
        <f t="shared" si="1"/>
        <v>4.840900231925052</v>
      </c>
      <c r="AJ9" s="281">
        <f t="shared" si="1"/>
        <v>4.8376873958346165</v>
      </c>
      <c r="AK9" s="281">
        <f t="shared" si="1"/>
        <v>4.8342887134545611</v>
      </c>
      <c r="AL9" s="281">
        <f t="shared" si="1"/>
        <v>4.8302134666389156</v>
      </c>
      <c r="AM9" s="281">
        <f t="shared" si="1"/>
        <v>4.8264073976244131</v>
      </c>
      <c r="AN9" s="281">
        <f t="shared" si="2"/>
        <v>4.8227487441340715</v>
      </c>
      <c r="AO9" s="281">
        <f t="shared" si="2"/>
        <v>4.8192446910133464</v>
      </c>
      <c r="AP9" s="281">
        <f t="shared" si="2"/>
        <v>4.8158599830431266</v>
      </c>
      <c r="AQ9" s="281">
        <f t="shared" si="2"/>
        <v>4.8126453168678776</v>
      </c>
      <c r="AR9" s="281">
        <f t="shared" si="2"/>
        <v>4.8095404971620423</v>
      </c>
      <c r="AS9" s="281">
        <f t="shared" si="2"/>
        <v>4.8066406427987713</v>
      </c>
      <c r="AT9" s="281">
        <f t="shared" si="2"/>
        <v>4.8038797320107882</v>
      </c>
      <c r="AU9" s="281">
        <f t="shared" si="2"/>
        <v>4.8012613878407384</v>
      </c>
      <c r="AV9" s="281">
        <f t="shared" si="2"/>
        <v>4.7987611910348589</v>
      </c>
      <c r="AW9" s="281">
        <f t="shared" si="2"/>
        <v>4.7963943156740454</v>
      </c>
      <c r="AX9" s="281">
        <f t="shared" si="2"/>
        <v>4.7942259595138976</v>
      </c>
      <c r="AY9" s="282">
        <f t="shared" si="2"/>
        <v>4.7925732371291829</v>
      </c>
    </row>
    <row r="10" spans="1:51">
      <c r="A10" s="26"/>
      <c r="B10" s="94">
        <f t="shared" si="3"/>
        <v>2022</v>
      </c>
      <c r="C10" s="1">
        <f t="shared" si="4"/>
        <v>5</v>
      </c>
      <c r="D10" s="213">
        <v>44682</v>
      </c>
      <c r="E10" s="1" t="str">
        <f t="shared" si="5"/>
        <v>5-2022</v>
      </c>
      <c r="F10" s="296">
        <v>6.527343227031249</v>
      </c>
      <c r="G10" s="297">
        <v>0.8880808876599291</v>
      </c>
      <c r="H10" s="298">
        <v>7.4154241146911781</v>
      </c>
      <c r="I10" s="297">
        <v>7.0250210503081414</v>
      </c>
      <c r="J10" s="297">
        <v>1.4664363155196718</v>
      </c>
      <c r="K10" s="297">
        <v>8.491457365827813</v>
      </c>
      <c r="L10" s="296">
        <v>7.0002979030846468</v>
      </c>
      <c r="M10" s="297">
        <v>0.69253054374736689</v>
      </c>
      <c r="N10" s="298">
        <v>7.6928284468320136</v>
      </c>
      <c r="O10" s="1"/>
      <c r="P10" s="274">
        <f t="shared" si="6"/>
        <v>6.8508873934746788</v>
      </c>
      <c r="Q10" s="275">
        <f t="shared" si="7"/>
        <v>7.8665699757836682</v>
      </c>
      <c r="R10" s="171"/>
      <c r="S10" s="284">
        <v>5</v>
      </c>
      <c r="T10" s="281">
        <f t="shared" si="0"/>
        <v>5.1341494962609193</v>
      </c>
      <c r="U10" s="281">
        <f t="shared" si="0"/>
        <v>5.0539521330057431</v>
      </c>
      <c r="V10" s="281">
        <f t="shared" si="0"/>
        <v>5.0619372192560608</v>
      </c>
      <c r="W10" s="281">
        <f t="shared" si="0"/>
        <v>5.0596688585901139</v>
      </c>
      <c r="X10" s="281">
        <f t="shared" si="0"/>
        <v>5.0547872352557368</v>
      </c>
      <c r="Y10" s="281">
        <f t="shared" si="0"/>
        <v>5.050072161056649</v>
      </c>
      <c r="Z10" s="281">
        <f t="shared" si="0"/>
        <v>5.0464636220972521</v>
      </c>
      <c r="AA10" s="281">
        <f t="shared" si="0"/>
        <v>5.0429873903603584</v>
      </c>
      <c r="AB10" s="281">
        <f t="shared" si="0"/>
        <v>5.039070967855241</v>
      </c>
      <c r="AC10" s="281">
        <f t="shared" si="0"/>
        <v>5.0356042101889669</v>
      </c>
      <c r="AD10" s="281">
        <f t="shared" si="1"/>
        <v>5.0320192954797411</v>
      </c>
      <c r="AE10" s="281">
        <f t="shared" si="1"/>
        <v>5.0282876355746309</v>
      </c>
      <c r="AF10" s="281">
        <f t="shared" si="1"/>
        <v>5.0242485972809217</v>
      </c>
      <c r="AG10" s="281">
        <f t="shared" si="1"/>
        <v>5.0179715855212255</v>
      </c>
      <c r="AH10" s="281">
        <f t="shared" si="1"/>
        <v>5.0129191830974271</v>
      </c>
      <c r="AI10" s="281">
        <f t="shared" si="1"/>
        <v>5.0093001010872227</v>
      </c>
      <c r="AJ10" s="281">
        <f t="shared" si="1"/>
        <v>5.0060024340463629</v>
      </c>
      <c r="AK10" s="281">
        <f t="shared" si="1"/>
        <v>5.0023829936036046</v>
      </c>
      <c r="AL10" s="281">
        <f t="shared" si="1"/>
        <v>4.9981953609663012</v>
      </c>
      <c r="AM10" s="281">
        <f t="shared" si="1"/>
        <v>4.9942670646875671</v>
      </c>
      <c r="AN10" s="281">
        <f t="shared" si="2"/>
        <v>4.9904982618929905</v>
      </c>
      <c r="AO10" s="281">
        <f t="shared" si="2"/>
        <v>4.9868774232342714</v>
      </c>
      <c r="AP10" s="281">
        <f t="shared" si="2"/>
        <v>4.9833950143701395</v>
      </c>
      <c r="AQ10" s="281">
        <f t="shared" si="2"/>
        <v>4.9800718364934715</v>
      </c>
      <c r="AR10" s="281">
        <f t="shared" si="2"/>
        <v>4.9768802317381278</v>
      </c>
      <c r="AS10" s="281">
        <f t="shared" si="2"/>
        <v>4.9738895450072649</v>
      </c>
      <c r="AT10" s="281">
        <f t="shared" si="2"/>
        <v>4.9710479419662326</v>
      </c>
      <c r="AU10" s="281">
        <f t="shared" si="2"/>
        <v>4.9683442137659695</v>
      </c>
      <c r="AV10" s="281">
        <f t="shared" si="2"/>
        <v>4.965775751655495</v>
      </c>
      <c r="AW10" s="281">
        <f t="shared" si="2"/>
        <v>4.963323178890688</v>
      </c>
      <c r="AX10" s="281">
        <f t="shared" si="2"/>
        <v>4.9611370659694005</v>
      </c>
      <c r="AY10" s="282">
        <f t="shared" si="2"/>
        <v>4.9594445496930026</v>
      </c>
    </row>
    <row r="11" spans="1:51">
      <c r="A11" s="26"/>
      <c r="B11" s="94">
        <f t="shared" si="3"/>
        <v>2022</v>
      </c>
      <c r="C11" s="1">
        <f t="shared" si="4"/>
        <v>6</v>
      </c>
      <c r="D11" s="213">
        <v>44713</v>
      </c>
      <c r="E11" s="1" t="str">
        <f t="shared" si="5"/>
        <v>6-2022</v>
      </c>
      <c r="F11" s="296">
        <v>5.8933446920913095</v>
      </c>
      <c r="G11" s="297">
        <v>0.8880808876599291</v>
      </c>
      <c r="H11" s="298">
        <v>6.7814255797512386</v>
      </c>
      <c r="I11" s="297">
        <v>6.2825875972566312</v>
      </c>
      <c r="J11" s="297">
        <v>1.4664363155196718</v>
      </c>
      <c r="K11" s="297">
        <v>7.7490239127763028</v>
      </c>
      <c r="L11" s="296">
        <v>6.3617699834319925</v>
      </c>
      <c r="M11" s="297">
        <v>0.69253054374736689</v>
      </c>
      <c r="N11" s="298">
        <v>7.0543005271793593</v>
      </c>
      <c r="O11" s="1"/>
      <c r="P11" s="274">
        <f t="shared" si="6"/>
        <v>6.1792340909266441</v>
      </c>
      <c r="Q11" s="275">
        <f t="shared" si="7"/>
        <v>7.1949166732356344</v>
      </c>
      <c r="R11" s="171"/>
      <c r="S11" s="284">
        <v>6</v>
      </c>
      <c r="T11" s="281">
        <f t="shared" si="0"/>
        <v>5.2544815794902187</v>
      </c>
      <c r="U11" s="281">
        <f t="shared" si="0"/>
        <v>5.186031246344637</v>
      </c>
      <c r="V11" s="281">
        <f t="shared" si="0"/>
        <v>5.1929630671573799</v>
      </c>
      <c r="W11" s="281">
        <f t="shared" si="0"/>
        <v>5.1902962293720316</v>
      </c>
      <c r="X11" s="281">
        <f t="shared" si="0"/>
        <v>5.1852276439683838</v>
      </c>
      <c r="Y11" s="281">
        <f t="shared" si="0"/>
        <v>5.1805094201907034</v>
      </c>
      <c r="Z11" s="281">
        <f t="shared" si="0"/>
        <v>5.1768679510146383</v>
      </c>
      <c r="AA11" s="281">
        <f t="shared" si="0"/>
        <v>5.1732441319510114</v>
      </c>
      <c r="AB11" s="281">
        <f t="shared" si="0"/>
        <v>5.169216575349175</v>
      </c>
      <c r="AC11" s="281">
        <f t="shared" si="0"/>
        <v>5.1657659145813879</v>
      </c>
      <c r="AD11" s="281">
        <f t="shared" si="1"/>
        <v>5.1619157102232469</v>
      </c>
      <c r="AE11" s="281">
        <f t="shared" si="1"/>
        <v>5.1582987526735877</v>
      </c>
      <c r="AF11" s="281">
        <f t="shared" si="1"/>
        <v>5.1537961899242788</v>
      </c>
      <c r="AG11" s="281">
        <f t="shared" si="1"/>
        <v>5.1473999583570667</v>
      </c>
      <c r="AH11" s="281">
        <f t="shared" si="1"/>
        <v>5.1424073370577483</v>
      </c>
      <c r="AI11" s="281">
        <f t="shared" si="1"/>
        <v>5.1387217691828617</v>
      </c>
      <c r="AJ11" s="281">
        <f t="shared" si="1"/>
        <v>5.1353665353506068</v>
      </c>
      <c r="AK11" s="281">
        <f t="shared" si="1"/>
        <v>5.1315483926017258</v>
      </c>
      <c r="AL11" s="281">
        <f t="shared" si="1"/>
        <v>5.1272827089663737</v>
      </c>
      <c r="AM11" s="281">
        <f t="shared" si="1"/>
        <v>5.123263358230183</v>
      </c>
      <c r="AN11" s="281">
        <f t="shared" si="2"/>
        <v>5.1194147519005284</v>
      </c>
      <c r="AO11" s="281">
        <f t="shared" si="2"/>
        <v>5.1157056064365216</v>
      </c>
      <c r="AP11" s="281">
        <f t="shared" si="2"/>
        <v>5.1121537878380749</v>
      </c>
      <c r="AQ11" s="281">
        <f t="shared" si="2"/>
        <v>5.1087481540316473</v>
      </c>
      <c r="AR11" s="281">
        <f t="shared" si="2"/>
        <v>5.1054958628490725</v>
      </c>
      <c r="AS11" s="281">
        <f t="shared" si="2"/>
        <v>5.1024382131467823</v>
      </c>
      <c r="AT11" s="281">
        <f t="shared" si="2"/>
        <v>5.0995389433286853</v>
      </c>
      <c r="AU11" s="281">
        <f t="shared" si="2"/>
        <v>5.0967712088146637</v>
      </c>
      <c r="AV11" s="281">
        <f t="shared" si="2"/>
        <v>5.0941555815308606</v>
      </c>
      <c r="AW11" s="281">
        <f t="shared" si="2"/>
        <v>5.0916361950126579</v>
      </c>
      <c r="AX11" s="281">
        <f t="shared" si="2"/>
        <v>5.0894527715095146</v>
      </c>
      <c r="AY11" s="282">
        <f t="shared" si="2"/>
        <v>5.0877346854497612</v>
      </c>
    </row>
    <row r="12" spans="1:51">
      <c r="A12" s="26"/>
      <c r="B12" s="94">
        <f t="shared" si="3"/>
        <v>2022</v>
      </c>
      <c r="C12" s="1">
        <f t="shared" si="4"/>
        <v>7</v>
      </c>
      <c r="D12" s="213">
        <v>44743</v>
      </c>
      <c r="E12" s="1" t="str">
        <f t="shared" si="5"/>
        <v>7-2022</v>
      </c>
      <c r="F12" s="296">
        <v>5.8054427213239075</v>
      </c>
      <c r="G12" s="297">
        <v>0.8880808876599291</v>
      </c>
      <c r="H12" s="298">
        <v>6.6935236089838366</v>
      </c>
      <c r="I12" s="297">
        <v>6.1774084137709648</v>
      </c>
      <c r="J12" s="297">
        <v>1.4664363155196718</v>
      </c>
      <c r="K12" s="297">
        <v>7.6438447292906364</v>
      </c>
      <c r="L12" s="296">
        <v>6.2747855806349273</v>
      </c>
      <c r="M12" s="297">
        <v>0.69253054374736689</v>
      </c>
      <c r="N12" s="298">
        <v>6.9673161243822941</v>
      </c>
      <c r="O12" s="1"/>
      <c r="P12" s="274">
        <f t="shared" si="6"/>
        <v>6.0858789052432662</v>
      </c>
      <c r="Q12" s="275">
        <f t="shared" si="7"/>
        <v>7.1015614875522557</v>
      </c>
      <c r="R12" s="171"/>
      <c r="S12" s="284">
        <v>7</v>
      </c>
      <c r="T12" s="281">
        <f t="shared" si="0"/>
        <v>5.2836722783361934</v>
      </c>
      <c r="U12" s="281">
        <f t="shared" si="0"/>
        <v>5.2286099985596923</v>
      </c>
      <c r="V12" s="281">
        <f t="shared" si="0"/>
        <v>5.2343270167336913</v>
      </c>
      <c r="W12" s="281">
        <f t="shared" si="0"/>
        <v>5.2312964616415103</v>
      </c>
      <c r="X12" s="281">
        <f t="shared" si="0"/>
        <v>5.2261264154806275</v>
      </c>
      <c r="Y12" s="281">
        <f t="shared" si="0"/>
        <v>5.2214904566033615</v>
      </c>
      <c r="Z12" s="281">
        <f t="shared" si="0"/>
        <v>5.2178809397661565</v>
      </c>
      <c r="AA12" s="281">
        <f t="shared" si="0"/>
        <v>5.2141701888437817</v>
      </c>
      <c r="AB12" s="281">
        <f t="shared" si="0"/>
        <v>5.2101007139132571</v>
      </c>
      <c r="AC12" s="281">
        <f t="shared" si="0"/>
        <v>5.2067292447296998</v>
      </c>
      <c r="AD12" s="281">
        <f t="shared" si="1"/>
        <v>5.202674498680242</v>
      </c>
      <c r="AE12" s="281">
        <f t="shared" si="1"/>
        <v>5.1992417126149189</v>
      </c>
      <c r="AF12" s="281">
        <f t="shared" si="1"/>
        <v>5.1943414426796037</v>
      </c>
      <c r="AG12" s="281">
        <f t="shared" si="1"/>
        <v>5.1879378657789523</v>
      </c>
      <c r="AH12" s="281">
        <f t="shared" si="1"/>
        <v>5.1830975582571375</v>
      </c>
      <c r="AI12" s="281">
        <f t="shared" si="1"/>
        <v>5.1794100429253653</v>
      </c>
      <c r="AJ12" s="281">
        <f t="shared" si="1"/>
        <v>5.1760560970596536</v>
      </c>
      <c r="AK12" s="281">
        <f t="shared" si="1"/>
        <v>5.1721016879117609</v>
      </c>
      <c r="AL12" s="281">
        <f t="shared" si="1"/>
        <v>5.1678326126718117</v>
      </c>
      <c r="AM12" s="281">
        <f t="shared" si="1"/>
        <v>5.1637919587607302</v>
      </c>
      <c r="AN12" s="281">
        <f t="shared" si="2"/>
        <v>5.159930588688491</v>
      </c>
      <c r="AO12" s="281">
        <f t="shared" si="2"/>
        <v>5.1561973585997469</v>
      </c>
      <c r="AP12" s="281">
        <f t="shared" si="2"/>
        <v>5.152638144719174</v>
      </c>
      <c r="AQ12" s="281">
        <f t="shared" si="2"/>
        <v>5.1492089751373431</v>
      </c>
      <c r="AR12" s="281">
        <f t="shared" si="2"/>
        <v>5.1459528800549883</v>
      </c>
      <c r="AS12" s="281">
        <f t="shared" si="2"/>
        <v>5.1428814079813687</v>
      </c>
      <c r="AT12" s="281">
        <f t="shared" si="2"/>
        <v>5.139975058002527</v>
      </c>
      <c r="AU12" s="281">
        <f t="shared" si="2"/>
        <v>5.137191303570078</v>
      </c>
      <c r="AV12" s="281">
        <f t="shared" si="2"/>
        <v>5.1345743143303961</v>
      </c>
      <c r="AW12" s="281">
        <f t="shared" si="2"/>
        <v>5.1320315032671351</v>
      </c>
      <c r="AX12" s="281">
        <f t="shared" si="2"/>
        <v>5.129890437231837</v>
      </c>
      <c r="AY12" s="282">
        <f t="shared" si="2"/>
        <v>5.1281770518153396</v>
      </c>
    </row>
    <row r="13" spans="1:51">
      <c r="A13" s="26"/>
      <c r="B13" s="94">
        <f t="shared" si="3"/>
        <v>2022</v>
      </c>
      <c r="C13" s="1">
        <f t="shared" si="4"/>
        <v>8</v>
      </c>
      <c r="D13" s="213">
        <v>44774</v>
      </c>
      <c r="E13" s="1" t="str">
        <f t="shared" si="5"/>
        <v>8-2022</v>
      </c>
      <c r="F13" s="296">
        <v>5.6269735425090337</v>
      </c>
      <c r="G13" s="297">
        <v>0.8880808876599291</v>
      </c>
      <c r="H13" s="298">
        <v>6.5150544301689628</v>
      </c>
      <c r="I13" s="297">
        <v>5.9758565121977352</v>
      </c>
      <c r="J13" s="297">
        <v>1.4664363155196718</v>
      </c>
      <c r="K13" s="297">
        <v>7.4422928277174067</v>
      </c>
      <c r="L13" s="296">
        <v>6.0899138939940274</v>
      </c>
      <c r="M13" s="297">
        <v>0.69253054374736689</v>
      </c>
      <c r="N13" s="298">
        <v>6.7824444377413942</v>
      </c>
      <c r="O13" s="1"/>
      <c r="P13" s="274">
        <f t="shared" si="6"/>
        <v>5.8975813162335982</v>
      </c>
      <c r="Q13" s="275">
        <f t="shared" si="7"/>
        <v>6.9132638985425876</v>
      </c>
      <c r="R13" s="171"/>
      <c r="S13" s="284">
        <v>8</v>
      </c>
      <c r="T13" s="281">
        <f t="shared" si="0"/>
        <v>5.2304608908891774</v>
      </c>
      <c r="U13" s="281">
        <f t="shared" si="0"/>
        <v>5.1896485662689846</v>
      </c>
      <c r="V13" s="281">
        <f t="shared" si="0"/>
        <v>5.1940613326812839</v>
      </c>
      <c r="W13" s="281">
        <f t="shared" si="0"/>
        <v>5.190714243252561</v>
      </c>
      <c r="X13" s="281">
        <f t="shared" si="0"/>
        <v>5.1855233494644253</v>
      </c>
      <c r="Y13" s="281">
        <f t="shared" si="0"/>
        <v>5.1810419810802975</v>
      </c>
      <c r="Z13" s="281">
        <f t="shared" si="0"/>
        <v>5.1775207212167382</v>
      </c>
      <c r="AA13" s="281">
        <f t="shared" si="0"/>
        <v>5.1737808944659305</v>
      </c>
      <c r="AB13" s="281">
        <f t="shared" si="0"/>
        <v>5.1697329626435122</v>
      </c>
      <c r="AC13" s="281">
        <f t="shared" si="0"/>
        <v>5.1664932878198462</v>
      </c>
      <c r="AD13" s="281">
        <f t="shared" si="1"/>
        <v>5.1622971941171087</v>
      </c>
      <c r="AE13" s="281">
        <f t="shared" si="1"/>
        <v>5.159102162984472</v>
      </c>
      <c r="AF13" s="281">
        <f t="shared" si="1"/>
        <v>5.1538805226936084</v>
      </c>
      <c r="AG13" s="281">
        <f t="shared" si="1"/>
        <v>5.1475694746344152</v>
      </c>
      <c r="AH13" s="281">
        <f t="shared" si="1"/>
        <v>5.1429570099137321</v>
      </c>
      <c r="AI13" s="281">
        <f t="shared" si="1"/>
        <v>5.1393250604403251</v>
      </c>
      <c r="AJ13" s="281">
        <f t="shared" si="1"/>
        <v>5.1360247139600883</v>
      </c>
      <c r="AK13" s="281">
        <f t="shared" si="1"/>
        <v>5.1319956833246811</v>
      </c>
      <c r="AL13" s="281">
        <f t="shared" si="1"/>
        <v>5.1277897999860214</v>
      </c>
      <c r="AM13" s="281">
        <f t="shared" si="1"/>
        <v>5.1237908595944051</v>
      </c>
      <c r="AN13" s="281">
        <f t="shared" si="2"/>
        <v>5.119976948182134</v>
      </c>
      <c r="AO13" s="281">
        <f t="shared" si="2"/>
        <v>5.1162778546634904</v>
      </c>
      <c r="AP13" s="281">
        <f t="shared" si="2"/>
        <v>5.1127667564505153</v>
      </c>
      <c r="AQ13" s="281">
        <f t="shared" si="2"/>
        <v>5.1093675300173658</v>
      </c>
      <c r="AR13" s="281">
        <f t="shared" si="2"/>
        <v>5.1061584151067745</v>
      </c>
      <c r="AS13" s="281">
        <f t="shared" si="2"/>
        <v>5.1031210228679189</v>
      </c>
      <c r="AT13" s="281">
        <f t="shared" si="2"/>
        <v>5.1002529211054108</v>
      </c>
      <c r="AU13" s="281">
        <f t="shared" si="2"/>
        <v>5.0974965609514937</v>
      </c>
      <c r="AV13" s="281">
        <f t="shared" si="2"/>
        <v>5.094919026330456</v>
      </c>
      <c r="AW13" s="281">
        <f t="shared" si="2"/>
        <v>5.0923924452367801</v>
      </c>
      <c r="AX13" s="281">
        <f t="shared" si="2"/>
        <v>5.0903271404508112</v>
      </c>
      <c r="AY13" s="282">
        <f t="shared" si="2"/>
        <v>5.0886451802482755</v>
      </c>
    </row>
    <row r="14" spans="1:51">
      <c r="A14" s="26"/>
      <c r="B14" s="94">
        <f t="shared" si="3"/>
        <v>2022</v>
      </c>
      <c r="C14" s="1">
        <f t="shared" si="4"/>
        <v>9</v>
      </c>
      <c r="D14" s="213">
        <v>44805</v>
      </c>
      <c r="E14" s="1" t="str">
        <f t="shared" si="5"/>
        <v>9-2022</v>
      </c>
      <c r="F14" s="296">
        <v>5.5706035393388413</v>
      </c>
      <c r="G14" s="297">
        <v>0.8880808876599291</v>
      </c>
      <c r="H14" s="298">
        <v>6.4586844269987704</v>
      </c>
      <c r="I14" s="297">
        <v>5.9038982488870086</v>
      </c>
      <c r="J14" s="297">
        <v>1.4664363155196718</v>
      </c>
      <c r="K14" s="297">
        <v>7.3703345644066802</v>
      </c>
      <c r="L14" s="296">
        <v>6.0372389924311092</v>
      </c>
      <c r="M14" s="297">
        <v>0.69253054374736689</v>
      </c>
      <c r="N14" s="298">
        <v>6.729769536178476</v>
      </c>
      <c r="O14" s="1"/>
      <c r="P14" s="274">
        <f t="shared" si="6"/>
        <v>5.8372469268856539</v>
      </c>
      <c r="Q14" s="275">
        <f t="shared" si="7"/>
        <v>6.8529295091946425</v>
      </c>
      <c r="R14" s="171"/>
      <c r="S14" s="284">
        <v>9</v>
      </c>
      <c r="T14" s="281">
        <f t="shared" si="0"/>
        <v>5.2914566285924627</v>
      </c>
      <c r="U14" s="281">
        <f t="shared" si="0"/>
        <v>5.2640905198081676</v>
      </c>
      <c r="V14" s="281">
        <f t="shared" si="0"/>
        <v>5.267287431513104</v>
      </c>
      <c r="W14" s="281">
        <f t="shared" si="0"/>
        <v>5.2635485092998415</v>
      </c>
      <c r="X14" s="281">
        <f t="shared" si="0"/>
        <v>5.2582229593992578</v>
      </c>
      <c r="Y14" s="281">
        <f t="shared" si="0"/>
        <v>5.2537990194013329</v>
      </c>
      <c r="Z14" s="281">
        <f t="shared" si="0"/>
        <v>5.2502894610336179</v>
      </c>
      <c r="AA14" s="281">
        <f t="shared" si="0"/>
        <v>5.2464384752984019</v>
      </c>
      <c r="AB14" s="281">
        <f t="shared" si="0"/>
        <v>5.2423235759253757</v>
      </c>
      <c r="AC14" s="281">
        <f t="shared" si="0"/>
        <v>5.2391455815280219</v>
      </c>
      <c r="AD14" s="281">
        <f t="shared" si="1"/>
        <v>5.2347153558514963</v>
      </c>
      <c r="AE14" s="281">
        <f t="shared" si="1"/>
        <v>5.2316896127636561</v>
      </c>
      <c r="AF14" s="281">
        <f t="shared" si="1"/>
        <v>5.2260302218231667</v>
      </c>
      <c r="AG14" s="281">
        <f t="shared" si="1"/>
        <v>5.2196740797889474</v>
      </c>
      <c r="AH14" s="281">
        <f t="shared" si="1"/>
        <v>5.2151898876029144</v>
      </c>
      <c r="AI14" s="281">
        <f t="shared" si="1"/>
        <v>5.2115343179698392</v>
      </c>
      <c r="AJ14" s="281">
        <f t="shared" si="1"/>
        <v>5.2082156342978152</v>
      </c>
      <c r="AK14" s="281">
        <f t="shared" si="1"/>
        <v>5.2040232779407587</v>
      </c>
      <c r="AL14" s="281">
        <f t="shared" si="1"/>
        <v>5.1997888799283833</v>
      </c>
      <c r="AM14" s="281">
        <f t="shared" si="1"/>
        <v>5.195744342696007</v>
      </c>
      <c r="AN14" s="281">
        <f t="shared" si="2"/>
        <v>5.1918946678766673</v>
      </c>
      <c r="AO14" s="281">
        <f t="shared" si="2"/>
        <v>5.1881489191299286</v>
      </c>
      <c r="AP14" s="281">
        <f t="shared" si="2"/>
        <v>5.1846093500560499</v>
      </c>
      <c r="AQ14" s="281">
        <f t="shared" si="2"/>
        <v>5.1811658153527187</v>
      </c>
      <c r="AR14" s="281">
        <f t="shared" si="2"/>
        <v>5.1779337001260641</v>
      </c>
      <c r="AS14" s="281">
        <f t="shared" si="2"/>
        <v>5.1748640863404161</v>
      </c>
      <c r="AT14" s="281">
        <f t="shared" si="2"/>
        <v>5.1719716650833405</v>
      </c>
      <c r="AU14" s="281">
        <f t="shared" si="2"/>
        <v>5.1691825099894757</v>
      </c>
      <c r="AV14" s="281">
        <f t="shared" si="2"/>
        <v>5.1665882331056663</v>
      </c>
      <c r="AW14" s="281">
        <f t="shared" si="2"/>
        <v>5.1640226542288552</v>
      </c>
      <c r="AX14" s="281">
        <f t="shared" si="2"/>
        <v>5.16198836062906</v>
      </c>
      <c r="AY14" s="282">
        <f t="shared" si="2"/>
        <v>5.1603011904612428</v>
      </c>
    </row>
    <row r="15" spans="1:51">
      <c r="A15" s="26"/>
      <c r="B15" s="94">
        <f t="shared" si="3"/>
        <v>2022</v>
      </c>
      <c r="C15" s="1">
        <f t="shared" si="4"/>
        <v>10</v>
      </c>
      <c r="D15" s="213">
        <v>44835</v>
      </c>
      <c r="E15" s="1" t="str">
        <f t="shared" si="5"/>
        <v>10-2022</v>
      </c>
      <c r="F15" s="296">
        <v>5.4037542560324061</v>
      </c>
      <c r="G15" s="297">
        <v>0.8880808876599291</v>
      </c>
      <c r="H15" s="298">
        <v>6.2918351436923352</v>
      </c>
      <c r="I15" s="297">
        <v>5.7147491508052966</v>
      </c>
      <c r="J15" s="297">
        <v>1.4664363155196718</v>
      </c>
      <c r="K15" s="297">
        <v>7.1811854663249681</v>
      </c>
      <c r="L15" s="296">
        <v>5.8649001566336709</v>
      </c>
      <c r="M15" s="297">
        <v>0.69253054374736689</v>
      </c>
      <c r="N15" s="298">
        <v>6.5574307003810377</v>
      </c>
      <c r="O15" s="1"/>
      <c r="P15" s="274">
        <f t="shared" si="6"/>
        <v>5.6611345211571242</v>
      </c>
      <c r="Q15" s="275">
        <f t="shared" si="7"/>
        <v>6.6768171034661137</v>
      </c>
      <c r="R15" s="171"/>
      <c r="S15" s="284">
        <v>10</v>
      </c>
      <c r="T15" s="281">
        <f t="shared" si="0"/>
        <v>5.2484607300222157</v>
      </c>
      <c r="U15" s="281">
        <f t="shared" si="0"/>
        <v>5.2351929691282066</v>
      </c>
      <c r="V15" s="281">
        <f t="shared" si="0"/>
        <v>5.2371007922891701</v>
      </c>
      <c r="W15" s="281">
        <f t="shared" si="0"/>
        <v>5.23304062057223</v>
      </c>
      <c r="X15" s="281">
        <f t="shared" si="0"/>
        <v>5.2276844676176069</v>
      </c>
      <c r="Y15" s="281">
        <f t="shared" si="0"/>
        <v>5.2234057991984235</v>
      </c>
      <c r="Z15" s="281">
        <f t="shared" si="0"/>
        <v>5.219977348022204</v>
      </c>
      <c r="AA15" s="281">
        <f t="shared" si="0"/>
        <v>5.2160903311196769</v>
      </c>
      <c r="AB15" s="281">
        <f t="shared" si="0"/>
        <v>5.2119891709916928</v>
      </c>
      <c r="AC15" s="281">
        <f t="shared" si="0"/>
        <v>5.2089361299828365</v>
      </c>
      <c r="AD15" s="281">
        <f t="shared" si="1"/>
        <v>5.2043573177769105</v>
      </c>
      <c r="AE15" s="281">
        <f t="shared" si="1"/>
        <v>5.2015620228173276</v>
      </c>
      <c r="AF15" s="281">
        <f t="shared" si="1"/>
        <v>5.1955730094528656</v>
      </c>
      <c r="AG15" s="281">
        <f t="shared" si="1"/>
        <v>5.189296923104159</v>
      </c>
      <c r="AH15" s="281">
        <f t="shared" si="1"/>
        <v>5.1850306250106994</v>
      </c>
      <c r="AI15" s="281">
        <f t="shared" si="1"/>
        <v>5.18142343101281</v>
      </c>
      <c r="AJ15" s="281">
        <f t="shared" si="1"/>
        <v>5.1781517968367501</v>
      </c>
      <c r="AK15" s="281">
        <f t="shared" si="1"/>
        <v>5.1738775508019339</v>
      </c>
      <c r="AL15" s="281">
        <f t="shared" si="1"/>
        <v>5.1696980242431732</v>
      </c>
      <c r="AM15" s="281">
        <f t="shared" si="1"/>
        <v>5.1656873849376517</v>
      </c>
      <c r="AN15" s="281">
        <f t="shared" si="2"/>
        <v>5.1618776749220645</v>
      </c>
      <c r="AO15" s="281">
        <f t="shared" si="2"/>
        <v>5.1581588563003198</v>
      </c>
      <c r="AP15" s="281">
        <f t="shared" si="2"/>
        <v>5.1546604810310059</v>
      </c>
      <c r="AQ15" s="281">
        <f t="shared" si="2"/>
        <v>5.1512402746333477</v>
      </c>
      <c r="AR15" s="281">
        <f t="shared" si="2"/>
        <v>5.1480487974470721</v>
      </c>
      <c r="AS15" s="281">
        <f t="shared" si="2"/>
        <v>5.1450073147149338</v>
      </c>
      <c r="AT15" s="281">
        <f t="shared" si="2"/>
        <v>5.1421474929171689</v>
      </c>
      <c r="AU15" s="281">
        <f t="shared" si="2"/>
        <v>5.1393803520836343</v>
      </c>
      <c r="AV15" s="281">
        <f t="shared" si="2"/>
        <v>5.1368204269294511</v>
      </c>
      <c r="AW15" s="281">
        <f t="shared" si="2"/>
        <v>5.1342661926513324</v>
      </c>
      <c r="AX15" s="281">
        <f t="shared" si="2"/>
        <v>5.1323033420727482</v>
      </c>
      <c r="AY15" s="282">
        <f t="shared" si="2"/>
        <v>5.1306442377340318</v>
      </c>
    </row>
    <row r="16" spans="1:51">
      <c r="A16" s="26"/>
      <c r="B16" s="94">
        <f t="shared" si="3"/>
        <v>2022</v>
      </c>
      <c r="C16" s="1">
        <f t="shared" si="4"/>
        <v>11</v>
      </c>
      <c r="D16" s="213">
        <v>44866</v>
      </c>
      <c r="E16" s="1" t="str">
        <f t="shared" si="5"/>
        <v>11-2022</v>
      </c>
      <c r="F16" s="296">
        <v>5.5294241038236178</v>
      </c>
      <c r="G16" s="297">
        <v>0.8880808876599291</v>
      </c>
      <c r="H16" s="298">
        <v>6.4175049914835469</v>
      </c>
      <c r="I16" s="297">
        <v>5.8344022247992893</v>
      </c>
      <c r="J16" s="297">
        <v>1.4664363155196718</v>
      </c>
      <c r="K16" s="297">
        <v>7.3008385403189608</v>
      </c>
      <c r="L16" s="296">
        <v>6.0104237593893215</v>
      </c>
      <c r="M16" s="297">
        <v>0.69253054374736689</v>
      </c>
      <c r="N16" s="298">
        <v>6.7029543031366883</v>
      </c>
      <c r="O16" s="1"/>
      <c r="P16" s="274">
        <f t="shared" si="6"/>
        <v>5.7914166960040765</v>
      </c>
      <c r="Q16" s="275">
        <f t="shared" si="7"/>
        <v>6.807099278313065</v>
      </c>
      <c r="R16" s="171"/>
      <c r="S16" s="284">
        <v>11</v>
      </c>
      <c r="T16" s="281">
        <f t="shared" si="0"/>
        <v>5.4947526100576516</v>
      </c>
      <c r="U16" s="281">
        <f t="shared" si="0"/>
        <v>5.4954599818545438</v>
      </c>
      <c r="V16" s="281">
        <f t="shared" si="0"/>
        <v>5.4961285198395311</v>
      </c>
      <c r="W16" s="281">
        <f t="shared" si="0"/>
        <v>5.4915078982220082</v>
      </c>
      <c r="X16" s="281">
        <f t="shared" si="0"/>
        <v>5.4858226811348629</v>
      </c>
      <c r="Y16" s="281">
        <f t="shared" si="0"/>
        <v>5.4814582410253143</v>
      </c>
      <c r="Z16" s="281">
        <f t="shared" si="0"/>
        <v>5.4779242302813058</v>
      </c>
      <c r="AA16" s="281">
        <f t="shared" si="0"/>
        <v>5.4737839850405097</v>
      </c>
      <c r="AB16" s="281">
        <f t="shared" si="0"/>
        <v>5.4694696508188398</v>
      </c>
      <c r="AC16" s="281">
        <f t="shared" si="0"/>
        <v>5.4663776280498348</v>
      </c>
      <c r="AD16" s="281">
        <f t="shared" si="1"/>
        <v>5.4613897626041279</v>
      </c>
      <c r="AE16" s="281">
        <f t="shared" si="1"/>
        <v>5.4586798645183761</v>
      </c>
      <c r="AF16" s="281">
        <f t="shared" si="1"/>
        <v>5.452014662519157</v>
      </c>
      <c r="AG16" s="281">
        <f t="shared" si="1"/>
        <v>5.4454739477456604</v>
      </c>
      <c r="AH16" s="281">
        <f t="shared" si="1"/>
        <v>5.4411983433812248</v>
      </c>
      <c r="AI16" s="281">
        <f t="shared" si="1"/>
        <v>5.4374415198238317</v>
      </c>
      <c r="AJ16" s="281">
        <f t="shared" si="1"/>
        <v>5.4340374873792685</v>
      </c>
      <c r="AK16" s="281">
        <f t="shared" si="1"/>
        <v>5.4294406797630677</v>
      </c>
      <c r="AL16" s="281">
        <f t="shared" si="1"/>
        <v>5.4250865518506766</v>
      </c>
      <c r="AM16" s="281">
        <f t="shared" si="1"/>
        <v>5.4208887949794766</v>
      </c>
      <c r="AN16" s="281">
        <f t="shared" si="2"/>
        <v>5.416909444470364</v>
      </c>
      <c r="AO16" s="281">
        <f t="shared" si="2"/>
        <v>5.4130124262718669</v>
      </c>
      <c r="AP16" s="281">
        <f t="shared" si="2"/>
        <v>5.4093629641254601</v>
      </c>
      <c r="AQ16" s="281">
        <f t="shared" si="2"/>
        <v>5.4057773651893983</v>
      </c>
      <c r="AR16" s="281">
        <f t="shared" si="2"/>
        <v>5.4024512462770389</v>
      </c>
      <c r="AS16" s="281">
        <f t="shared" si="2"/>
        <v>5.3992703920877991</v>
      </c>
      <c r="AT16" s="281">
        <f t="shared" si="2"/>
        <v>5.3962859390477966</v>
      </c>
      <c r="AU16" s="281">
        <f t="shared" si="2"/>
        <v>5.3933882631153756</v>
      </c>
      <c r="AV16" s="281">
        <f t="shared" si="2"/>
        <v>5.3907221718246516</v>
      </c>
      <c r="AW16" s="281">
        <f t="shared" si="2"/>
        <v>5.3880380799330316</v>
      </c>
      <c r="AX16" s="281">
        <f t="shared" si="2"/>
        <v>5.3860408892680098</v>
      </c>
      <c r="AY16" s="282">
        <f t="shared" si="2"/>
        <v>5.3843190324095227</v>
      </c>
    </row>
    <row r="17" spans="1:51">
      <c r="A17" s="26"/>
      <c r="B17" s="94">
        <f t="shared" si="3"/>
        <v>2022</v>
      </c>
      <c r="C17" s="1">
        <f t="shared" si="4"/>
        <v>12</v>
      </c>
      <c r="D17" s="213">
        <v>44896</v>
      </c>
      <c r="E17" s="1" t="str">
        <f t="shared" si="5"/>
        <v>12-2022</v>
      </c>
      <c r="F17" s="296">
        <v>5.4313297788500687</v>
      </c>
      <c r="G17" s="297">
        <v>0.8880808876599291</v>
      </c>
      <c r="H17" s="298">
        <v>6.3194106665099978</v>
      </c>
      <c r="I17" s="297">
        <v>5.7171988745800038</v>
      </c>
      <c r="J17" s="297">
        <v>1.4664363155196718</v>
      </c>
      <c r="K17" s="297">
        <v>7.1836351900996753</v>
      </c>
      <c r="L17" s="296">
        <v>5.91323522187135</v>
      </c>
      <c r="M17" s="297">
        <v>0.69253054374736689</v>
      </c>
      <c r="N17" s="298">
        <v>6.6057657656187168</v>
      </c>
      <c r="O17" s="1"/>
      <c r="P17" s="274">
        <f t="shared" si="6"/>
        <v>5.6872546251004747</v>
      </c>
      <c r="Q17" s="275">
        <f t="shared" si="7"/>
        <v>6.7029372074094633</v>
      </c>
      <c r="R17" s="171"/>
      <c r="S17" s="284">
        <v>12</v>
      </c>
      <c r="T17" s="281">
        <f t="shared" si="0"/>
        <v>5.5257198814528179</v>
      </c>
      <c r="U17" s="281">
        <f t="shared" si="0"/>
        <v>5.5411827759722199</v>
      </c>
      <c r="V17" s="281">
        <f t="shared" si="0"/>
        <v>5.5405122694137283</v>
      </c>
      <c r="W17" s="281">
        <f t="shared" si="0"/>
        <v>5.5354917894024043</v>
      </c>
      <c r="X17" s="281">
        <f t="shared" si="0"/>
        <v>5.5296959941912123</v>
      </c>
      <c r="Y17" s="281">
        <f t="shared" si="0"/>
        <v>5.5254231799430356</v>
      </c>
      <c r="Z17" s="281">
        <f t="shared" si="0"/>
        <v>5.5219251607759796</v>
      </c>
      <c r="AA17" s="281">
        <f t="shared" si="0"/>
        <v>5.5176900115681748</v>
      </c>
      <c r="AB17" s="281">
        <f t="shared" si="0"/>
        <v>5.5133304233471963</v>
      </c>
      <c r="AC17" s="281">
        <f t="shared" si="0"/>
        <v>5.5103263600576291</v>
      </c>
      <c r="AD17" s="281">
        <f t="shared" si="1"/>
        <v>5.505114152596267</v>
      </c>
      <c r="AE17" s="281">
        <f t="shared" si="1"/>
        <v>5.5026078340371134</v>
      </c>
      <c r="AF17" s="281">
        <f t="shared" si="1"/>
        <v>5.4955057601110369</v>
      </c>
      <c r="AG17" s="281">
        <f t="shared" si="1"/>
        <v>5.4889583844356338</v>
      </c>
      <c r="AH17" s="281">
        <f t="shared" si="1"/>
        <v>5.4848515909978266</v>
      </c>
      <c r="AI17" s="281">
        <f t="shared" si="1"/>
        <v>5.4810934451456035</v>
      </c>
      <c r="AJ17" s="281">
        <f t="shared" si="1"/>
        <v>5.4776915789480283</v>
      </c>
      <c r="AK17" s="281">
        <f t="shared" si="1"/>
        <v>5.4729455933246554</v>
      </c>
      <c r="AL17" s="281">
        <f t="shared" si="1"/>
        <v>5.4685886824714407</v>
      </c>
      <c r="AM17" s="281">
        <f t="shared" si="1"/>
        <v>5.4643683670738845</v>
      </c>
      <c r="AN17" s="281">
        <f t="shared" si="2"/>
        <v>5.4603758218861786</v>
      </c>
      <c r="AO17" s="281">
        <f t="shared" si="2"/>
        <v>5.4564531136088528</v>
      </c>
      <c r="AP17" s="281">
        <f t="shared" si="2"/>
        <v>5.4527963012819525</v>
      </c>
      <c r="AQ17" s="281">
        <f t="shared" si="2"/>
        <v>5.4491855488696066</v>
      </c>
      <c r="AR17" s="281">
        <f t="shared" si="2"/>
        <v>5.4458559670993267</v>
      </c>
      <c r="AS17" s="281">
        <f t="shared" si="2"/>
        <v>5.4426605763022673</v>
      </c>
      <c r="AT17" s="281">
        <f t="shared" si="2"/>
        <v>5.4396689745166862</v>
      </c>
      <c r="AU17" s="281">
        <f t="shared" si="2"/>
        <v>5.436754277825977</v>
      </c>
      <c r="AV17" s="281">
        <f t="shared" si="2"/>
        <v>5.4340872702879741</v>
      </c>
      <c r="AW17" s="281">
        <f t="shared" si="2"/>
        <v>5.431377949757568</v>
      </c>
      <c r="AX17" s="281">
        <f t="shared" si="2"/>
        <v>5.4294278815914154</v>
      </c>
      <c r="AY17" s="282">
        <f t="shared" si="2"/>
        <v>5.4277115832670484</v>
      </c>
    </row>
    <row r="18" spans="1:51">
      <c r="A18" s="26"/>
      <c r="B18" s="94">
        <f t="shared" si="3"/>
        <v>2023</v>
      </c>
      <c r="C18" s="1">
        <f t="shared" si="4"/>
        <v>1</v>
      </c>
      <c r="D18" s="213">
        <v>44927</v>
      </c>
      <c r="E18" s="1" t="str">
        <f t="shared" si="5"/>
        <v>1-2023</v>
      </c>
      <c r="F18" s="296">
        <v>5.4187817724984662</v>
      </c>
      <c r="G18" s="297">
        <v>0.8880808876599291</v>
      </c>
      <c r="H18" s="298">
        <v>6.3068626601583953</v>
      </c>
      <c r="I18" s="297">
        <v>5.7041353213930694</v>
      </c>
      <c r="J18" s="297">
        <v>1.4664363155196718</v>
      </c>
      <c r="K18" s="297">
        <v>7.170571636912741</v>
      </c>
      <c r="L18" s="296">
        <v>5.900166517449045</v>
      </c>
      <c r="M18" s="297">
        <v>0.69253054374736689</v>
      </c>
      <c r="N18" s="298">
        <v>6.5926970611964117</v>
      </c>
      <c r="O18" s="1"/>
      <c r="P18" s="274">
        <f t="shared" si="6"/>
        <v>5.6743612037801938</v>
      </c>
      <c r="Q18" s="275">
        <f t="shared" si="7"/>
        <v>6.6900437860891833</v>
      </c>
      <c r="R18" s="171"/>
      <c r="S18" s="286"/>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2"/>
    </row>
    <row r="19" spans="1:51">
      <c r="A19" s="26"/>
      <c r="B19" s="94">
        <f t="shared" si="3"/>
        <v>2023</v>
      </c>
      <c r="C19" s="1">
        <f t="shared" si="4"/>
        <v>2</v>
      </c>
      <c r="D19" s="213">
        <v>44958</v>
      </c>
      <c r="E19" s="1" t="str">
        <f t="shared" si="5"/>
        <v>2-2023</v>
      </c>
      <c r="F19" s="296">
        <v>5.2873904995635987</v>
      </c>
      <c r="G19" s="297">
        <v>0.8880808876599291</v>
      </c>
      <c r="H19" s="298">
        <v>6.1754713872235278</v>
      </c>
      <c r="I19" s="297">
        <v>5.5659670401308334</v>
      </c>
      <c r="J19" s="297">
        <v>1.4664363155196718</v>
      </c>
      <c r="K19" s="297">
        <v>7.032403355650505</v>
      </c>
      <c r="L19" s="296">
        <v>5.7576840039132691</v>
      </c>
      <c r="M19" s="297">
        <v>0.69253054374736689</v>
      </c>
      <c r="N19" s="298">
        <v>6.4502145476606358</v>
      </c>
      <c r="O19" s="1"/>
      <c r="P19" s="274">
        <f t="shared" si="6"/>
        <v>5.5370138478692335</v>
      </c>
      <c r="Q19" s="275">
        <f t="shared" si="7"/>
        <v>6.5526964301782229</v>
      </c>
      <c r="R19" s="171"/>
      <c r="S19" s="188"/>
      <c r="T19" s="188"/>
      <c r="U19" s="188"/>
      <c r="V19" s="188"/>
      <c r="W19" s="188"/>
      <c r="X19" s="188"/>
      <c r="Y19" s="188"/>
      <c r="Z19" s="188"/>
      <c r="AA19" s="188"/>
      <c r="AB19" s="188"/>
      <c r="AC19" s="188"/>
      <c r="AD19" s="188"/>
      <c r="AE19" s="188"/>
      <c r="AF19" s="188"/>
      <c r="AG19" s="188"/>
      <c r="AH19" s="188"/>
      <c r="AI19" s="188"/>
      <c r="AJ19" s="188"/>
      <c r="AK19" s="188"/>
      <c r="AL19" s="188"/>
      <c r="AM19" s="188"/>
      <c r="AN19" s="1"/>
      <c r="AO19" s="1"/>
      <c r="AP19" s="1"/>
      <c r="AQ19" s="1"/>
      <c r="AR19" s="1"/>
      <c r="AS19" s="1"/>
      <c r="AT19" s="1"/>
      <c r="AU19" s="1"/>
      <c r="AV19" s="1"/>
      <c r="AW19" s="1"/>
      <c r="AX19" s="1"/>
      <c r="AY19" s="1"/>
    </row>
    <row r="20" spans="1:51">
      <c r="A20" s="26"/>
      <c r="B20" s="94">
        <f t="shared" si="3"/>
        <v>2023</v>
      </c>
      <c r="C20" s="1">
        <f t="shared" si="4"/>
        <v>3</v>
      </c>
      <c r="D20" s="213">
        <v>44986</v>
      </c>
      <c r="E20" s="1" t="str">
        <f t="shared" si="5"/>
        <v>3-2023</v>
      </c>
      <c r="F20" s="296">
        <v>4.8422849164069195</v>
      </c>
      <c r="G20" s="297">
        <v>0.8880808876599291</v>
      </c>
      <c r="H20" s="298">
        <v>5.7303658040668486</v>
      </c>
      <c r="I20" s="297">
        <v>5.0975409364946254</v>
      </c>
      <c r="J20" s="297">
        <v>1.4664363155196718</v>
      </c>
      <c r="K20" s="297">
        <v>6.5639772520142969</v>
      </c>
      <c r="L20" s="296">
        <v>5.2735226992068975</v>
      </c>
      <c r="M20" s="297">
        <v>0.69253054374736689</v>
      </c>
      <c r="N20" s="298">
        <v>5.9660532429542643</v>
      </c>
      <c r="O20" s="1"/>
      <c r="P20" s="274">
        <f t="shared" si="6"/>
        <v>5.0711161840361472</v>
      </c>
      <c r="Q20" s="275">
        <f t="shared" si="7"/>
        <v>6.0867987663451366</v>
      </c>
      <c r="R20" s="171"/>
      <c r="S20" s="190" t="s">
        <v>209</v>
      </c>
      <c r="T20" s="88">
        <f>'User Dashboard'!E$58</f>
        <v>2023</v>
      </c>
      <c r="U20" s="88">
        <f>'User Dashboard'!F$58</f>
        <v>2024</v>
      </c>
      <c r="V20" s="88">
        <f>'User Dashboard'!G$58</f>
        <v>2025</v>
      </c>
      <c r="W20" s="88">
        <f>'User Dashboard'!H$58</f>
        <v>2026</v>
      </c>
      <c r="X20" s="88">
        <f>'User Dashboard'!I$58</f>
        <v>2027</v>
      </c>
      <c r="Y20" s="88">
        <f>'User Dashboard'!J$58</f>
        <v>2028</v>
      </c>
      <c r="Z20" s="88">
        <f>'User Dashboard'!K$58</f>
        <v>2029</v>
      </c>
      <c r="AA20" s="88">
        <f>'User Dashboard'!L$58</f>
        <v>2030</v>
      </c>
      <c r="AB20" s="88">
        <f>'User Dashboard'!M$58</f>
        <v>2031</v>
      </c>
      <c r="AC20" s="88">
        <f>'User Dashboard'!N$58</f>
        <v>2032</v>
      </c>
      <c r="AD20" s="88">
        <f>'User Dashboard'!O$58</f>
        <v>2033</v>
      </c>
      <c r="AE20" s="88">
        <f>'User Dashboard'!P$58</f>
        <v>2034</v>
      </c>
      <c r="AF20" s="88">
        <f>'User Dashboard'!Q$58</f>
        <v>2035</v>
      </c>
      <c r="AG20" s="88">
        <f>'User Dashboard'!R$58</f>
        <v>2036</v>
      </c>
      <c r="AH20" s="88">
        <f>'User Dashboard'!S$58</f>
        <v>2037</v>
      </c>
      <c r="AI20" s="88">
        <f>'User Dashboard'!T$58</f>
        <v>2038</v>
      </c>
      <c r="AJ20" s="88">
        <f>'User Dashboard'!U$58</f>
        <v>2039</v>
      </c>
      <c r="AK20" s="88">
        <f>'User Dashboard'!V$58</f>
        <v>2040</v>
      </c>
      <c r="AL20" s="88">
        <f>'User Dashboard'!W$58</f>
        <v>2041</v>
      </c>
      <c r="AM20" s="88">
        <f>'User Dashboard'!X$58</f>
        <v>2042</v>
      </c>
      <c r="AN20" s="88">
        <f>'User Dashboard'!Y$58</f>
        <v>2043</v>
      </c>
      <c r="AO20" s="88">
        <f>'User Dashboard'!Z$58</f>
        <v>2044</v>
      </c>
      <c r="AP20" s="88">
        <f>'User Dashboard'!AA$58</f>
        <v>2045</v>
      </c>
      <c r="AQ20" s="88">
        <f>'User Dashboard'!AB$58</f>
        <v>2046</v>
      </c>
      <c r="AR20" s="88">
        <f>'User Dashboard'!AC$58</f>
        <v>2047</v>
      </c>
      <c r="AS20" s="88">
        <f>'User Dashboard'!AD$58</f>
        <v>2048</v>
      </c>
      <c r="AT20" s="88">
        <f>'User Dashboard'!AE$58</f>
        <v>2049</v>
      </c>
      <c r="AU20" s="88">
        <f>'User Dashboard'!AF$58</f>
        <v>2050</v>
      </c>
      <c r="AV20" s="88">
        <f>'User Dashboard'!AG$58</f>
        <v>2051</v>
      </c>
      <c r="AW20" s="88">
        <f>'User Dashboard'!AH$58</f>
        <v>2052</v>
      </c>
      <c r="AX20" s="88">
        <f>'User Dashboard'!AI$58</f>
        <v>2053</v>
      </c>
      <c r="AY20" s="88">
        <f>'User Dashboard'!AJ$58</f>
        <v>2054</v>
      </c>
    </row>
    <row r="21" spans="1:51">
      <c r="A21" s="26"/>
      <c r="B21" s="94">
        <f t="shared" si="3"/>
        <v>2023</v>
      </c>
      <c r="C21" s="1">
        <f t="shared" si="4"/>
        <v>4</v>
      </c>
      <c r="D21" s="213">
        <v>45017</v>
      </c>
      <c r="E21" s="1" t="str">
        <f t="shared" si="5"/>
        <v>4-2023</v>
      </c>
      <c r="F21" s="296">
        <v>4.7485332191697536</v>
      </c>
      <c r="G21" s="297">
        <v>0.8880808876599291</v>
      </c>
      <c r="H21" s="298">
        <v>5.6366141068296827</v>
      </c>
      <c r="I21" s="297">
        <v>4.9989760489765462</v>
      </c>
      <c r="J21" s="297">
        <v>1.4664363155196718</v>
      </c>
      <c r="K21" s="297">
        <v>6.4654123644962178</v>
      </c>
      <c r="L21" s="296">
        <v>5.1719487333036032</v>
      </c>
      <c r="M21" s="297">
        <v>0.69253054374736689</v>
      </c>
      <c r="N21" s="298">
        <v>5.8644792770509699</v>
      </c>
      <c r="O21" s="1"/>
      <c r="P21" s="274">
        <f t="shared" si="6"/>
        <v>4.9731526671499671</v>
      </c>
      <c r="Q21" s="275">
        <f t="shared" si="7"/>
        <v>5.9888352494589556</v>
      </c>
      <c r="R21" s="171"/>
      <c r="S21" s="283">
        <v>1</v>
      </c>
      <c r="T21" s="287">
        <f t="shared" ref="T21:AC32" si="8">INDEX($Q$6:$Q$401,MATCH(_xlfn.CONCAT($S21,"-",T$20),$E$6:$E$401,0))</f>
        <v>6.6900437860891833</v>
      </c>
      <c r="U21" s="287">
        <f t="shared" si="8"/>
        <v>6.5838714593483578</v>
      </c>
      <c r="V21" s="287">
        <f t="shared" si="8"/>
        <v>6.6402437121113955</v>
      </c>
      <c r="W21" s="287">
        <f t="shared" si="8"/>
        <v>6.6831530956278291</v>
      </c>
      <c r="X21" s="287">
        <f t="shared" si="8"/>
        <v>6.7237676880146404</v>
      </c>
      <c r="Y21" s="287">
        <f t="shared" si="8"/>
        <v>6.7656264390943646</v>
      </c>
      <c r="Z21" s="287">
        <f t="shared" si="8"/>
        <v>6.8108470964280521</v>
      </c>
      <c r="AA21" s="287">
        <f t="shared" si="8"/>
        <v>6.8586937930704694</v>
      </c>
      <c r="AB21" s="287">
        <f t="shared" si="8"/>
        <v>6.9079106085798143</v>
      </c>
      <c r="AC21" s="287">
        <f t="shared" si="8"/>
        <v>6.9592648256740324</v>
      </c>
      <c r="AD21" s="287">
        <f t="shared" ref="AD21:AM32" si="9">INDEX($Q$6:$Q$401,MATCH(_xlfn.CONCAT($S21,"-",AD$20),$E$6:$E$401,0))</f>
        <v>7.013901752004986</v>
      </c>
      <c r="AE21" s="287">
        <f t="shared" si="9"/>
        <v>7.0690528697478108</v>
      </c>
      <c r="AF21" s="287">
        <f t="shared" si="9"/>
        <v>7.1287071492775551</v>
      </c>
      <c r="AG21" s="287">
        <f t="shared" si="9"/>
        <v>7.1866962156131562</v>
      </c>
      <c r="AH21" s="287">
        <f t="shared" si="9"/>
        <v>7.2479990332985444</v>
      </c>
      <c r="AI21" s="287">
        <f t="shared" si="9"/>
        <v>7.3142742299856645</v>
      </c>
      <c r="AJ21" s="287">
        <f t="shared" si="9"/>
        <v>7.3837128789884687</v>
      </c>
      <c r="AK21" s="287">
        <f t="shared" si="9"/>
        <v>7.4562928283171344</v>
      </c>
      <c r="AL21" s="287">
        <f t="shared" si="9"/>
        <v>7.5307167380957596</v>
      </c>
      <c r="AM21" s="287">
        <f t="shared" si="9"/>
        <v>7.6086742373015612</v>
      </c>
      <c r="AN21" s="287">
        <f t="shared" ref="AN21:AY32" si="10">INDEX($Q$6:$Q$401,MATCH(_xlfn.CONCAT($S21,"-",AN$20),$E$6:$E$401,0))</f>
        <v>7.6899837124274883</v>
      </c>
      <c r="AO21" s="287">
        <f t="shared" si="10"/>
        <v>7.7749249176513224</v>
      </c>
      <c r="AP21" s="287">
        <f t="shared" si="10"/>
        <v>7.8635059571693802</v>
      </c>
      <c r="AQ21" s="287">
        <f t="shared" si="10"/>
        <v>7.9560302559972955</v>
      </c>
      <c r="AR21" s="287">
        <f t="shared" si="10"/>
        <v>8.0524635546894441</v>
      </c>
      <c r="AS21" s="287">
        <f t="shared" si="10"/>
        <v>8.153162727609919</v>
      </c>
      <c r="AT21" s="287">
        <f t="shared" si="10"/>
        <v>8.2581585519215839</v>
      </c>
      <c r="AU21" s="287">
        <f t="shared" si="10"/>
        <v>8.3676703617786004</v>
      </c>
      <c r="AV21" s="287">
        <f t="shared" si="10"/>
        <v>8.4817688107551046</v>
      </c>
      <c r="AW21" s="287">
        <f t="shared" si="10"/>
        <v>8.6007659423605105</v>
      </c>
      <c r="AX21" s="287">
        <f t="shared" si="10"/>
        <v>8.7246495224098819</v>
      </c>
      <c r="AY21" s="288">
        <f t="shared" si="10"/>
        <v>8.8543048877536012</v>
      </c>
    </row>
    <row r="22" spans="1:51">
      <c r="A22" s="26"/>
      <c r="B22" s="94">
        <f t="shared" si="3"/>
        <v>2023</v>
      </c>
      <c r="C22" s="1">
        <f t="shared" si="4"/>
        <v>5</v>
      </c>
      <c r="D22" s="213">
        <v>45047</v>
      </c>
      <c r="E22" s="1" t="str">
        <f t="shared" si="5"/>
        <v>5-2023</v>
      </c>
      <c r="F22" s="296">
        <v>4.9020418811249717</v>
      </c>
      <c r="G22" s="297">
        <v>0.8880808876599291</v>
      </c>
      <c r="H22" s="298">
        <v>5.7901227687849008</v>
      </c>
      <c r="I22" s="297">
        <v>5.1607145723091232</v>
      </c>
      <c r="J22" s="297">
        <v>1.4664363155196718</v>
      </c>
      <c r="K22" s="297">
        <v>6.6271508878287948</v>
      </c>
      <c r="L22" s="296">
        <v>5.3396920353486639</v>
      </c>
      <c r="M22" s="297">
        <v>0.69253054374736689</v>
      </c>
      <c r="N22" s="298">
        <v>6.0322225790960307</v>
      </c>
      <c r="O22" s="1"/>
      <c r="P22" s="274">
        <f t="shared" si="6"/>
        <v>5.1341494962609193</v>
      </c>
      <c r="Q22" s="275">
        <f t="shared" si="7"/>
        <v>6.1498320785699079</v>
      </c>
      <c r="R22" s="171"/>
      <c r="S22" s="284">
        <v>2</v>
      </c>
      <c r="T22" s="281">
        <f t="shared" si="8"/>
        <v>6.5526964301782229</v>
      </c>
      <c r="U22" s="281">
        <f t="shared" si="8"/>
        <v>6.4641651678803642</v>
      </c>
      <c r="V22" s="281">
        <f t="shared" si="8"/>
        <v>6.5189132581602536</v>
      </c>
      <c r="W22" s="281">
        <f t="shared" si="8"/>
        <v>6.5614906502495964</v>
      </c>
      <c r="X22" s="281">
        <f t="shared" si="8"/>
        <v>6.6021533353897226</v>
      </c>
      <c r="Y22" s="281">
        <f t="shared" si="8"/>
        <v>6.6442603083906739</v>
      </c>
      <c r="Z22" s="281">
        <f t="shared" si="8"/>
        <v>6.6896362290744449</v>
      </c>
      <c r="AA22" s="281">
        <f t="shared" si="8"/>
        <v>6.7375007402776061</v>
      </c>
      <c r="AB22" s="281">
        <f t="shared" si="8"/>
        <v>6.7868003312869165</v>
      </c>
      <c r="AC22" s="281">
        <f t="shared" si="8"/>
        <v>6.8383579915498602</v>
      </c>
      <c r="AD22" s="281">
        <f t="shared" si="9"/>
        <v>6.8928846905929317</v>
      </c>
      <c r="AE22" s="281">
        <f t="shared" si="9"/>
        <v>6.9483655281488801</v>
      </c>
      <c r="AF22" s="281">
        <f t="shared" si="9"/>
        <v>7.0077084083994832</v>
      </c>
      <c r="AG22" s="281">
        <f t="shared" si="9"/>
        <v>7.0658971202568255</v>
      </c>
      <c r="AH22" s="281">
        <f t="shared" si="9"/>
        <v>7.127537736566107</v>
      </c>
      <c r="AI22" s="281">
        <f t="shared" si="9"/>
        <v>7.1939306016245075</v>
      </c>
      <c r="AJ22" s="281">
        <f t="shared" si="9"/>
        <v>7.2634798965576719</v>
      </c>
      <c r="AK22" s="281">
        <f t="shared" si="9"/>
        <v>7.3360271826297589</v>
      </c>
      <c r="AL22" s="281">
        <f t="shared" si="9"/>
        <v>7.410585972251444</v>
      </c>
      <c r="AM22" s="281">
        <f t="shared" si="9"/>
        <v>7.4886497147532083</v>
      </c>
      <c r="AN22" s="281">
        <f t="shared" si="10"/>
        <v>7.570069709654633</v>
      </c>
      <c r="AO22" s="281">
        <f t="shared" si="10"/>
        <v>7.655103863239912</v>
      </c>
      <c r="AP22" s="281">
        <f t="shared" si="10"/>
        <v>7.7437919473493508</v>
      </c>
      <c r="AQ22" s="281">
        <f t="shared" si="10"/>
        <v>7.8363999516440588</v>
      </c>
      <c r="AR22" s="281">
        <f t="shared" si="10"/>
        <v>7.9329346846100846</v>
      </c>
      <c r="AS22" s="281">
        <f t="shared" si="10"/>
        <v>8.0337174245803986</v>
      </c>
      <c r="AT22" s="281">
        <f t="shared" si="10"/>
        <v>8.1387994255139215</v>
      </c>
      <c r="AU22" s="281">
        <f t="shared" si="10"/>
        <v>8.2483828398900982</v>
      </c>
      <c r="AV22" s="281">
        <f t="shared" si="10"/>
        <v>8.3625648206554377</v>
      </c>
      <c r="AW22" s="281">
        <f t="shared" si="10"/>
        <v>8.4816169515952424</v>
      </c>
      <c r="AX22" s="281">
        <f t="shared" si="10"/>
        <v>8.6056203369513842</v>
      </c>
      <c r="AY22" s="282">
        <f t="shared" si="10"/>
        <v>8.7353370124708203</v>
      </c>
    </row>
    <row r="23" spans="1:51">
      <c r="A23" s="26"/>
      <c r="B23" s="94">
        <f t="shared" si="3"/>
        <v>2023</v>
      </c>
      <c r="C23" s="1">
        <f t="shared" si="4"/>
        <v>6</v>
      </c>
      <c r="D23" s="213">
        <v>45078</v>
      </c>
      <c r="E23" s="1" t="str">
        <f t="shared" si="5"/>
        <v>6-2023</v>
      </c>
      <c r="F23" s="296">
        <v>5.0167112643099268</v>
      </c>
      <c r="G23" s="297">
        <v>0.8880808876599291</v>
      </c>
      <c r="H23" s="298">
        <v>5.9047921519698559</v>
      </c>
      <c r="I23" s="297">
        <v>5.2815723124120861</v>
      </c>
      <c r="J23" s="297">
        <v>1.4664363155196718</v>
      </c>
      <c r="K23" s="297">
        <v>6.7480086279317577</v>
      </c>
      <c r="L23" s="296">
        <v>5.4651611617486431</v>
      </c>
      <c r="M23" s="297">
        <v>0.69253054374736689</v>
      </c>
      <c r="N23" s="298">
        <v>6.1576917054960099</v>
      </c>
      <c r="O23" s="1"/>
      <c r="P23" s="274">
        <f t="shared" si="6"/>
        <v>5.2544815794902187</v>
      </c>
      <c r="Q23" s="275">
        <f t="shared" si="7"/>
        <v>6.2701641617992081</v>
      </c>
      <c r="R23" s="171"/>
      <c r="S23" s="284">
        <v>3</v>
      </c>
      <c r="T23" s="281">
        <f t="shared" si="8"/>
        <v>6.0867987663451366</v>
      </c>
      <c r="U23" s="281">
        <f t="shared" si="8"/>
        <v>6.0220991439224294</v>
      </c>
      <c r="V23" s="281">
        <f t="shared" si="8"/>
        <v>6.0746157276812554</v>
      </c>
      <c r="W23" s="281">
        <f t="shared" si="8"/>
        <v>6.1169794646085158</v>
      </c>
      <c r="X23" s="281">
        <f t="shared" si="8"/>
        <v>6.157996997424239</v>
      </c>
      <c r="Y23" s="281">
        <f t="shared" si="8"/>
        <v>6.2006622642777112</v>
      </c>
      <c r="Z23" s="281">
        <f t="shared" si="8"/>
        <v>6.2464283817326072</v>
      </c>
      <c r="AA23" s="281">
        <f t="shared" si="8"/>
        <v>6.2945280269261978</v>
      </c>
      <c r="AB23" s="281">
        <f t="shared" si="8"/>
        <v>6.3441595150803529</v>
      </c>
      <c r="AC23" s="281">
        <f t="shared" si="8"/>
        <v>6.3961500291175488</v>
      </c>
      <c r="AD23" s="281">
        <f t="shared" si="9"/>
        <v>6.450781830226215</v>
      </c>
      <c r="AE23" s="281">
        <f t="shared" si="9"/>
        <v>6.5068468918998974</v>
      </c>
      <c r="AF23" s="281">
        <f t="shared" si="9"/>
        <v>6.5661081912609527</v>
      </c>
      <c r="AG23" s="281">
        <f t="shared" si="9"/>
        <v>6.6249004013674364</v>
      </c>
      <c r="AH23" s="281">
        <f t="shared" si="9"/>
        <v>6.687215977403242</v>
      </c>
      <c r="AI23" s="281">
        <f t="shared" si="9"/>
        <v>6.753959531588289</v>
      </c>
      <c r="AJ23" s="281">
        <f t="shared" si="9"/>
        <v>6.8238320325093333</v>
      </c>
      <c r="AK23" s="281">
        <f t="shared" si="9"/>
        <v>6.8965694293318052</v>
      </c>
      <c r="AL23" s="281">
        <f t="shared" si="9"/>
        <v>6.9715326396261146</v>
      </c>
      <c r="AM23" s="281">
        <f t="shared" si="9"/>
        <v>7.0499540882766496</v>
      </c>
      <c r="AN23" s="281">
        <f t="shared" si="10"/>
        <v>7.1317264428981275</v>
      </c>
      <c r="AO23" s="281">
        <f t="shared" si="10"/>
        <v>7.2170849861999073</v>
      </c>
      <c r="AP23" s="281">
        <f t="shared" si="10"/>
        <v>7.3061039135665844</v>
      </c>
      <c r="AQ23" s="281">
        <f t="shared" si="10"/>
        <v>7.399007929004644</v>
      </c>
      <c r="AR23" s="281">
        <f t="shared" si="10"/>
        <v>7.4958494336204753</v>
      </c>
      <c r="AS23" s="281">
        <f t="shared" si="10"/>
        <v>7.5969073673026415</v>
      </c>
      <c r="AT23" s="281">
        <f t="shared" si="10"/>
        <v>7.7022580818793047</v>
      </c>
      <c r="AU23" s="281">
        <f t="shared" si="10"/>
        <v>7.8120860712954681</v>
      </c>
      <c r="AV23" s="281">
        <f t="shared" si="10"/>
        <v>7.9265169601954248</v>
      </c>
      <c r="AW23" s="281">
        <f t="shared" si="10"/>
        <v>8.0457803134393959</v>
      </c>
      <c r="AX23" s="281">
        <f t="shared" si="10"/>
        <v>8.1700475892407081</v>
      </c>
      <c r="AY23" s="282">
        <f t="shared" si="10"/>
        <v>8.2999349795170954</v>
      </c>
    </row>
    <row r="24" spans="1:51">
      <c r="A24" s="26"/>
      <c r="B24" s="94">
        <f t="shared" si="3"/>
        <v>2023</v>
      </c>
      <c r="C24" s="1">
        <f t="shared" si="4"/>
        <v>7</v>
      </c>
      <c r="D24" s="213">
        <v>45108</v>
      </c>
      <c r="E24" s="1" t="str">
        <f t="shared" si="5"/>
        <v>7-2023</v>
      </c>
      <c r="F24" s="296">
        <v>5.0443560841730584</v>
      </c>
      <c r="G24" s="297">
        <v>0.8880808876599291</v>
      </c>
      <c r="H24" s="298">
        <v>5.9324369718329875</v>
      </c>
      <c r="I24" s="297">
        <v>5.3108155384060938</v>
      </c>
      <c r="J24" s="297">
        <v>1.4664363155196718</v>
      </c>
      <c r="K24" s="297">
        <v>6.7772518539257653</v>
      </c>
      <c r="L24" s="296">
        <v>5.4958452124294261</v>
      </c>
      <c r="M24" s="297">
        <v>0.69253054374736689</v>
      </c>
      <c r="N24" s="298">
        <v>6.1883757561767929</v>
      </c>
      <c r="O24" s="1"/>
      <c r="P24" s="274">
        <f t="shared" si="6"/>
        <v>5.2836722783361934</v>
      </c>
      <c r="Q24" s="275">
        <f t="shared" si="7"/>
        <v>6.2993548606451819</v>
      </c>
      <c r="R24" s="171"/>
      <c r="S24" s="284">
        <v>4</v>
      </c>
      <c r="T24" s="281">
        <f t="shared" si="8"/>
        <v>5.9888352494589556</v>
      </c>
      <c r="U24" s="281">
        <f t="shared" si="8"/>
        <v>5.938944576019793</v>
      </c>
      <c r="V24" s="281">
        <f t="shared" si="8"/>
        <v>5.9901000542121485</v>
      </c>
      <c r="W24" s="281">
        <f t="shared" si="8"/>
        <v>6.0321705781400796</v>
      </c>
      <c r="X24" s="281">
        <f t="shared" si="8"/>
        <v>6.0732105599343607</v>
      </c>
      <c r="Y24" s="281">
        <f t="shared" si="8"/>
        <v>6.1160704130917418</v>
      </c>
      <c r="Z24" s="281">
        <f t="shared" si="8"/>
        <v>6.1619557107750325</v>
      </c>
      <c r="AA24" s="281">
        <f t="shared" si="8"/>
        <v>6.2100572604187692</v>
      </c>
      <c r="AB24" s="281">
        <f t="shared" si="8"/>
        <v>6.2597446282167128</v>
      </c>
      <c r="AC24" s="281">
        <f t="shared" si="8"/>
        <v>6.3118961542879122</v>
      </c>
      <c r="AD24" s="281">
        <f t="shared" si="9"/>
        <v>6.366419718898392</v>
      </c>
      <c r="AE24" s="281">
        <f t="shared" si="9"/>
        <v>6.4227529849622682</v>
      </c>
      <c r="AF24" s="281">
        <f t="shared" si="9"/>
        <v>6.4817319115346406</v>
      </c>
      <c r="AG24" s="281">
        <f t="shared" si="9"/>
        <v>6.5406710777103356</v>
      </c>
      <c r="AH24" s="281">
        <f t="shared" si="9"/>
        <v>6.603256704656765</v>
      </c>
      <c r="AI24" s="281">
        <f t="shared" si="9"/>
        <v>6.6700871821909216</v>
      </c>
      <c r="AJ24" s="281">
        <f t="shared" si="9"/>
        <v>6.7400418241111195</v>
      </c>
      <c r="AK24" s="281">
        <f t="shared" si="9"/>
        <v>6.8127373188621254</v>
      </c>
      <c r="AL24" s="281">
        <f t="shared" si="9"/>
        <v>6.8878000162627826</v>
      </c>
      <c r="AM24" s="281">
        <f t="shared" si="9"/>
        <v>6.9662974092332348</v>
      </c>
      <c r="AN24" s="281">
        <f t="shared" si="10"/>
        <v>7.0481499858659191</v>
      </c>
      <c r="AO24" s="281">
        <f t="shared" si="10"/>
        <v>7.1335742623874685</v>
      </c>
      <c r="AP24" s="281">
        <f t="shared" si="10"/>
        <v>7.2226715345660102</v>
      </c>
      <c r="AQ24" s="281">
        <f t="shared" si="10"/>
        <v>7.3156345067923114</v>
      </c>
      <c r="AR24" s="281">
        <f t="shared" si="10"/>
        <v>7.4125506663068776</v>
      </c>
      <c r="AS24" s="281">
        <f t="shared" si="10"/>
        <v>7.513668716143485</v>
      </c>
      <c r="AT24" s="281">
        <f t="shared" si="10"/>
        <v>7.6190823561271914</v>
      </c>
      <c r="AU24" s="281">
        <f t="shared" si="10"/>
        <v>7.7289613135863107</v>
      </c>
      <c r="AV24" s="281">
        <f t="shared" si="10"/>
        <v>7.8434539113088109</v>
      </c>
      <c r="AW24" s="281">
        <f t="shared" si="10"/>
        <v>7.9627549684289081</v>
      </c>
      <c r="AX24" s="281">
        <f t="shared" si="10"/>
        <v>8.0871165066227277</v>
      </c>
      <c r="AY24" s="282">
        <f t="shared" si="10"/>
        <v>8.2170499301320952</v>
      </c>
    </row>
    <row r="25" spans="1:51">
      <c r="A25" s="26"/>
      <c r="B25" s="94">
        <f t="shared" si="3"/>
        <v>2023</v>
      </c>
      <c r="C25" s="1">
        <f t="shared" si="4"/>
        <v>8</v>
      </c>
      <c r="D25" s="213">
        <v>45139</v>
      </c>
      <c r="E25" s="1" t="str">
        <f t="shared" si="5"/>
        <v>8-2023</v>
      </c>
      <c r="F25" s="296">
        <v>4.9933310476755146</v>
      </c>
      <c r="G25" s="297">
        <v>0.8880808876599291</v>
      </c>
      <c r="H25" s="298">
        <v>5.8814119353354437</v>
      </c>
      <c r="I25" s="297">
        <v>5.2572333398680478</v>
      </c>
      <c r="J25" s="297">
        <v>1.4664363155196718</v>
      </c>
      <c r="K25" s="297">
        <v>6.7236696553877193</v>
      </c>
      <c r="L25" s="296">
        <v>5.4408182851239708</v>
      </c>
      <c r="M25" s="297">
        <v>0.69253054374736689</v>
      </c>
      <c r="N25" s="298">
        <v>6.1333488288713376</v>
      </c>
      <c r="O25" s="1"/>
      <c r="P25" s="274">
        <f t="shared" si="6"/>
        <v>5.2304608908891774</v>
      </c>
      <c r="Q25" s="275">
        <f t="shared" si="7"/>
        <v>6.2461434731981669</v>
      </c>
      <c r="R25" s="171"/>
      <c r="S25" s="284">
        <v>5</v>
      </c>
      <c r="T25" s="281">
        <f t="shared" si="8"/>
        <v>6.1498320785699079</v>
      </c>
      <c r="U25" s="281">
        <f t="shared" si="8"/>
        <v>6.1102620186070915</v>
      </c>
      <c r="V25" s="281">
        <f t="shared" si="8"/>
        <v>6.160499500281464</v>
      </c>
      <c r="W25" s="281">
        <f t="shared" si="8"/>
        <v>6.2021736308565325</v>
      </c>
      <c r="X25" s="281">
        <f t="shared" si="8"/>
        <v>6.2429921984128134</v>
      </c>
      <c r="Y25" s="281">
        <f t="shared" si="8"/>
        <v>6.2858053227400079</v>
      </c>
      <c r="Z25" s="281">
        <f t="shared" si="8"/>
        <v>6.3316261102479459</v>
      </c>
      <c r="AA25" s="281">
        <f t="shared" si="8"/>
        <v>6.3795563780370799</v>
      </c>
      <c r="AB25" s="281">
        <f t="shared" si="8"/>
        <v>6.4291027150390319</v>
      </c>
      <c r="AC25" s="281">
        <f t="shared" si="8"/>
        <v>6.4812372272601095</v>
      </c>
      <c r="AD25" s="281">
        <f t="shared" si="9"/>
        <v>6.5354776332337279</v>
      </c>
      <c r="AE25" s="281">
        <f t="shared" si="9"/>
        <v>6.5918843068387787</v>
      </c>
      <c r="AF25" s="281">
        <f t="shared" si="9"/>
        <v>6.6503891353956348</v>
      </c>
      <c r="AG25" s="281">
        <f t="shared" si="9"/>
        <v>6.7091577451605273</v>
      </c>
      <c r="AH25" s="281">
        <f t="shared" si="9"/>
        <v>6.7717527891223019</v>
      </c>
      <c r="AI25" s="281">
        <f t="shared" si="9"/>
        <v>6.8384870513530913</v>
      </c>
      <c r="AJ25" s="281">
        <f t="shared" si="9"/>
        <v>6.9083568623228659</v>
      </c>
      <c r="AK25" s="281">
        <f t="shared" si="9"/>
        <v>6.980831599011168</v>
      </c>
      <c r="AL25" s="281">
        <f t="shared" si="9"/>
        <v>7.0557819105901673</v>
      </c>
      <c r="AM25" s="281">
        <f t="shared" si="9"/>
        <v>7.1341570762963871</v>
      </c>
      <c r="AN25" s="281">
        <f t="shared" si="10"/>
        <v>7.2158995036248363</v>
      </c>
      <c r="AO25" s="281">
        <f t="shared" si="10"/>
        <v>7.3012069946083926</v>
      </c>
      <c r="AP25" s="281">
        <f t="shared" si="10"/>
        <v>7.390206565893024</v>
      </c>
      <c r="AQ25" s="281">
        <f t="shared" si="10"/>
        <v>7.4830610264179063</v>
      </c>
      <c r="AR25" s="281">
        <f t="shared" si="10"/>
        <v>7.5798904008829622</v>
      </c>
      <c r="AS25" s="281">
        <f t="shared" si="10"/>
        <v>7.6809176183519794</v>
      </c>
      <c r="AT25" s="281">
        <f t="shared" si="10"/>
        <v>7.7862505660826358</v>
      </c>
      <c r="AU25" s="281">
        <f t="shared" si="10"/>
        <v>7.8960441395115408</v>
      </c>
      <c r="AV25" s="281">
        <f t="shared" si="10"/>
        <v>8.0104684719294479</v>
      </c>
      <c r="AW25" s="281">
        <f t="shared" si="10"/>
        <v>8.1296838316455524</v>
      </c>
      <c r="AX25" s="281">
        <f t="shared" si="10"/>
        <v>8.2540276130782306</v>
      </c>
      <c r="AY25" s="282">
        <f t="shared" si="10"/>
        <v>8.383921242695914</v>
      </c>
    </row>
    <row r="26" spans="1:51">
      <c r="A26" s="26"/>
      <c r="B26" s="94">
        <f t="shared" si="3"/>
        <v>2023</v>
      </c>
      <c r="C26" s="1">
        <f t="shared" si="4"/>
        <v>9</v>
      </c>
      <c r="D26" s="213">
        <v>45170</v>
      </c>
      <c r="E26" s="1" t="str">
        <f t="shared" si="5"/>
        <v>9-2023</v>
      </c>
      <c r="F26" s="296">
        <v>5.0513339776099695</v>
      </c>
      <c r="G26" s="297">
        <v>0.8880808876599291</v>
      </c>
      <c r="H26" s="298">
        <v>5.9394148652698986</v>
      </c>
      <c r="I26" s="297">
        <v>5.3184422210583273</v>
      </c>
      <c r="J26" s="297">
        <v>1.4664363155196718</v>
      </c>
      <c r="K26" s="297">
        <v>6.7848785365779989</v>
      </c>
      <c r="L26" s="296">
        <v>5.5045936871090904</v>
      </c>
      <c r="M26" s="297">
        <v>0.69253054374736689</v>
      </c>
      <c r="N26" s="298">
        <v>6.1971242308564571</v>
      </c>
      <c r="O26" s="1"/>
      <c r="P26" s="274">
        <f t="shared" si="6"/>
        <v>5.2914566285924627</v>
      </c>
      <c r="Q26" s="275">
        <f t="shared" si="7"/>
        <v>6.3071392109014512</v>
      </c>
      <c r="R26" s="171"/>
      <c r="S26" s="284">
        <v>6</v>
      </c>
      <c r="T26" s="281">
        <f t="shared" si="8"/>
        <v>6.2701641617992081</v>
      </c>
      <c r="U26" s="281">
        <f t="shared" si="8"/>
        <v>6.2423411319459854</v>
      </c>
      <c r="V26" s="281">
        <f t="shared" si="8"/>
        <v>6.2915253481827831</v>
      </c>
      <c r="W26" s="281">
        <f t="shared" si="8"/>
        <v>6.3328010016384511</v>
      </c>
      <c r="X26" s="281">
        <f t="shared" si="8"/>
        <v>6.3734326071254594</v>
      </c>
      <c r="Y26" s="281">
        <f t="shared" si="8"/>
        <v>6.4162425818740632</v>
      </c>
      <c r="Z26" s="281">
        <f t="shared" si="8"/>
        <v>6.462030439165332</v>
      </c>
      <c r="AA26" s="281">
        <f t="shared" si="8"/>
        <v>6.5098131196277329</v>
      </c>
      <c r="AB26" s="281">
        <f t="shared" si="8"/>
        <v>6.559248322532965</v>
      </c>
      <c r="AC26" s="281">
        <f t="shared" si="8"/>
        <v>6.6113989316525306</v>
      </c>
      <c r="AD26" s="281">
        <f t="shared" si="9"/>
        <v>6.6653740479772345</v>
      </c>
      <c r="AE26" s="281">
        <f t="shared" si="9"/>
        <v>6.7218954239377355</v>
      </c>
      <c r="AF26" s="281">
        <f t="shared" si="9"/>
        <v>6.7799367280389928</v>
      </c>
      <c r="AG26" s="281">
        <f t="shared" si="9"/>
        <v>6.8385861179963685</v>
      </c>
      <c r="AH26" s="281">
        <f t="shared" si="9"/>
        <v>6.9012409430826223</v>
      </c>
      <c r="AI26" s="281">
        <f t="shared" si="9"/>
        <v>6.9679087194487304</v>
      </c>
      <c r="AJ26" s="281">
        <f t="shared" si="9"/>
        <v>7.0377209636271116</v>
      </c>
      <c r="AK26" s="281">
        <f t="shared" si="9"/>
        <v>7.1099969980092901</v>
      </c>
      <c r="AL26" s="281">
        <f t="shared" si="9"/>
        <v>7.1848692585902398</v>
      </c>
      <c r="AM26" s="281">
        <f t="shared" si="9"/>
        <v>7.2631533698390038</v>
      </c>
      <c r="AN26" s="281">
        <f t="shared" si="10"/>
        <v>7.3448159936323743</v>
      </c>
      <c r="AO26" s="281">
        <f t="shared" si="10"/>
        <v>7.4300351778106437</v>
      </c>
      <c r="AP26" s="281">
        <f t="shared" si="10"/>
        <v>7.5189653393609603</v>
      </c>
      <c r="AQ26" s="281">
        <f t="shared" si="10"/>
        <v>7.611737343956082</v>
      </c>
      <c r="AR26" s="281">
        <f t="shared" si="10"/>
        <v>7.7085060319939087</v>
      </c>
      <c r="AS26" s="281">
        <f t="shared" si="10"/>
        <v>7.809466286491495</v>
      </c>
      <c r="AT26" s="281">
        <f t="shared" si="10"/>
        <v>7.9147415674450903</v>
      </c>
      <c r="AU26" s="281">
        <f t="shared" si="10"/>
        <v>8.0244711345602369</v>
      </c>
      <c r="AV26" s="281">
        <f t="shared" si="10"/>
        <v>8.1388483018048134</v>
      </c>
      <c r="AW26" s="281">
        <f t="shared" si="10"/>
        <v>8.2579968477675223</v>
      </c>
      <c r="AX26" s="281">
        <f t="shared" si="10"/>
        <v>8.3823433186183447</v>
      </c>
      <c r="AY26" s="282">
        <f t="shared" si="10"/>
        <v>8.5122113784526743</v>
      </c>
    </row>
    <row r="27" spans="1:51">
      <c r="A27" s="26"/>
      <c r="B27" s="94">
        <f t="shared" si="3"/>
        <v>2023</v>
      </c>
      <c r="C27" s="1">
        <f t="shared" si="4"/>
        <v>10</v>
      </c>
      <c r="D27" s="213">
        <v>45200</v>
      </c>
      <c r="E27" s="1" t="str">
        <f t="shared" si="5"/>
        <v>10-2023</v>
      </c>
      <c r="F27" s="296">
        <v>5.0100624721227298</v>
      </c>
      <c r="G27" s="297">
        <v>0.8880808876599291</v>
      </c>
      <c r="H27" s="298">
        <v>5.8981433597826589</v>
      </c>
      <c r="I27" s="297">
        <v>5.2751283116396648</v>
      </c>
      <c r="J27" s="297">
        <v>1.4664363155196718</v>
      </c>
      <c r="K27" s="297">
        <v>6.7415646271593364</v>
      </c>
      <c r="L27" s="296">
        <v>5.4601914063042525</v>
      </c>
      <c r="M27" s="297">
        <v>0.69253054374736689</v>
      </c>
      <c r="N27" s="298">
        <v>6.1527219500516193</v>
      </c>
      <c r="O27" s="1"/>
      <c r="P27" s="274">
        <f t="shared" si="6"/>
        <v>5.2484607300222157</v>
      </c>
      <c r="Q27" s="275">
        <f t="shared" si="7"/>
        <v>6.2641433123312042</v>
      </c>
      <c r="R27" s="171"/>
      <c r="S27" s="284">
        <v>7</v>
      </c>
      <c r="T27" s="281">
        <f t="shared" si="8"/>
        <v>6.2993548606451819</v>
      </c>
      <c r="U27" s="281">
        <f t="shared" si="8"/>
        <v>6.2849198841610416</v>
      </c>
      <c r="V27" s="281">
        <f t="shared" si="8"/>
        <v>6.3328892977590954</v>
      </c>
      <c r="W27" s="281">
        <f t="shared" si="8"/>
        <v>6.3738012339079289</v>
      </c>
      <c r="X27" s="281">
        <f t="shared" si="8"/>
        <v>6.4143313786377023</v>
      </c>
      <c r="Y27" s="281">
        <f t="shared" si="8"/>
        <v>6.4572236182867195</v>
      </c>
      <c r="Z27" s="281">
        <f t="shared" si="8"/>
        <v>6.5030434279168503</v>
      </c>
      <c r="AA27" s="281">
        <f t="shared" si="8"/>
        <v>6.5507391765205041</v>
      </c>
      <c r="AB27" s="281">
        <f t="shared" si="8"/>
        <v>6.6001324610970471</v>
      </c>
      <c r="AC27" s="281">
        <f t="shared" si="8"/>
        <v>6.6523622618008416</v>
      </c>
      <c r="AD27" s="281">
        <f t="shared" si="9"/>
        <v>6.7061328364342288</v>
      </c>
      <c r="AE27" s="281">
        <f t="shared" si="9"/>
        <v>6.7628383838790667</v>
      </c>
      <c r="AF27" s="281">
        <f t="shared" si="9"/>
        <v>6.8204819807943169</v>
      </c>
      <c r="AG27" s="281">
        <f t="shared" si="9"/>
        <v>6.8791240254182542</v>
      </c>
      <c r="AH27" s="281">
        <f t="shared" si="9"/>
        <v>6.9419311642820114</v>
      </c>
      <c r="AI27" s="281">
        <f t="shared" si="9"/>
        <v>7.008596993191234</v>
      </c>
      <c r="AJ27" s="281">
        <f t="shared" si="9"/>
        <v>7.0784105253361576</v>
      </c>
      <c r="AK27" s="281">
        <f t="shared" si="9"/>
        <v>7.1505502933193243</v>
      </c>
      <c r="AL27" s="281">
        <f t="shared" si="9"/>
        <v>7.2254191622956787</v>
      </c>
      <c r="AM27" s="281">
        <f t="shared" si="9"/>
        <v>7.3036819703695501</v>
      </c>
      <c r="AN27" s="281">
        <f t="shared" si="10"/>
        <v>7.3853318304203377</v>
      </c>
      <c r="AO27" s="281">
        <f t="shared" si="10"/>
        <v>7.4705269299738681</v>
      </c>
      <c r="AP27" s="281">
        <f t="shared" si="10"/>
        <v>7.5594496962420576</v>
      </c>
      <c r="AQ27" s="281">
        <f t="shared" si="10"/>
        <v>7.652198165061777</v>
      </c>
      <c r="AR27" s="281">
        <f t="shared" si="10"/>
        <v>7.7489630491998227</v>
      </c>
      <c r="AS27" s="281">
        <f t="shared" si="10"/>
        <v>7.8499094813260823</v>
      </c>
      <c r="AT27" s="281">
        <f t="shared" si="10"/>
        <v>7.9551776821189319</v>
      </c>
      <c r="AU27" s="281">
        <f t="shared" si="10"/>
        <v>8.0648912293156503</v>
      </c>
      <c r="AV27" s="281">
        <f t="shared" si="10"/>
        <v>8.179267034604349</v>
      </c>
      <c r="AW27" s="281">
        <f t="shared" si="10"/>
        <v>8.2983921560219986</v>
      </c>
      <c r="AX27" s="281">
        <f t="shared" si="10"/>
        <v>8.4227809843406671</v>
      </c>
      <c r="AY27" s="282">
        <f t="shared" si="10"/>
        <v>8.5526537448182509</v>
      </c>
    </row>
    <row r="28" spans="1:51">
      <c r="A28" s="26"/>
      <c r="B28" s="94">
        <f t="shared" si="3"/>
        <v>2023</v>
      </c>
      <c r="C28" s="1">
        <f t="shared" si="4"/>
        <v>11</v>
      </c>
      <c r="D28" s="213">
        <v>45231</v>
      </c>
      <c r="E28" s="1" t="str">
        <f t="shared" si="5"/>
        <v>11-2023</v>
      </c>
      <c r="F28" s="296">
        <v>5.2449286323360811</v>
      </c>
      <c r="G28" s="297">
        <v>0.8880808876599291</v>
      </c>
      <c r="H28" s="298">
        <v>6.1330095199960102</v>
      </c>
      <c r="I28" s="297">
        <v>5.5225677334385086</v>
      </c>
      <c r="J28" s="297">
        <v>1.4664363155196718</v>
      </c>
      <c r="K28" s="297">
        <v>6.9890040489581802</v>
      </c>
      <c r="L28" s="296">
        <v>5.7167614643983633</v>
      </c>
      <c r="M28" s="297">
        <v>0.69253054374736689</v>
      </c>
      <c r="N28" s="298">
        <v>6.4092920081457301</v>
      </c>
      <c r="O28" s="1"/>
      <c r="P28" s="274">
        <f t="shared" si="6"/>
        <v>5.4947526100576516</v>
      </c>
      <c r="Q28" s="275">
        <f t="shared" si="7"/>
        <v>6.5104351923666401</v>
      </c>
      <c r="R28" s="171"/>
      <c r="S28" s="284">
        <v>8</v>
      </c>
      <c r="T28" s="281">
        <f t="shared" si="8"/>
        <v>6.2461434731981669</v>
      </c>
      <c r="U28" s="281">
        <f t="shared" si="8"/>
        <v>6.2459584518703339</v>
      </c>
      <c r="V28" s="281">
        <f t="shared" si="8"/>
        <v>6.2926236137066853</v>
      </c>
      <c r="W28" s="281">
        <f t="shared" si="8"/>
        <v>6.3332190155189805</v>
      </c>
      <c r="X28" s="281">
        <f t="shared" si="8"/>
        <v>6.3737283126215019</v>
      </c>
      <c r="Y28" s="281">
        <f t="shared" si="8"/>
        <v>6.4167751427636572</v>
      </c>
      <c r="Z28" s="281">
        <f t="shared" si="8"/>
        <v>6.4626832093674329</v>
      </c>
      <c r="AA28" s="281">
        <f t="shared" si="8"/>
        <v>6.510349882142652</v>
      </c>
      <c r="AB28" s="281">
        <f t="shared" si="8"/>
        <v>6.5597647098273031</v>
      </c>
      <c r="AC28" s="281">
        <f t="shared" si="8"/>
        <v>6.612126304890988</v>
      </c>
      <c r="AD28" s="281">
        <f t="shared" si="9"/>
        <v>6.6657555318710964</v>
      </c>
      <c r="AE28" s="281">
        <f t="shared" si="9"/>
        <v>6.7226988342486189</v>
      </c>
      <c r="AF28" s="281">
        <f t="shared" si="9"/>
        <v>6.7800210608083225</v>
      </c>
      <c r="AG28" s="281">
        <f t="shared" si="9"/>
        <v>6.838755634273717</v>
      </c>
      <c r="AH28" s="281">
        <f t="shared" si="9"/>
        <v>6.901790615938606</v>
      </c>
      <c r="AI28" s="281">
        <f t="shared" si="9"/>
        <v>6.9685120107061946</v>
      </c>
      <c r="AJ28" s="281">
        <f t="shared" si="9"/>
        <v>7.0383791422365922</v>
      </c>
      <c r="AK28" s="281">
        <f t="shared" si="9"/>
        <v>7.1104442887322454</v>
      </c>
      <c r="AL28" s="281">
        <f t="shared" si="9"/>
        <v>7.1853763496098884</v>
      </c>
      <c r="AM28" s="281">
        <f t="shared" si="9"/>
        <v>7.2636808712032277</v>
      </c>
      <c r="AN28" s="281">
        <f t="shared" si="10"/>
        <v>7.3453781899139798</v>
      </c>
      <c r="AO28" s="281">
        <f t="shared" si="10"/>
        <v>7.4306074260376116</v>
      </c>
      <c r="AP28" s="281">
        <f t="shared" si="10"/>
        <v>7.5195783079733998</v>
      </c>
      <c r="AQ28" s="281">
        <f t="shared" si="10"/>
        <v>7.6123567199418005</v>
      </c>
      <c r="AR28" s="281">
        <f t="shared" si="10"/>
        <v>7.7091685842516098</v>
      </c>
      <c r="AS28" s="281">
        <f t="shared" si="10"/>
        <v>7.8101490962126334</v>
      </c>
      <c r="AT28" s="281">
        <f t="shared" si="10"/>
        <v>7.915455545221814</v>
      </c>
      <c r="AU28" s="281">
        <f t="shared" si="10"/>
        <v>8.0251964866970642</v>
      </c>
      <c r="AV28" s="281">
        <f t="shared" si="10"/>
        <v>8.1396117466044089</v>
      </c>
      <c r="AW28" s="281">
        <f t="shared" si="10"/>
        <v>8.2587530979916437</v>
      </c>
      <c r="AX28" s="281">
        <f t="shared" si="10"/>
        <v>8.3832176875596414</v>
      </c>
      <c r="AY28" s="282">
        <f t="shared" si="10"/>
        <v>8.5131218732511869</v>
      </c>
    </row>
    <row r="29" spans="1:51">
      <c r="A29" s="26"/>
      <c r="B29" s="94">
        <f t="shared" si="3"/>
        <v>2023</v>
      </c>
      <c r="C29" s="1">
        <f t="shared" si="4"/>
        <v>12</v>
      </c>
      <c r="D29" s="213">
        <v>45261</v>
      </c>
      <c r="E29" s="1" t="str">
        <f t="shared" si="5"/>
        <v>12-2023</v>
      </c>
      <c r="F29" s="296">
        <v>5.2742469107733125</v>
      </c>
      <c r="G29" s="297">
        <v>0.8880808876599291</v>
      </c>
      <c r="H29" s="298">
        <v>6.1623277984332416</v>
      </c>
      <c r="I29" s="297">
        <v>5.5535867962187666</v>
      </c>
      <c r="J29" s="297">
        <v>1.4664363155196718</v>
      </c>
      <c r="K29" s="297">
        <v>7.0200231117384382</v>
      </c>
      <c r="L29" s="296">
        <v>5.7493259373663719</v>
      </c>
      <c r="M29" s="297">
        <v>0.69253054374736689</v>
      </c>
      <c r="N29" s="298">
        <v>6.4418564811137387</v>
      </c>
      <c r="O29" s="1"/>
      <c r="P29" s="274">
        <f t="shared" si="6"/>
        <v>5.5257198814528179</v>
      </c>
      <c r="Q29" s="275">
        <f t="shared" si="7"/>
        <v>6.5414024637618056</v>
      </c>
      <c r="R29" s="171"/>
      <c r="S29" s="284">
        <v>9</v>
      </c>
      <c r="T29" s="281">
        <f t="shared" si="8"/>
        <v>6.3071392109014512</v>
      </c>
      <c r="U29" s="281">
        <f t="shared" si="8"/>
        <v>6.3204004054095178</v>
      </c>
      <c r="V29" s="281">
        <f t="shared" si="8"/>
        <v>6.3658497125385081</v>
      </c>
      <c r="W29" s="281">
        <f t="shared" si="8"/>
        <v>6.406053281566261</v>
      </c>
      <c r="X29" s="281">
        <f t="shared" si="8"/>
        <v>6.4464279225563343</v>
      </c>
      <c r="Y29" s="281">
        <f t="shared" si="8"/>
        <v>6.4895321810846909</v>
      </c>
      <c r="Z29" s="281">
        <f t="shared" si="8"/>
        <v>6.5354519491843108</v>
      </c>
      <c r="AA29" s="281">
        <f t="shared" si="8"/>
        <v>6.5830074629751243</v>
      </c>
      <c r="AB29" s="281">
        <f t="shared" si="8"/>
        <v>6.6323553231091665</v>
      </c>
      <c r="AC29" s="281">
        <f t="shared" si="8"/>
        <v>6.6847785985991637</v>
      </c>
      <c r="AD29" s="281">
        <f t="shared" si="9"/>
        <v>6.738173693605483</v>
      </c>
      <c r="AE29" s="281">
        <f t="shared" si="9"/>
        <v>6.795286284027803</v>
      </c>
      <c r="AF29" s="281">
        <f t="shared" si="9"/>
        <v>6.8521707599378798</v>
      </c>
      <c r="AG29" s="281">
        <f t="shared" si="9"/>
        <v>6.9108602394282492</v>
      </c>
      <c r="AH29" s="281">
        <f t="shared" si="9"/>
        <v>6.9740234936277874</v>
      </c>
      <c r="AI29" s="281">
        <f t="shared" si="9"/>
        <v>7.040721268235707</v>
      </c>
      <c r="AJ29" s="281">
        <f t="shared" si="9"/>
        <v>7.1105700625743191</v>
      </c>
      <c r="AK29" s="281">
        <f t="shared" si="9"/>
        <v>7.182471883348323</v>
      </c>
      <c r="AL29" s="281">
        <f t="shared" si="9"/>
        <v>7.2573754295522503</v>
      </c>
      <c r="AM29" s="281">
        <f t="shared" si="9"/>
        <v>7.335634354304827</v>
      </c>
      <c r="AN29" s="281">
        <f t="shared" si="10"/>
        <v>7.4172959096085149</v>
      </c>
      <c r="AO29" s="281">
        <f t="shared" si="10"/>
        <v>7.5024784905040507</v>
      </c>
      <c r="AP29" s="281">
        <f t="shared" si="10"/>
        <v>7.5914209015789353</v>
      </c>
      <c r="AQ29" s="281">
        <f t="shared" si="10"/>
        <v>7.6841550052771526</v>
      </c>
      <c r="AR29" s="281">
        <f t="shared" si="10"/>
        <v>7.7809438692708985</v>
      </c>
      <c r="AS29" s="281">
        <f t="shared" si="10"/>
        <v>7.8818921596851297</v>
      </c>
      <c r="AT29" s="281">
        <f t="shared" si="10"/>
        <v>7.9871742891997437</v>
      </c>
      <c r="AU29" s="281">
        <f t="shared" si="10"/>
        <v>8.0968824357350471</v>
      </c>
      <c r="AV29" s="281">
        <f t="shared" si="10"/>
        <v>8.2112809533796192</v>
      </c>
      <c r="AW29" s="281">
        <f t="shared" si="10"/>
        <v>8.3303833069837196</v>
      </c>
      <c r="AX29" s="281">
        <f t="shared" si="10"/>
        <v>8.4548789077378892</v>
      </c>
      <c r="AY29" s="282">
        <f t="shared" si="10"/>
        <v>8.5847778834641559</v>
      </c>
    </row>
    <row r="30" spans="1:51">
      <c r="A30" s="26"/>
      <c r="B30" s="94">
        <f t="shared" si="3"/>
        <v>2024</v>
      </c>
      <c r="C30" s="1">
        <f t="shared" si="4"/>
        <v>1</v>
      </c>
      <c r="D30" s="213">
        <v>45292</v>
      </c>
      <c r="E30" s="1" t="str">
        <f t="shared" si="5"/>
        <v>1-2024</v>
      </c>
      <c r="F30" s="296">
        <v>5.2766502880484891</v>
      </c>
      <c r="G30" s="297">
        <v>0.92360412316632634</v>
      </c>
      <c r="H30" s="298">
        <v>6.2002544112148152</v>
      </c>
      <c r="I30" s="297">
        <v>5.5550752180072349</v>
      </c>
      <c r="J30" s="297">
        <v>1.5250937681404588</v>
      </c>
      <c r="K30" s="297">
        <v>7.0801689861476937</v>
      </c>
      <c r="L30" s="296">
        <v>5.7509592151853015</v>
      </c>
      <c r="M30" s="297">
        <v>0.72023176549726176</v>
      </c>
      <c r="N30" s="298">
        <v>6.4711909806825636</v>
      </c>
      <c r="O30" s="1"/>
      <c r="P30" s="274">
        <f t="shared" si="6"/>
        <v>5.5275615737470085</v>
      </c>
      <c r="Q30" s="275">
        <f t="shared" si="7"/>
        <v>6.5838714593483578</v>
      </c>
      <c r="R30" s="171"/>
      <c r="S30" s="284">
        <v>10</v>
      </c>
      <c r="T30" s="281">
        <f t="shared" si="8"/>
        <v>6.2641433123312042</v>
      </c>
      <c r="U30" s="281">
        <f t="shared" si="8"/>
        <v>6.2915028547295568</v>
      </c>
      <c r="V30" s="281">
        <f t="shared" si="8"/>
        <v>6.3356630733145733</v>
      </c>
      <c r="W30" s="281">
        <f t="shared" si="8"/>
        <v>6.3755453928386494</v>
      </c>
      <c r="X30" s="281">
        <f t="shared" si="8"/>
        <v>6.4158894307746834</v>
      </c>
      <c r="Y30" s="281">
        <f t="shared" si="8"/>
        <v>6.4591389608817833</v>
      </c>
      <c r="Z30" s="281">
        <f t="shared" si="8"/>
        <v>6.5051398361728987</v>
      </c>
      <c r="AA30" s="281">
        <f t="shared" si="8"/>
        <v>6.5526593187963984</v>
      </c>
      <c r="AB30" s="281">
        <f t="shared" si="8"/>
        <v>6.6020209181754828</v>
      </c>
      <c r="AC30" s="281">
        <f t="shared" si="8"/>
        <v>6.6545691470539792</v>
      </c>
      <c r="AD30" s="281">
        <f t="shared" si="9"/>
        <v>6.7078156555308981</v>
      </c>
      <c r="AE30" s="281">
        <f t="shared" si="9"/>
        <v>6.7651586940814754</v>
      </c>
      <c r="AF30" s="281">
        <f t="shared" si="9"/>
        <v>6.8217135475675788</v>
      </c>
      <c r="AG30" s="281">
        <f t="shared" si="9"/>
        <v>6.8804830827434609</v>
      </c>
      <c r="AH30" s="281">
        <f t="shared" si="9"/>
        <v>6.9438642310355734</v>
      </c>
      <c r="AI30" s="281">
        <f t="shared" si="9"/>
        <v>7.0106103812786786</v>
      </c>
      <c r="AJ30" s="281">
        <f t="shared" si="9"/>
        <v>7.0805062251132531</v>
      </c>
      <c r="AK30" s="281">
        <f t="shared" si="9"/>
        <v>7.1523261562094973</v>
      </c>
      <c r="AL30" s="281">
        <f t="shared" si="9"/>
        <v>7.2272845738670393</v>
      </c>
      <c r="AM30" s="281">
        <f t="shared" si="9"/>
        <v>7.3055773965464725</v>
      </c>
      <c r="AN30" s="281">
        <f t="shared" si="10"/>
        <v>7.3872789166539121</v>
      </c>
      <c r="AO30" s="281">
        <f t="shared" si="10"/>
        <v>7.472488427674441</v>
      </c>
      <c r="AP30" s="281">
        <f t="shared" si="10"/>
        <v>7.5614720325538896</v>
      </c>
      <c r="AQ30" s="281">
        <f t="shared" si="10"/>
        <v>7.6542294645577824</v>
      </c>
      <c r="AR30" s="281">
        <f t="shared" si="10"/>
        <v>7.7510589665919083</v>
      </c>
      <c r="AS30" s="281">
        <f t="shared" si="10"/>
        <v>7.8520353880596474</v>
      </c>
      <c r="AT30" s="281">
        <f t="shared" si="10"/>
        <v>7.957350117033573</v>
      </c>
      <c r="AU30" s="281">
        <f t="shared" si="10"/>
        <v>8.0670802778292057</v>
      </c>
      <c r="AV30" s="281">
        <f t="shared" si="10"/>
        <v>8.1815131472034039</v>
      </c>
      <c r="AW30" s="281">
        <f t="shared" si="10"/>
        <v>8.300626845406196</v>
      </c>
      <c r="AX30" s="281">
        <f t="shared" si="10"/>
        <v>8.4251938891815783</v>
      </c>
      <c r="AY30" s="282">
        <f t="shared" si="10"/>
        <v>8.555120930736944</v>
      </c>
    </row>
    <row r="31" spans="1:51">
      <c r="A31" s="26"/>
      <c r="B31" s="94">
        <f t="shared" si="3"/>
        <v>2024</v>
      </c>
      <c r="C31" s="1">
        <f t="shared" si="4"/>
        <v>2</v>
      </c>
      <c r="D31" s="213">
        <v>45323</v>
      </c>
      <c r="E31" s="1" t="str">
        <f t="shared" si="5"/>
        <v>2-2024</v>
      </c>
      <c r="F31" s="296">
        <v>5.1630090217997378</v>
      </c>
      <c r="G31" s="297">
        <v>0.92360412316632634</v>
      </c>
      <c r="H31" s="298">
        <v>6.0866131449660639</v>
      </c>
      <c r="I31" s="297">
        <v>5.4344185426172062</v>
      </c>
      <c r="J31" s="297">
        <v>1.5250937681404588</v>
      </c>
      <c r="K31" s="297">
        <v>6.9595123107576651</v>
      </c>
      <c r="L31" s="296">
        <v>5.6261382824201025</v>
      </c>
      <c r="M31" s="297">
        <v>0.72023176549726176</v>
      </c>
      <c r="N31" s="298">
        <v>6.3463700479173646</v>
      </c>
      <c r="O31" s="1"/>
      <c r="P31" s="274">
        <f t="shared" si="6"/>
        <v>5.4078552822790158</v>
      </c>
      <c r="Q31" s="275">
        <f t="shared" si="7"/>
        <v>6.4641651678803642</v>
      </c>
      <c r="R31" s="171"/>
      <c r="S31" s="284">
        <v>11</v>
      </c>
      <c r="T31" s="281">
        <f t="shared" si="8"/>
        <v>6.5104351923666401</v>
      </c>
      <c r="U31" s="281">
        <f t="shared" si="8"/>
        <v>6.5517698674558931</v>
      </c>
      <c r="V31" s="281">
        <f t="shared" si="8"/>
        <v>6.5946908008649352</v>
      </c>
      <c r="W31" s="281">
        <f t="shared" si="8"/>
        <v>6.6340126704884286</v>
      </c>
      <c r="X31" s="281">
        <f t="shared" si="8"/>
        <v>6.6740276442919395</v>
      </c>
      <c r="Y31" s="281">
        <f t="shared" si="8"/>
        <v>6.7171914027086723</v>
      </c>
      <c r="Z31" s="281">
        <f t="shared" si="8"/>
        <v>6.7630867184319996</v>
      </c>
      <c r="AA31" s="281">
        <f t="shared" si="8"/>
        <v>6.8103529727172321</v>
      </c>
      <c r="AB31" s="281">
        <f t="shared" si="8"/>
        <v>6.8595013980026289</v>
      </c>
      <c r="AC31" s="281">
        <f t="shared" si="8"/>
        <v>6.9120106451209766</v>
      </c>
      <c r="AD31" s="281">
        <f t="shared" si="9"/>
        <v>6.9648481003581155</v>
      </c>
      <c r="AE31" s="281">
        <f t="shared" si="9"/>
        <v>7.0222765357825212</v>
      </c>
      <c r="AF31" s="281">
        <f t="shared" si="9"/>
        <v>7.0781552006338702</v>
      </c>
      <c r="AG31" s="281">
        <f t="shared" si="9"/>
        <v>7.1366601073849623</v>
      </c>
      <c r="AH31" s="281">
        <f t="shared" si="9"/>
        <v>7.2000319494060996</v>
      </c>
      <c r="AI31" s="281">
        <f t="shared" si="9"/>
        <v>7.2666284700897004</v>
      </c>
      <c r="AJ31" s="281">
        <f t="shared" si="9"/>
        <v>7.3363919156557733</v>
      </c>
      <c r="AK31" s="281">
        <f t="shared" si="9"/>
        <v>7.4078892851706319</v>
      </c>
      <c r="AL31" s="281">
        <f t="shared" si="9"/>
        <v>7.4826731014745436</v>
      </c>
      <c r="AM31" s="281">
        <f t="shared" si="9"/>
        <v>7.5607788065882984</v>
      </c>
      <c r="AN31" s="281">
        <f t="shared" si="10"/>
        <v>7.6423106862022108</v>
      </c>
      <c r="AO31" s="281">
        <f t="shared" si="10"/>
        <v>7.7273419976459889</v>
      </c>
      <c r="AP31" s="281">
        <f t="shared" si="10"/>
        <v>7.8161745156483446</v>
      </c>
      <c r="AQ31" s="281">
        <f t="shared" si="10"/>
        <v>7.9087665551138331</v>
      </c>
      <c r="AR31" s="281">
        <f t="shared" si="10"/>
        <v>8.0054614154218751</v>
      </c>
      <c r="AS31" s="281">
        <f t="shared" si="10"/>
        <v>8.1062984654325128</v>
      </c>
      <c r="AT31" s="281">
        <f t="shared" si="10"/>
        <v>8.2114885631642007</v>
      </c>
      <c r="AU31" s="281">
        <f t="shared" si="10"/>
        <v>8.3210881888609478</v>
      </c>
      <c r="AV31" s="281">
        <f t="shared" si="10"/>
        <v>8.4354148920986045</v>
      </c>
      <c r="AW31" s="281">
        <f t="shared" si="10"/>
        <v>8.5543987326878952</v>
      </c>
      <c r="AX31" s="281">
        <f t="shared" si="10"/>
        <v>8.6789314363768408</v>
      </c>
      <c r="AY31" s="282">
        <f t="shared" si="10"/>
        <v>8.8087957254124358</v>
      </c>
    </row>
    <row r="32" spans="1:51">
      <c r="A32" s="26"/>
      <c r="B32" s="94">
        <f t="shared" si="3"/>
        <v>2024</v>
      </c>
      <c r="C32" s="1">
        <f t="shared" si="4"/>
        <v>3</v>
      </c>
      <c r="D32" s="213">
        <v>45352</v>
      </c>
      <c r="E32" s="1" t="str">
        <f t="shared" si="5"/>
        <v>3-2024</v>
      </c>
      <c r="F32" s="296">
        <v>4.7415373521038031</v>
      </c>
      <c r="G32" s="297">
        <v>0.92360412316632634</v>
      </c>
      <c r="H32" s="298">
        <v>5.6651414752701292</v>
      </c>
      <c r="I32" s="297">
        <v>4.9898556929444062</v>
      </c>
      <c r="J32" s="297">
        <v>1.5250937681404588</v>
      </c>
      <c r="K32" s="297">
        <v>6.5149494610848651</v>
      </c>
      <c r="L32" s="296">
        <v>5.1659747299150354</v>
      </c>
      <c r="M32" s="297">
        <v>0.72023176549726176</v>
      </c>
      <c r="N32" s="298">
        <v>5.8862064954122975</v>
      </c>
      <c r="O32" s="1"/>
      <c r="P32" s="274">
        <f t="shared" si="6"/>
        <v>4.9657892583210819</v>
      </c>
      <c r="Q32" s="275">
        <f t="shared" si="7"/>
        <v>6.0220991439224294</v>
      </c>
      <c r="R32" s="171"/>
      <c r="S32" s="285">
        <v>12</v>
      </c>
      <c r="T32" s="289">
        <f t="shared" si="8"/>
        <v>6.5414024637618056</v>
      </c>
      <c r="U32" s="289">
        <f t="shared" si="8"/>
        <v>6.5974926615735683</v>
      </c>
      <c r="V32" s="289">
        <f t="shared" si="8"/>
        <v>6.6390745504391306</v>
      </c>
      <c r="W32" s="289">
        <f t="shared" si="8"/>
        <v>6.6779965616688246</v>
      </c>
      <c r="X32" s="289">
        <f t="shared" si="8"/>
        <v>6.7179009573482888</v>
      </c>
      <c r="Y32" s="289">
        <f t="shared" si="8"/>
        <v>6.7611563416263936</v>
      </c>
      <c r="Z32" s="289">
        <f t="shared" si="8"/>
        <v>6.8070876489266743</v>
      </c>
      <c r="AA32" s="289">
        <f t="shared" si="8"/>
        <v>6.8542589992448955</v>
      </c>
      <c r="AB32" s="289">
        <f t="shared" si="8"/>
        <v>6.9033621705309862</v>
      </c>
      <c r="AC32" s="289">
        <f t="shared" si="8"/>
        <v>6.9559593771287709</v>
      </c>
      <c r="AD32" s="289">
        <f t="shared" si="9"/>
        <v>7.0085724903502538</v>
      </c>
      <c r="AE32" s="289">
        <f t="shared" si="9"/>
        <v>7.0662045053012603</v>
      </c>
      <c r="AF32" s="289">
        <f t="shared" si="9"/>
        <v>7.1216462982257509</v>
      </c>
      <c r="AG32" s="289">
        <f t="shared" si="9"/>
        <v>7.1801445440749347</v>
      </c>
      <c r="AH32" s="289">
        <f t="shared" si="9"/>
        <v>7.2436851970227005</v>
      </c>
      <c r="AI32" s="289">
        <f t="shared" si="9"/>
        <v>7.3102803954114721</v>
      </c>
      <c r="AJ32" s="289">
        <f t="shared" si="9"/>
        <v>7.3800460072245313</v>
      </c>
      <c r="AK32" s="289">
        <f t="shared" si="9"/>
        <v>7.4513941987322196</v>
      </c>
      <c r="AL32" s="289">
        <f t="shared" si="9"/>
        <v>7.5261752320953077</v>
      </c>
      <c r="AM32" s="289">
        <f t="shared" si="9"/>
        <v>7.6042583786827054</v>
      </c>
      <c r="AN32" s="289">
        <f t="shared" si="10"/>
        <v>7.6857770636180254</v>
      </c>
      <c r="AO32" s="289">
        <f t="shared" si="10"/>
        <v>7.7707826849829758</v>
      </c>
      <c r="AP32" s="289">
        <f t="shared" si="10"/>
        <v>7.8596078528048352</v>
      </c>
      <c r="AQ32" s="289">
        <f t="shared" si="10"/>
        <v>7.9521747387940414</v>
      </c>
      <c r="AR32" s="289">
        <f t="shared" si="10"/>
        <v>8.0488661362441611</v>
      </c>
      <c r="AS32" s="289">
        <f t="shared" si="10"/>
        <v>8.1496886496469809</v>
      </c>
      <c r="AT32" s="289">
        <f t="shared" si="10"/>
        <v>8.2548715986330894</v>
      </c>
      <c r="AU32" s="289">
        <f t="shared" si="10"/>
        <v>8.3644542035715492</v>
      </c>
      <c r="AV32" s="289">
        <f t="shared" si="10"/>
        <v>8.478779990561927</v>
      </c>
      <c r="AW32" s="289">
        <f t="shared" si="10"/>
        <v>8.5977386025124325</v>
      </c>
      <c r="AX32" s="289">
        <f t="shared" si="10"/>
        <v>8.7223184287002464</v>
      </c>
      <c r="AY32" s="290">
        <f t="shared" si="10"/>
        <v>8.8521882762699615</v>
      </c>
    </row>
    <row r="33" spans="1:51">
      <c r="A33" s="26"/>
      <c r="B33" s="94">
        <f t="shared" si="3"/>
        <v>2024</v>
      </c>
      <c r="C33" s="1">
        <f t="shared" si="4"/>
        <v>4</v>
      </c>
      <c r="D33" s="213">
        <v>45383</v>
      </c>
      <c r="E33" s="1" t="str">
        <f t="shared" si="5"/>
        <v>4-2024</v>
      </c>
      <c r="F33" s="296">
        <v>4.6627073811511179</v>
      </c>
      <c r="G33" s="297">
        <v>0.92360412316632634</v>
      </c>
      <c r="H33" s="298">
        <v>5.5863115043174441</v>
      </c>
      <c r="I33" s="297">
        <v>4.9059783114214071</v>
      </c>
      <c r="J33" s="297">
        <v>1.5250937681404588</v>
      </c>
      <c r="K33" s="297">
        <v>6.4310720795618659</v>
      </c>
      <c r="L33" s="296">
        <v>5.0792183786828087</v>
      </c>
      <c r="M33" s="297">
        <v>0.72023176549726176</v>
      </c>
      <c r="N33" s="298">
        <v>5.7994501441800708</v>
      </c>
      <c r="O33" s="1"/>
      <c r="P33" s="274">
        <f t="shared" si="6"/>
        <v>4.8826346904184446</v>
      </c>
      <c r="Q33" s="275">
        <f t="shared" si="7"/>
        <v>5.938944576019793</v>
      </c>
      <c r="R33" s="17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c r="A34" s="26"/>
      <c r="B34" s="94">
        <f t="shared" si="3"/>
        <v>2024</v>
      </c>
      <c r="C34" s="1">
        <f t="shared" si="4"/>
        <v>5</v>
      </c>
      <c r="D34" s="213">
        <v>45413</v>
      </c>
      <c r="E34" s="1" t="str">
        <f t="shared" si="5"/>
        <v>5-2024</v>
      </c>
      <c r="F34" s="296">
        <v>4.8268973072978572</v>
      </c>
      <c r="G34" s="297">
        <v>0.92360412316632634</v>
      </c>
      <c r="H34" s="298">
        <v>5.7505014304641833</v>
      </c>
      <c r="I34" s="297">
        <v>5.0777839373557603</v>
      </c>
      <c r="J34" s="297">
        <v>1.5250937681404588</v>
      </c>
      <c r="K34" s="297">
        <v>6.6028777054962191</v>
      </c>
      <c r="L34" s="296">
        <v>5.2571751543636109</v>
      </c>
      <c r="M34" s="297">
        <v>0.72023176549726176</v>
      </c>
      <c r="N34" s="298">
        <v>5.977406919860873</v>
      </c>
      <c r="O34" s="1"/>
      <c r="P34" s="274">
        <f t="shared" si="6"/>
        <v>5.0539521330057431</v>
      </c>
      <c r="Q34" s="275">
        <f t="shared" si="7"/>
        <v>6.1102620186070915</v>
      </c>
      <c r="R34" s="17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1:51">
      <c r="A35" s="26"/>
      <c r="B35" s="94">
        <f t="shared" si="3"/>
        <v>2024</v>
      </c>
      <c r="C35" s="1">
        <f t="shared" si="4"/>
        <v>6</v>
      </c>
      <c r="D35" s="213">
        <v>45444</v>
      </c>
      <c r="E35" s="1" t="str">
        <f t="shared" si="5"/>
        <v>6-2024</v>
      </c>
      <c r="F35" s="296">
        <v>4.9536468155432969</v>
      </c>
      <c r="G35" s="297">
        <v>0.92360412316632634</v>
      </c>
      <c r="H35" s="298">
        <v>5.877250938709623</v>
      </c>
      <c r="I35" s="297">
        <v>5.2101465016394384</v>
      </c>
      <c r="J35" s="297">
        <v>1.5250937681404588</v>
      </c>
      <c r="K35" s="297">
        <v>6.7352402697798972</v>
      </c>
      <c r="L35" s="296">
        <v>5.3943004218511765</v>
      </c>
      <c r="M35" s="297">
        <v>0.72023176549726176</v>
      </c>
      <c r="N35" s="298">
        <v>6.1145321873484386</v>
      </c>
      <c r="O35" s="1"/>
      <c r="P35" s="274">
        <f t="shared" si="6"/>
        <v>5.186031246344637</v>
      </c>
      <c r="Q35" s="275">
        <f t="shared" si="7"/>
        <v>6.2423411319459854</v>
      </c>
      <c r="R35" s="17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1:51">
      <c r="A36" s="26"/>
      <c r="B36" s="94">
        <f t="shared" si="3"/>
        <v>2024</v>
      </c>
      <c r="C36" s="1">
        <f t="shared" si="4"/>
        <v>7</v>
      </c>
      <c r="D36" s="213">
        <v>45474</v>
      </c>
      <c r="E36" s="1" t="str">
        <f t="shared" si="5"/>
        <v>7-2024</v>
      </c>
      <c r="F36" s="296">
        <v>4.9949265108638619</v>
      </c>
      <c r="G36" s="297">
        <v>0.92360412316632634</v>
      </c>
      <c r="H36" s="298">
        <v>5.918530634030188</v>
      </c>
      <c r="I36" s="297">
        <v>5.2525812544901846</v>
      </c>
      <c r="J36" s="297">
        <v>1.5250937681404588</v>
      </c>
      <c r="K36" s="297">
        <v>6.7776750226306435</v>
      </c>
      <c r="L36" s="296">
        <v>5.4383222303250296</v>
      </c>
      <c r="M36" s="297">
        <v>0.72023176549726176</v>
      </c>
      <c r="N36" s="298">
        <v>6.1585539958222917</v>
      </c>
      <c r="O36" s="1"/>
      <c r="P36" s="274">
        <f t="shared" si="6"/>
        <v>5.2286099985596923</v>
      </c>
      <c r="Q36" s="275">
        <f t="shared" si="7"/>
        <v>6.2849198841610416</v>
      </c>
      <c r="R36" s="17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c r="A37" s="26"/>
      <c r="B37" s="94">
        <f t="shared" si="3"/>
        <v>2024</v>
      </c>
      <c r="C37" s="1">
        <f t="shared" si="4"/>
        <v>8</v>
      </c>
      <c r="D37" s="213">
        <v>45505</v>
      </c>
      <c r="E37" s="1" t="str">
        <f t="shared" si="5"/>
        <v>8-2024</v>
      </c>
      <c r="F37" s="296">
        <v>4.9583104560947087</v>
      </c>
      <c r="G37" s="297">
        <v>0.92360412316632634</v>
      </c>
      <c r="H37" s="298">
        <v>5.8819145792610348</v>
      </c>
      <c r="I37" s="297">
        <v>5.2131019124636033</v>
      </c>
      <c r="J37" s="297">
        <v>1.5250937681404588</v>
      </c>
      <c r="K37" s="297">
        <v>6.7381956806040622</v>
      </c>
      <c r="L37" s="296">
        <v>5.3975333302486419</v>
      </c>
      <c r="M37" s="297">
        <v>0.72023176549726176</v>
      </c>
      <c r="N37" s="298">
        <v>6.117765095745904</v>
      </c>
      <c r="O37" s="1"/>
      <c r="P37" s="274">
        <f t="shared" si="6"/>
        <v>5.1896485662689846</v>
      </c>
      <c r="Q37" s="275">
        <f t="shared" si="7"/>
        <v>6.2459584518703339</v>
      </c>
      <c r="R37" s="17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c r="A38" s="26"/>
      <c r="B38" s="94">
        <f t="shared" si="3"/>
        <v>2024</v>
      </c>
      <c r="C38" s="1">
        <f t="shared" si="4"/>
        <v>9</v>
      </c>
      <c r="D38" s="213">
        <v>45536</v>
      </c>
      <c r="E38" s="1" t="str">
        <f t="shared" si="5"/>
        <v>9-2024</v>
      </c>
      <c r="F38" s="296">
        <v>5.0300464677769545</v>
      </c>
      <c r="G38" s="297">
        <v>0.92360412316632634</v>
      </c>
      <c r="H38" s="298">
        <v>5.9536505909432806</v>
      </c>
      <c r="I38" s="297">
        <v>5.2875362956548679</v>
      </c>
      <c r="J38" s="297">
        <v>1.5250937681404588</v>
      </c>
      <c r="K38" s="297">
        <v>6.8126300637953268</v>
      </c>
      <c r="L38" s="296">
        <v>5.4746887959926811</v>
      </c>
      <c r="M38" s="297">
        <v>0.72023176549726176</v>
      </c>
      <c r="N38" s="298">
        <v>6.1949205614899432</v>
      </c>
      <c r="O38" s="1"/>
      <c r="P38" s="274">
        <f t="shared" si="6"/>
        <v>5.2640905198081676</v>
      </c>
      <c r="Q38" s="275">
        <f t="shared" si="7"/>
        <v>6.3204004054095178</v>
      </c>
      <c r="R38" s="171"/>
    </row>
    <row r="39" spans="1:51">
      <c r="A39" s="26"/>
      <c r="B39" s="94">
        <f t="shared" si="3"/>
        <v>2024</v>
      </c>
      <c r="C39" s="1">
        <f t="shared" si="4"/>
        <v>10</v>
      </c>
      <c r="D39" s="213">
        <v>45566</v>
      </c>
      <c r="E39" s="1" t="str">
        <f t="shared" si="5"/>
        <v>10-2024</v>
      </c>
      <c r="F39" s="296">
        <v>5.0030425157969098</v>
      </c>
      <c r="G39" s="297">
        <v>0.92360412316632634</v>
      </c>
      <c r="H39" s="298">
        <v>5.926646638963236</v>
      </c>
      <c r="I39" s="297">
        <v>5.2581680929565415</v>
      </c>
      <c r="J39" s="297">
        <v>1.5250937681404588</v>
      </c>
      <c r="K39" s="297">
        <v>6.7832618610970004</v>
      </c>
      <c r="L39" s="296">
        <v>5.4443682986311694</v>
      </c>
      <c r="M39" s="297">
        <v>0.72023176549726176</v>
      </c>
      <c r="N39" s="298">
        <v>6.1646000641284315</v>
      </c>
      <c r="O39" s="1"/>
      <c r="P39" s="274">
        <f t="shared" si="6"/>
        <v>5.2351929691282066</v>
      </c>
      <c r="Q39" s="275">
        <f t="shared" si="7"/>
        <v>6.2915028547295568</v>
      </c>
      <c r="R39" s="171"/>
    </row>
    <row r="40" spans="1:51">
      <c r="A40" s="26"/>
      <c r="B40" s="94">
        <f t="shared" si="3"/>
        <v>2024</v>
      </c>
      <c r="C40" s="1">
        <f t="shared" si="4"/>
        <v>11</v>
      </c>
      <c r="D40" s="213">
        <v>45597</v>
      </c>
      <c r="E40" s="1" t="str">
        <f t="shared" si="5"/>
        <v>11-2024</v>
      </c>
      <c r="F40" s="296">
        <v>5.2524069640880615</v>
      </c>
      <c r="G40" s="297">
        <v>0.92360412316632634</v>
      </c>
      <c r="H40" s="298">
        <v>6.1760110872543876</v>
      </c>
      <c r="I40" s="297">
        <v>5.5192185335500898</v>
      </c>
      <c r="J40" s="297">
        <v>1.5250937681404588</v>
      </c>
      <c r="K40" s="297">
        <v>7.0443123016905487</v>
      </c>
      <c r="L40" s="296">
        <v>5.7147544479254799</v>
      </c>
      <c r="M40" s="297">
        <v>0.72023176549726176</v>
      </c>
      <c r="N40" s="298">
        <v>6.434986213422742</v>
      </c>
      <c r="O40" s="1"/>
      <c r="P40" s="274">
        <f t="shared" si="6"/>
        <v>5.4954599818545438</v>
      </c>
      <c r="Q40" s="275">
        <f t="shared" si="7"/>
        <v>6.5517698674558931</v>
      </c>
      <c r="R40" s="171"/>
    </row>
    <row r="41" spans="1:51">
      <c r="A41" s="26"/>
      <c r="B41" s="94">
        <f t="shared" si="3"/>
        <v>2024</v>
      </c>
      <c r="C41" s="1">
        <f t="shared" si="4"/>
        <v>12</v>
      </c>
      <c r="D41" s="213">
        <v>45627</v>
      </c>
      <c r="E41" s="1" t="str">
        <f t="shared" si="5"/>
        <v>12-2024</v>
      </c>
      <c r="F41" s="296">
        <v>5.2967513155721253</v>
      </c>
      <c r="G41" s="297">
        <v>0.92360412316632634</v>
      </c>
      <c r="H41" s="298">
        <v>6.2203554387384514</v>
      </c>
      <c r="I41" s="297">
        <v>5.5647774066982354</v>
      </c>
      <c r="J41" s="297">
        <v>1.5250937681404588</v>
      </c>
      <c r="K41" s="297">
        <v>7.0898711748386942</v>
      </c>
      <c r="L41" s="296">
        <v>5.762019605646298</v>
      </c>
      <c r="M41" s="297">
        <v>0.72023176549726176</v>
      </c>
      <c r="N41" s="298">
        <v>6.4822513711435601</v>
      </c>
      <c r="O41" s="1"/>
      <c r="P41" s="274">
        <f t="shared" si="6"/>
        <v>5.5411827759722199</v>
      </c>
      <c r="Q41" s="275">
        <f t="shared" si="7"/>
        <v>6.5974926615735683</v>
      </c>
      <c r="R41" s="171"/>
    </row>
    <row r="42" spans="1:51">
      <c r="A42" s="26"/>
      <c r="B42" s="94">
        <f t="shared" si="3"/>
        <v>2025</v>
      </c>
      <c r="C42" s="1">
        <f t="shared" si="4"/>
        <v>1</v>
      </c>
      <c r="D42" s="213">
        <v>45658</v>
      </c>
      <c r="E42" s="1" t="str">
        <f t="shared" si="5"/>
        <v>1-2025</v>
      </c>
      <c r="F42" s="296">
        <v>5.2972198890893569</v>
      </c>
      <c r="G42" s="297">
        <v>0.96054828809297943</v>
      </c>
      <c r="H42" s="298">
        <v>6.2577681771823368</v>
      </c>
      <c r="I42" s="297">
        <v>5.5652555645782424</v>
      </c>
      <c r="J42" s="297">
        <v>1.5860975188660775</v>
      </c>
      <c r="K42" s="297">
        <v>7.1513530834443202</v>
      </c>
      <c r="L42" s="296">
        <v>5.7625688395903776</v>
      </c>
      <c r="M42" s="297">
        <v>0.74904103611715234</v>
      </c>
      <c r="N42" s="298">
        <v>6.5116098757075296</v>
      </c>
      <c r="O42" s="1"/>
      <c r="P42" s="274">
        <f t="shared" si="6"/>
        <v>5.5416814310859932</v>
      </c>
      <c r="Q42" s="275">
        <f t="shared" si="7"/>
        <v>6.6402437121113955</v>
      </c>
      <c r="R42" s="171"/>
    </row>
    <row r="43" spans="1:51">
      <c r="A43" s="26"/>
      <c r="B43" s="94">
        <f t="shared" si="3"/>
        <v>2025</v>
      </c>
      <c r="C43" s="1">
        <f t="shared" si="4"/>
        <v>2</v>
      </c>
      <c r="D43" s="213">
        <v>45689</v>
      </c>
      <c r="E43" s="1" t="str">
        <f t="shared" si="5"/>
        <v>2-2025</v>
      </c>
      <c r="F43" s="296">
        <v>5.1812338068149826</v>
      </c>
      <c r="G43" s="297">
        <v>0.96054828809297943</v>
      </c>
      <c r="H43" s="298">
        <v>6.1417820949079616</v>
      </c>
      <c r="I43" s="297">
        <v>5.4433868490813202</v>
      </c>
      <c r="J43" s="297">
        <v>1.5860975188660775</v>
      </c>
      <c r="K43" s="297">
        <v>7.0294843679473979</v>
      </c>
      <c r="L43" s="296">
        <v>5.6364322755082492</v>
      </c>
      <c r="M43" s="297">
        <v>0.74904103611715234</v>
      </c>
      <c r="N43" s="298">
        <v>6.3854733116254012</v>
      </c>
      <c r="O43" s="1"/>
      <c r="P43" s="274">
        <f t="shared" si="6"/>
        <v>5.4203509771348513</v>
      </c>
      <c r="Q43" s="275">
        <f t="shared" si="7"/>
        <v>6.5189132581602536</v>
      </c>
      <c r="R43" s="171"/>
    </row>
    <row r="44" spans="1:51">
      <c r="A44" s="26"/>
      <c r="B44" s="94">
        <f t="shared" si="3"/>
        <v>2025</v>
      </c>
      <c r="C44" s="1">
        <f t="shared" si="4"/>
        <v>3</v>
      </c>
      <c r="D44" s="213">
        <v>45717</v>
      </c>
      <c r="E44" s="1" t="str">
        <f t="shared" si="5"/>
        <v>3-2025</v>
      </c>
      <c r="F44" s="296">
        <v>4.7565290695748601</v>
      </c>
      <c r="G44" s="297">
        <v>0.96054828809297943</v>
      </c>
      <c r="H44" s="298">
        <v>5.71707735766784</v>
      </c>
      <c r="I44" s="297">
        <v>4.9971807923738938</v>
      </c>
      <c r="J44" s="297">
        <v>1.5860975188660775</v>
      </c>
      <c r="K44" s="297">
        <v>6.5832783112399715</v>
      </c>
      <c r="L44" s="296">
        <v>5.1744504780188025</v>
      </c>
      <c r="M44" s="297">
        <v>0.74904103611715234</v>
      </c>
      <c r="N44" s="298">
        <v>5.9234915141359545</v>
      </c>
      <c r="O44" s="1"/>
      <c r="P44" s="274">
        <f t="shared" si="6"/>
        <v>4.9760534466558513</v>
      </c>
      <c r="Q44" s="275">
        <f t="shared" si="7"/>
        <v>6.0746157276812554</v>
      </c>
      <c r="R44" s="171"/>
    </row>
    <row r="45" spans="1:51">
      <c r="A45" s="26"/>
      <c r="B45" s="94">
        <f t="shared" si="3"/>
        <v>2025</v>
      </c>
      <c r="C45" s="1">
        <f t="shared" si="4"/>
        <v>4</v>
      </c>
      <c r="D45" s="213">
        <v>45748</v>
      </c>
      <c r="E45" s="1" t="str">
        <f t="shared" si="5"/>
        <v>4-2025</v>
      </c>
      <c r="F45" s="296">
        <v>4.6757347662638322</v>
      </c>
      <c r="G45" s="297">
        <v>0.96054828809297943</v>
      </c>
      <c r="H45" s="298">
        <v>5.6362830543568112</v>
      </c>
      <c r="I45" s="297">
        <v>4.912286314027372</v>
      </c>
      <c r="J45" s="297">
        <v>1.5860975188660775</v>
      </c>
      <c r="K45" s="297">
        <v>6.4983838328934498</v>
      </c>
      <c r="L45" s="296">
        <v>5.0865922392690308</v>
      </c>
      <c r="M45" s="297">
        <v>0.74904103611715234</v>
      </c>
      <c r="N45" s="298">
        <v>5.8356332753861828</v>
      </c>
      <c r="O45" s="1"/>
      <c r="P45" s="274">
        <f t="shared" si="6"/>
        <v>4.8915377731867453</v>
      </c>
      <c r="Q45" s="275">
        <f t="shared" si="7"/>
        <v>5.9901000542121485</v>
      </c>
      <c r="R45" s="171"/>
    </row>
    <row r="46" spans="1:51">
      <c r="A46" s="26"/>
      <c r="B46" s="94">
        <f t="shared" si="3"/>
        <v>2025</v>
      </c>
      <c r="C46" s="1">
        <f t="shared" si="4"/>
        <v>5</v>
      </c>
      <c r="D46" s="213">
        <v>45778</v>
      </c>
      <c r="E46" s="1" t="str">
        <f t="shared" si="5"/>
        <v>5-2025</v>
      </c>
      <c r="F46" s="296">
        <v>4.8386092085424082</v>
      </c>
      <c r="G46" s="297">
        <v>0.96054828809297943</v>
      </c>
      <c r="H46" s="298">
        <v>5.799157496635388</v>
      </c>
      <c r="I46" s="297">
        <v>5.0833878831512429</v>
      </c>
      <c r="J46" s="297">
        <v>1.5860975188660775</v>
      </c>
      <c r="K46" s="297">
        <v>6.6694854020173207</v>
      </c>
      <c r="L46" s="296">
        <v>5.2638145660745312</v>
      </c>
      <c r="M46" s="297">
        <v>0.74904103611715234</v>
      </c>
      <c r="N46" s="298">
        <v>6.0128556021916832</v>
      </c>
      <c r="O46" s="1"/>
      <c r="P46" s="274">
        <f t="shared" si="6"/>
        <v>5.0619372192560608</v>
      </c>
      <c r="Q46" s="275">
        <f t="shared" si="7"/>
        <v>6.160499500281464</v>
      </c>
      <c r="R46" s="171"/>
    </row>
    <row r="47" spans="1:51">
      <c r="A47" s="26"/>
      <c r="B47" s="94">
        <f t="shared" si="3"/>
        <v>2025</v>
      </c>
      <c r="C47" s="1">
        <f t="shared" si="4"/>
        <v>6</v>
      </c>
      <c r="D47" s="213">
        <v>45809</v>
      </c>
      <c r="E47" s="1" t="str">
        <f t="shared" si="5"/>
        <v>6-2025</v>
      </c>
      <c r="F47" s="296">
        <v>4.9638467396092709</v>
      </c>
      <c r="G47" s="297">
        <v>0.96054828809297943</v>
      </c>
      <c r="H47" s="298">
        <v>5.9243950277022499</v>
      </c>
      <c r="I47" s="297">
        <v>5.2149477720900972</v>
      </c>
      <c r="J47" s="297">
        <v>1.5860975188660775</v>
      </c>
      <c r="K47" s="297">
        <v>6.8010452909561749</v>
      </c>
      <c r="L47" s="296">
        <v>5.4000946897727724</v>
      </c>
      <c r="M47" s="297">
        <v>0.74904103611715234</v>
      </c>
      <c r="N47" s="298">
        <v>6.1491357258899244</v>
      </c>
      <c r="O47" s="1"/>
      <c r="P47" s="274">
        <f t="shared" si="6"/>
        <v>5.1929630671573799</v>
      </c>
      <c r="Q47" s="275">
        <f t="shared" si="7"/>
        <v>6.2915253481827831</v>
      </c>
      <c r="R47" s="171"/>
    </row>
    <row r="48" spans="1:51">
      <c r="A48" s="26"/>
      <c r="B48" s="94">
        <f t="shared" si="3"/>
        <v>2025</v>
      </c>
      <c r="C48" s="1">
        <f t="shared" si="4"/>
        <v>7</v>
      </c>
      <c r="D48" s="213">
        <v>45839</v>
      </c>
      <c r="E48" s="1" t="str">
        <f t="shared" si="5"/>
        <v>7-2025</v>
      </c>
      <c r="F48" s="296">
        <v>5.0033780519114748</v>
      </c>
      <c r="G48" s="297">
        <v>0.96054828809297943</v>
      </c>
      <c r="H48" s="298">
        <v>5.9639263400044538</v>
      </c>
      <c r="I48" s="297">
        <v>5.2564654697722428</v>
      </c>
      <c r="J48" s="297">
        <v>1.5860975188660775</v>
      </c>
      <c r="K48" s="297">
        <v>6.8425629886383206</v>
      </c>
      <c r="L48" s="296">
        <v>5.443137528517358</v>
      </c>
      <c r="M48" s="297">
        <v>0.74904103611715234</v>
      </c>
      <c r="N48" s="298">
        <v>6.19217856463451</v>
      </c>
      <c r="O48" s="1"/>
      <c r="P48" s="274">
        <f t="shared" si="6"/>
        <v>5.2343270167336913</v>
      </c>
      <c r="Q48" s="275">
        <f t="shared" si="7"/>
        <v>6.3328892977590954</v>
      </c>
      <c r="R48" s="171"/>
    </row>
    <row r="49" spans="1:18">
      <c r="A49" s="26"/>
      <c r="B49" s="94">
        <f t="shared" si="3"/>
        <v>2025</v>
      </c>
      <c r="C49" s="1">
        <f t="shared" si="4"/>
        <v>8</v>
      </c>
      <c r="D49" s="213">
        <v>45870</v>
      </c>
      <c r="E49" s="1" t="str">
        <f t="shared" si="5"/>
        <v>8-2025</v>
      </c>
      <c r="F49" s="296">
        <v>4.9648813913403815</v>
      </c>
      <c r="G49" s="297">
        <v>0.96054828809297943</v>
      </c>
      <c r="H49" s="298">
        <v>5.9254296794333605</v>
      </c>
      <c r="I49" s="297">
        <v>5.2160082784543977</v>
      </c>
      <c r="J49" s="297">
        <v>1.5860975188660775</v>
      </c>
      <c r="K49" s="297">
        <v>6.8021057973204755</v>
      </c>
      <c r="L49" s="296">
        <v>5.4012943282490706</v>
      </c>
      <c r="M49" s="297">
        <v>0.74904103611715234</v>
      </c>
      <c r="N49" s="298">
        <v>6.1503353643662226</v>
      </c>
      <c r="O49" s="1"/>
      <c r="P49" s="274">
        <f t="shared" si="6"/>
        <v>5.1940613326812839</v>
      </c>
      <c r="Q49" s="275">
        <f t="shared" si="7"/>
        <v>6.2926236137066853</v>
      </c>
      <c r="R49" s="171"/>
    </row>
    <row r="50" spans="1:18">
      <c r="A50" s="26"/>
      <c r="B50" s="94">
        <f t="shared" si="3"/>
        <v>2025</v>
      </c>
      <c r="C50" s="1">
        <f t="shared" si="4"/>
        <v>9</v>
      </c>
      <c r="D50" s="213">
        <v>45901</v>
      </c>
      <c r="E50" s="1" t="str">
        <f t="shared" si="5"/>
        <v>9-2025</v>
      </c>
      <c r="F50" s="296">
        <v>5.0348688156137236</v>
      </c>
      <c r="G50" s="297">
        <v>0.96054828809297943</v>
      </c>
      <c r="H50" s="298">
        <v>5.9954171037067034</v>
      </c>
      <c r="I50" s="297">
        <v>5.2895222823112338</v>
      </c>
      <c r="J50" s="297">
        <v>1.5860975188660775</v>
      </c>
      <c r="K50" s="297">
        <v>6.8756198011773115</v>
      </c>
      <c r="L50" s="296">
        <v>5.4774711966143554</v>
      </c>
      <c r="M50" s="297">
        <v>0.74904103611715234</v>
      </c>
      <c r="N50" s="298">
        <v>6.2265122327315074</v>
      </c>
      <c r="O50" s="1"/>
      <c r="P50" s="274">
        <f t="shared" si="6"/>
        <v>5.267287431513104</v>
      </c>
      <c r="Q50" s="275">
        <f t="shared" si="7"/>
        <v>6.3658497125385081</v>
      </c>
      <c r="R50" s="171"/>
    </row>
    <row r="51" spans="1:18">
      <c r="A51" s="26"/>
      <c r="B51" s="94">
        <f t="shared" si="3"/>
        <v>2025</v>
      </c>
      <c r="C51" s="1">
        <f t="shared" si="4"/>
        <v>10</v>
      </c>
      <c r="D51" s="213">
        <v>45931</v>
      </c>
      <c r="E51" s="1" t="str">
        <f t="shared" si="5"/>
        <v>10-2025</v>
      </c>
      <c r="F51" s="296">
        <v>5.0060065172632777</v>
      </c>
      <c r="G51" s="297">
        <v>0.96054828809297943</v>
      </c>
      <c r="H51" s="298">
        <v>5.9665548053562567</v>
      </c>
      <c r="I51" s="297">
        <v>5.2591868347904649</v>
      </c>
      <c r="J51" s="297">
        <v>1.5860975188660775</v>
      </c>
      <c r="K51" s="297">
        <v>6.8452843536565426</v>
      </c>
      <c r="L51" s="296">
        <v>5.4461090248137687</v>
      </c>
      <c r="M51" s="297">
        <v>0.74904103611715234</v>
      </c>
      <c r="N51" s="298">
        <v>6.1951500609309207</v>
      </c>
      <c r="O51" s="1"/>
      <c r="P51" s="274">
        <f t="shared" si="6"/>
        <v>5.2371007922891701</v>
      </c>
      <c r="Q51" s="275">
        <f t="shared" si="7"/>
        <v>6.3356630733145733</v>
      </c>
      <c r="R51" s="171"/>
    </row>
    <row r="52" spans="1:18">
      <c r="A52" s="26"/>
      <c r="B52" s="94">
        <f t="shared" si="3"/>
        <v>2025</v>
      </c>
      <c r="C52" s="1">
        <f t="shared" si="4"/>
        <v>11</v>
      </c>
      <c r="D52" s="213">
        <v>45962</v>
      </c>
      <c r="E52" s="1" t="str">
        <f t="shared" si="5"/>
        <v>11-2025</v>
      </c>
      <c r="F52" s="296">
        <v>5.2535962699079128</v>
      </c>
      <c r="G52" s="297">
        <v>0.96054828809297943</v>
      </c>
      <c r="H52" s="298">
        <v>6.2141445580008927</v>
      </c>
      <c r="I52" s="297">
        <v>5.5192845019341537</v>
      </c>
      <c r="J52" s="297">
        <v>1.5860975188660775</v>
      </c>
      <c r="K52" s="297">
        <v>7.1053820208002314</v>
      </c>
      <c r="L52" s="296">
        <v>5.7155047876765286</v>
      </c>
      <c r="M52" s="297">
        <v>0.74904103611715234</v>
      </c>
      <c r="N52" s="298">
        <v>6.4645458237936806</v>
      </c>
      <c r="O52" s="1"/>
      <c r="P52" s="274">
        <f t="shared" si="6"/>
        <v>5.4961285198395311</v>
      </c>
      <c r="Q52" s="275">
        <f t="shared" si="7"/>
        <v>6.5946908008649352</v>
      </c>
      <c r="R52" s="171"/>
    </row>
    <row r="53" spans="1:18">
      <c r="A53" s="26"/>
      <c r="B53" s="94">
        <f t="shared" si="3"/>
        <v>2025</v>
      </c>
      <c r="C53" s="1">
        <f t="shared" si="4"/>
        <v>12</v>
      </c>
      <c r="D53" s="213">
        <v>45992</v>
      </c>
      <c r="E53" s="1" t="str">
        <f t="shared" si="5"/>
        <v>12-2025</v>
      </c>
      <c r="F53" s="296">
        <v>5.2960133756072496</v>
      </c>
      <c r="G53" s="297">
        <v>0.96054828809297943</v>
      </c>
      <c r="H53" s="298">
        <v>6.2565616637002286</v>
      </c>
      <c r="I53" s="297">
        <v>5.5638326258687254</v>
      </c>
      <c r="J53" s="297">
        <v>1.5860975188660775</v>
      </c>
      <c r="K53" s="297">
        <v>7.1499301447348032</v>
      </c>
      <c r="L53" s="296">
        <v>5.7616908067652099</v>
      </c>
      <c r="M53" s="297">
        <v>0.74904103611715234</v>
      </c>
      <c r="N53" s="298">
        <v>6.510731842882362</v>
      </c>
      <c r="O53" s="1"/>
      <c r="P53" s="274">
        <f t="shared" si="6"/>
        <v>5.5405122694137283</v>
      </c>
      <c r="Q53" s="275">
        <f t="shared" si="7"/>
        <v>6.6390745504391306</v>
      </c>
      <c r="R53" s="171"/>
    </row>
    <row r="54" spans="1:18">
      <c r="A54" s="26"/>
      <c r="B54" s="94">
        <f t="shared" si="3"/>
        <v>2026</v>
      </c>
      <c r="C54" s="1">
        <f t="shared" si="4"/>
        <v>1</v>
      </c>
      <c r="D54" s="213">
        <v>46023</v>
      </c>
      <c r="E54" s="1" t="str">
        <f t="shared" si="5"/>
        <v>1-2026</v>
      </c>
      <c r="F54" s="296">
        <v>5.2961558906879143</v>
      </c>
      <c r="G54" s="297">
        <v>0.99897021961669874</v>
      </c>
      <c r="H54" s="298">
        <v>6.2951261103046132</v>
      </c>
      <c r="I54" s="297">
        <v>5.5639383850747679</v>
      </c>
      <c r="J54" s="297">
        <v>1.6495414196207203</v>
      </c>
      <c r="K54" s="297">
        <v>7.2134798046954884</v>
      </c>
      <c r="L54" s="296">
        <v>5.7618506943215477</v>
      </c>
      <c r="M54" s="297">
        <v>0.77900267756183827</v>
      </c>
      <c r="N54" s="298">
        <v>6.5408533718833857</v>
      </c>
      <c r="O54" s="1"/>
      <c r="P54" s="274">
        <f t="shared" si="6"/>
        <v>5.5406483233614097</v>
      </c>
      <c r="Q54" s="275">
        <f t="shared" si="7"/>
        <v>6.6831530956278291</v>
      </c>
      <c r="R54" s="171"/>
    </row>
    <row r="55" spans="1:18">
      <c r="A55" s="26"/>
      <c r="B55" s="94">
        <f t="shared" si="3"/>
        <v>2026</v>
      </c>
      <c r="C55" s="1">
        <f t="shared" si="4"/>
        <v>2</v>
      </c>
      <c r="D55" s="213">
        <v>46054</v>
      </c>
      <c r="E55" s="1" t="str">
        <f t="shared" si="5"/>
        <v>2-2026</v>
      </c>
      <c r="F55" s="296">
        <v>5.1798742426255222</v>
      </c>
      <c r="G55" s="297">
        <v>0.99897021961669874</v>
      </c>
      <c r="H55" s="298">
        <v>6.1788444622422212</v>
      </c>
      <c r="I55" s="297">
        <v>5.4417343386127168</v>
      </c>
      <c r="J55" s="297">
        <v>1.6495414196207203</v>
      </c>
      <c r="K55" s="297">
        <v>7.0912757582334374</v>
      </c>
      <c r="L55" s="296">
        <v>5.6353490527112937</v>
      </c>
      <c r="M55" s="297">
        <v>0.77900267756183827</v>
      </c>
      <c r="N55" s="298">
        <v>6.4143517302731317</v>
      </c>
      <c r="O55" s="1"/>
      <c r="P55" s="274">
        <f t="shared" si="6"/>
        <v>5.4189858779831779</v>
      </c>
      <c r="Q55" s="275">
        <f t="shared" si="7"/>
        <v>6.5614906502495964</v>
      </c>
      <c r="R55" s="171"/>
    </row>
    <row r="56" spans="1:18">
      <c r="A56" s="26"/>
      <c r="B56" s="94">
        <f t="shared" si="3"/>
        <v>2026</v>
      </c>
      <c r="C56" s="1">
        <f t="shared" si="4"/>
        <v>3</v>
      </c>
      <c r="D56" s="213">
        <v>46082</v>
      </c>
      <c r="E56" s="1" t="str">
        <f t="shared" si="5"/>
        <v>3-2026</v>
      </c>
      <c r="F56" s="296">
        <v>4.7549882161926016</v>
      </c>
      <c r="G56" s="297">
        <v>0.99897021961669874</v>
      </c>
      <c r="H56" s="298">
        <v>5.7539584358093006</v>
      </c>
      <c r="I56" s="297">
        <v>4.9953294097032286</v>
      </c>
      <c r="J56" s="297">
        <v>1.6495414196207203</v>
      </c>
      <c r="K56" s="297">
        <v>6.6448708293239491</v>
      </c>
      <c r="L56" s="296">
        <v>5.1731064511304599</v>
      </c>
      <c r="M56" s="297">
        <v>0.77900267756183827</v>
      </c>
      <c r="N56" s="298">
        <v>5.9521091286922978</v>
      </c>
      <c r="O56" s="1"/>
      <c r="P56" s="274">
        <f t="shared" si="6"/>
        <v>4.9744746923420964</v>
      </c>
      <c r="Q56" s="275">
        <f t="shared" si="7"/>
        <v>6.1169794646085158</v>
      </c>
      <c r="R56" s="171"/>
    </row>
    <row r="57" spans="1:18">
      <c r="A57" s="26"/>
      <c r="B57" s="94">
        <f t="shared" si="3"/>
        <v>2026</v>
      </c>
      <c r="C57" s="1">
        <f t="shared" si="4"/>
        <v>4</v>
      </c>
      <c r="D57" s="213">
        <v>46113</v>
      </c>
      <c r="E57" s="1" t="str">
        <f t="shared" si="5"/>
        <v>4-2026</v>
      </c>
      <c r="F57" s="296">
        <v>4.6739323190418318</v>
      </c>
      <c r="G57" s="297">
        <v>0.99897021961669874</v>
      </c>
      <c r="H57" s="298">
        <v>5.6729025386585308</v>
      </c>
      <c r="I57" s="297">
        <v>4.910137721996831</v>
      </c>
      <c r="J57" s="297">
        <v>1.6495414196207203</v>
      </c>
      <c r="K57" s="297">
        <v>6.5596791416175515</v>
      </c>
      <c r="L57" s="296">
        <v>5.0849273765823186</v>
      </c>
      <c r="M57" s="297">
        <v>0.77900267756183827</v>
      </c>
      <c r="N57" s="298">
        <v>5.8639300541441566</v>
      </c>
      <c r="O57" s="1"/>
      <c r="P57" s="274">
        <f t="shared" si="6"/>
        <v>4.8896658058736611</v>
      </c>
      <c r="Q57" s="275">
        <f t="shared" si="7"/>
        <v>6.0321705781400796</v>
      </c>
      <c r="R57" s="171"/>
    </row>
    <row r="58" spans="1:18">
      <c r="A58" s="26"/>
      <c r="B58" s="94">
        <f t="shared" si="3"/>
        <v>2026</v>
      </c>
      <c r="C58" s="1">
        <f t="shared" si="4"/>
        <v>5</v>
      </c>
      <c r="D58" s="213">
        <v>46143</v>
      </c>
      <c r="E58" s="1" t="str">
        <f t="shared" si="5"/>
        <v>5-2026</v>
      </c>
      <c r="F58" s="296">
        <v>4.8364461771948566</v>
      </c>
      <c r="G58" s="297">
        <v>0.99897021961669874</v>
      </c>
      <c r="H58" s="298">
        <v>5.8354163968115556</v>
      </c>
      <c r="I58" s="297">
        <v>5.0808243338806758</v>
      </c>
      <c r="J58" s="297">
        <v>1.6495414196207203</v>
      </c>
      <c r="K58" s="297">
        <v>6.7303657535013963</v>
      </c>
      <c r="L58" s="296">
        <v>5.2617360646948095</v>
      </c>
      <c r="M58" s="297">
        <v>0.77900267756183827</v>
      </c>
      <c r="N58" s="298">
        <v>6.0407387422566474</v>
      </c>
      <c r="O58" s="1"/>
      <c r="P58" s="274">
        <f t="shared" si="6"/>
        <v>5.0596688585901139</v>
      </c>
      <c r="Q58" s="275">
        <f t="shared" si="7"/>
        <v>6.2021736308565325</v>
      </c>
      <c r="R58" s="171"/>
    </row>
    <row r="59" spans="1:18">
      <c r="A59" s="26"/>
      <c r="B59" s="94">
        <f t="shared" si="3"/>
        <v>2026</v>
      </c>
      <c r="C59" s="1">
        <f t="shared" si="4"/>
        <v>6</v>
      </c>
      <c r="D59" s="213">
        <v>46174</v>
      </c>
      <c r="E59" s="1" t="str">
        <f t="shared" si="5"/>
        <v>6-2026</v>
      </c>
      <c r="F59" s="296">
        <v>4.9613222099073191</v>
      </c>
      <c r="G59" s="297">
        <v>0.99897021961669874</v>
      </c>
      <c r="H59" s="298">
        <v>5.9602924295240181</v>
      </c>
      <c r="I59" s="297">
        <v>5.2119689461029015</v>
      </c>
      <c r="J59" s="297">
        <v>1.6495414196207203</v>
      </c>
      <c r="K59" s="297">
        <v>6.8615103657236221</v>
      </c>
      <c r="L59" s="296">
        <v>5.397597532105876</v>
      </c>
      <c r="M59" s="297">
        <v>0.77900267756183827</v>
      </c>
      <c r="N59" s="298">
        <v>6.1766002096677139</v>
      </c>
      <c r="O59" s="1"/>
      <c r="P59" s="274">
        <f t="shared" si="6"/>
        <v>5.1902962293720316</v>
      </c>
      <c r="Q59" s="275">
        <f t="shared" si="7"/>
        <v>6.3328010016384511</v>
      </c>
      <c r="R59" s="171"/>
    </row>
    <row r="60" spans="1:18">
      <c r="A60" s="26"/>
      <c r="B60" s="94">
        <f t="shared" si="3"/>
        <v>2026</v>
      </c>
      <c r="C60" s="1">
        <f t="shared" si="4"/>
        <v>7</v>
      </c>
      <c r="D60" s="213">
        <v>46204</v>
      </c>
      <c r="E60" s="1" t="str">
        <f t="shared" si="5"/>
        <v>7-2026</v>
      </c>
      <c r="F60" s="296">
        <v>5.0005254643364259</v>
      </c>
      <c r="G60" s="297">
        <v>0.99897021961669874</v>
      </c>
      <c r="H60" s="298">
        <v>5.9994956839531248</v>
      </c>
      <c r="I60" s="297">
        <v>5.2531112094527206</v>
      </c>
      <c r="J60" s="297">
        <v>1.6495414196207203</v>
      </c>
      <c r="K60" s="297">
        <v>6.9026526290734411</v>
      </c>
      <c r="L60" s="296">
        <v>5.4402527111353844</v>
      </c>
      <c r="M60" s="297">
        <v>0.77900267756183827</v>
      </c>
      <c r="N60" s="298">
        <v>6.2192553886972224</v>
      </c>
      <c r="O60" s="1"/>
      <c r="P60" s="274">
        <f t="shared" si="6"/>
        <v>5.2312964616415103</v>
      </c>
      <c r="Q60" s="275">
        <f t="shared" si="7"/>
        <v>6.3738012339079289</v>
      </c>
      <c r="R60" s="171"/>
    </row>
    <row r="61" spans="1:18">
      <c r="A61" s="26"/>
      <c r="B61" s="94">
        <f t="shared" si="3"/>
        <v>2026</v>
      </c>
      <c r="C61" s="1">
        <f t="shared" si="4"/>
        <v>8</v>
      </c>
      <c r="D61" s="213">
        <v>46235</v>
      </c>
      <c r="E61" s="1" t="str">
        <f t="shared" si="5"/>
        <v>8-2026</v>
      </c>
      <c r="F61" s="296">
        <v>4.9617451613839814</v>
      </c>
      <c r="G61" s="297">
        <v>0.99897021961669874</v>
      </c>
      <c r="H61" s="298">
        <v>5.9607153810006803</v>
      </c>
      <c r="I61" s="297">
        <v>5.2123308128528461</v>
      </c>
      <c r="J61" s="297">
        <v>1.6495414196207203</v>
      </c>
      <c r="K61" s="297">
        <v>6.8618722324735666</v>
      </c>
      <c r="L61" s="296">
        <v>5.3980667555208548</v>
      </c>
      <c r="M61" s="297">
        <v>0.77900267756183827</v>
      </c>
      <c r="N61" s="298">
        <v>6.1770694330826927</v>
      </c>
      <c r="O61" s="1"/>
      <c r="P61" s="274">
        <f t="shared" si="6"/>
        <v>5.190714243252561</v>
      </c>
      <c r="Q61" s="275">
        <f t="shared" si="7"/>
        <v>6.3332190155189805</v>
      </c>
      <c r="R61" s="171"/>
    </row>
    <row r="62" spans="1:18">
      <c r="A62" s="26"/>
      <c r="B62" s="94">
        <f t="shared" si="3"/>
        <v>2026</v>
      </c>
      <c r="C62" s="1">
        <f t="shared" si="4"/>
        <v>9</v>
      </c>
      <c r="D62" s="213">
        <v>46266</v>
      </c>
      <c r="E62" s="1" t="str">
        <f t="shared" si="5"/>
        <v>9-2026</v>
      </c>
      <c r="F62" s="296">
        <v>5.0313784702838404</v>
      </c>
      <c r="G62" s="297">
        <v>0.99897021961669874</v>
      </c>
      <c r="H62" s="298">
        <v>6.0303486899005394</v>
      </c>
      <c r="I62" s="297">
        <v>5.2854390358404517</v>
      </c>
      <c r="J62" s="297">
        <v>1.6495414196207203</v>
      </c>
      <c r="K62" s="297">
        <v>6.9349804554611723</v>
      </c>
      <c r="L62" s="296">
        <v>5.4738280217752342</v>
      </c>
      <c r="M62" s="297">
        <v>0.77900267756183827</v>
      </c>
      <c r="N62" s="298">
        <v>6.2528306993370721</v>
      </c>
      <c r="O62" s="1"/>
      <c r="P62" s="274">
        <f t="shared" si="6"/>
        <v>5.2635485092998415</v>
      </c>
      <c r="Q62" s="275">
        <f t="shared" si="7"/>
        <v>6.406053281566261</v>
      </c>
      <c r="R62" s="171"/>
    </row>
    <row r="63" spans="1:18">
      <c r="A63" s="26"/>
      <c r="B63" s="94">
        <f t="shared" si="3"/>
        <v>2026</v>
      </c>
      <c r="C63" s="1">
        <f t="shared" si="4"/>
        <v>10</v>
      </c>
      <c r="D63" s="213">
        <v>46296</v>
      </c>
      <c r="E63" s="1" t="str">
        <f t="shared" si="5"/>
        <v>10-2026</v>
      </c>
      <c r="F63" s="296">
        <v>5.002228044125606</v>
      </c>
      <c r="G63" s="297">
        <v>0.99897021961669874</v>
      </c>
      <c r="H63" s="298">
        <v>6.0011982637423049</v>
      </c>
      <c r="I63" s="297">
        <v>5.2547750747557576</v>
      </c>
      <c r="J63" s="297">
        <v>1.6495414196207203</v>
      </c>
      <c r="K63" s="297">
        <v>6.9043164943764781</v>
      </c>
      <c r="L63" s="296">
        <v>5.4421187428353264</v>
      </c>
      <c r="M63" s="297">
        <v>0.77900267756183827</v>
      </c>
      <c r="N63" s="298">
        <v>6.2211214203971643</v>
      </c>
      <c r="O63" s="1"/>
      <c r="P63" s="274">
        <f t="shared" si="6"/>
        <v>5.23304062057223</v>
      </c>
      <c r="Q63" s="275">
        <f t="shared" si="7"/>
        <v>6.3755453928386494</v>
      </c>
      <c r="R63" s="171"/>
    </row>
    <row r="64" spans="1:18">
      <c r="A64" s="26"/>
      <c r="B64" s="94">
        <f t="shared" si="3"/>
        <v>2026</v>
      </c>
      <c r="C64" s="1">
        <f t="shared" si="4"/>
        <v>11</v>
      </c>
      <c r="D64" s="213">
        <v>46327</v>
      </c>
      <c r="E64" s="1" t="str">
        <f t="shared" si="5"/>
        <v>11-2026</v>
      </c>
      <c r="F64" s="296">
        <v>5.2493075353966052</v>
      </c>
      <c r="G64" s="297">
        <v>0.99897021961669874</v>
      </c>
      <c r="H64" s="298">
        <v>6.2482777550133042</v>
      </c>
      <c r="I64" s="297">
        <v>5.5142852079445541</v>
      </c>
      <c r="J64" s="297">
        <v>1.6495414196207203</v>
      </c>
      <c r="K64" s="297">
        <v>7.1638266275652747</v>
      </c>
      <c r="L64" s="296">
        <v>5.7109309513248672</v>
      </c>
      <c r="M64" s="297">
        <v>0.77900267756183827</v>
      </c>
      <c r="N64" s="298">
        <v>6.4899336288867051</v>
      </c>
      <c r="O64" s="1"/>
      <c r="P64" s="274">
        <f t="shared" si="6"/>
        <v>5.4915078982220082</v>
      </c>
      <c r="Q64" s="275">
        <f t="shared" si="7"/>
        <v>6.6340126704884286</v>
      </c>
      <c r="R64" s="171"/>
    </row>
    <row r="65" spans="1:18">
      <c r="A65" s="26"/>
      <c r="B65" s="94">
        <f t="shared" si="3"/>
        <v>2026</v>
      </c>
      <c r="C65" s="1">
        <f t="shared" si="4"/>
        <v>12</v>
      </c>
      <c r="D65" s="213">
        <v>46357</v>
      </c>
      <c r="E65" s="1" t="str">
        <f t="shared" si="5"/>
        <v>12-2026</v>
      </c>
      <c r="F65" s="296">
        <v>5.2913640120368903</v>
      </c>
      <c r="G65" s="297">
        <v>0.99897021961669874</v>
      </c>
      <c r="H65" s="298">
        <v>6.2903342316535893</v>
      </c>
      <c r="I65" s="297">
        <v>5.5584206426010381</v>
      </c>
      <c r="J65" s="297">
        <v>1.6495414196207203</v>
      </c>
      <c r="K65" s="297">
        <v>7.2079620622217586</v>
      </c>
      <c r="L65" s="296">
        <v>5.7566907135692862</v>
      </c>
      <c r="M65" s="297">
        <v>0.77900267756183827</v>
      </c>
      <c r="N65" s="298">
        <v>6.5356933911311241</v>
      </c>
      <c r="O65" s="1"/>
      <c r="P65" s="274">
        <f t="shared" si="6"/>
        <v>5.5354917894024043</v>
      </c>
      <c r="Q65" s="275">
        <f t="shared" si="7"/>
        <v>6.6779965616688246</v>
      </c>
      <c r="R65" s="171"/>
    </row>
    <row r="66" spans="1:18">
      <c r="A66" s="26"/>
      <c r="B66" s="94">
        <f t="shared" si="3"/>
        <v>2027</v>
      </c>
      <c r="C66" s="1">
        <f t="shared" si="4"/>
        <v>1</v>
      </c>
      <c r="D66" s="213">
        <v>46388</v>
      </c>
      <c r="E66" s="1" t="str">
        <f t="shared" si="5"/>
        <v>1-2027</v>
      </c>
      <c r="F66" s="296">
        <v>5.2914635394550897</v>
      </c>
      <c r="G66" s="297">
        <v>1.0389290284013668</v>
      </c>
      <c r="H66" s="298">
        <v>6.3303925678564568</v>
      </c>
      <c r="I66" s="297">
        <v>5.5584521520217471</v>
      </c>
      <c r="J66" s="297">
        <v>1.7155230764055491</v>
      </c>
      <c r="K66" s="297">
        <v>7.2739752284272967</v>
      </c>
      <c r="L66" s="296">
        <v>5.7567724830958573</v>
      </c>
      <c r="M66" s="297">
        <v>0.81016278466431191</v>
      </c>
      <c r="N66" s="298">
        <v>6.5669352677601696</v>
      </c>
      <c r="O66" s="1"/>
      <c r="P66" s="274">
        <f t="shared" si="6"/>
        <v>5.5355627248575656</v>
      </c>
      <c r="Q66" s="275">
        <f t="shared" si="7"/>
        <v>6.7237676880146404</v>
      </c>
      <c r="R66" s="171"/>
    </row>
    <row r="67" spans="1:18">
      <c r="A67" s="26"/>
      <c r="B67" s="94">
        <f t="shared" si="3"/>
        <v>2027</v>
      </c>
      <c r="C67" s="1">
        <f t="shared" si="4"/>
        <v>2</v>
      </c>
      <c r="D67" s="213">
        <v>46419</v>
      </c>
      <c r="E67" s="1" t="str">
        <f t="shared" si="5"/>
        <v>2-2027</v>
      </c>
      <c r="F67" s="296">
        <v>5.1752429883919691</v>
      </c>
      <c r="G67" s="297">
        <v>1.0389290284013668</v>
      </c>
      <c r="H67" s="298">
        <v>6.2141720167933361</v>
      </c>
      <c r="I67" s="297">
        <v>5.4362960727795313</v>
      </c>
      <c r="J67" s="297">
        <v>1.7155230764055491</v>
      </c>
      <c r="K67" s="297">
        <v>7.15181914918508</v>
      </c>
      <c r="L67" s="296">
        <v>5.6303060555264395</v>
      </c>
      <c r="M67" s="297">
        <v>0.81016278466431191</v>
      </c>
      <c r="N67" s="298">
        <v>6.4404688401907517</v>
      </c>
      <c r="O67" s="1"/>
      <c r="P67" s="274">
        <f t="shared" si="6"/>
        <v>5.413948372232646</v>
      </c>
      <c r="Q67" s="275">
        <f t="shared" si="7"/>
        <v>6.6021533353897226</v>
      </c>
      <c r="R67" s="171"/>
    </row>
    <row r="68" spans="1:18">
      <c r="A68" s="26"/>
      <c r="B68" s="94">
        <f t="shared" si="3"/>
        <v>2027</v>
      </c>
      <c r="C68" s="1">
        <f t="shared" si="4"/>
        <v>3</v>
      </c>
      <c r="D68" s="213">
        <v>46447</v>
      </c>
      <c r="E68" s="1" t="str">
        <f t="shared" si="5"/>
        <v>3-2027</v>
      </c>
      <c r="F68" s="296">
        <v>4.7506983526392865</v>
      </c>
      <c r="G68" s="297">
        <v>1.0389290284013668</v>
      </c>
      <c r="H68" s="298">
        <v>5.7896273810406536</v>
      </c>
      <c r="I68" s="297">
        <v>4.9902706732364592</v>
      </c>
      <c r="J68" s="297">
        <v>1.7155230764055491</v>
      </c>
      <c r="K68" s="297">
        <v>6.7057937496420088</v>
      </c>
      <c r="L68" s="296">
        <v>5.1684070769257442</v>
      </c>
      <c r="M68" s="297">
        <v>0.81016278466431191</v>
      </c>
      <c r="N68" s="298">
        <v>5.9785698615900564</v>
      </c>
      <c r="O68" s="1"/>
      <c r="P68" s="274">
        <f t="shared" si="6"/>
        <v>4.9697920342671633</v>
      </c>
      <c r="Q68" s="275">
        <f t="shared" si="7"/>
        <v>6.157996997424239</v>
      </c>
      <c r="R68" s="171"/>
    </row>
    <row r="69" spans="1:18">
      <c r="A69" s="26"/>
      <c r="B69" s="94">
        <f t="shared" si="3"/>
        <v>2027</v>
      </c>
      <c r="C69" s="1">
        <f t="shared" si="4"/>
        <v>4</v>
      </c>
      <c r="D69" s="213">
        <v>46478</v>
      </c>
      <c r="E69" s="1" t="str">
        <f t="shared" si="5"/>
        <v>4-2027</v>
      </c>
      <c r="F69" s="296">
        <v>4.6696777392247881</v>
      </c>
      <c r="G69" s="297">
        <v>1.0389290284013668</v>
      </c>
      <c r="H69" s="298">
        <v>5.7086067676261552</v>
      </c>
      <c r="I69" s="297">
        <v>4.9050997925964728</v>
      </c>
      <c r="J69" s="297">
        <v>1.7155230764055491</v>
      </c>
      <c r="K69" s="297">
        <v>6.6206228690020215</v>
      </c>
      <c r="L69" s="296">
        <v>5.080239258510594</v>
      </c>
      <c r="M69" s="297">
        <v>0.81016278466431191</v>
      </c>
      <c r="N69" s="298">
        <v>5.8904020431749062</v>
      </c>
      <c r="O69" s="1"/>
      <c r="P69" s="274">
        <f t="shared" si="6"/>
        <v>4.8850055967772859</v>
      </c>
      <c r="Q69" s="275">
        <f t="shared" si="7"/>
        <v>6.0732105599343607</v>
      </c>
      <c r="R69" s="171"/>
    </row>
    <row r="70" spans="1:18">
      <c r="A70" s="26"/>
      <c r="B70" s="94">
        <f t="shared" si="3"/>
        <v>2027</v>
      </c>
      <c r="C70" s="1">
        <f t="shared" si="4"/>
        <v>5</v>
      </c>
      <c r="D70" s="213">
        <v>46508</v>
      </c>
      <c r="E70" s="1" t="str">
        <f t="shared" si="5"/>
        <v>5-2027</v>
      </c>
      <c r="F70" s="296">
        <v>4.832004499545179</v>
      </c>
      <c r="G70" s="297">
        <v>1.0389290284013668</v>
      </c>
      <c r="H70" s="298">
        <v>5.870933527946546</v>
      </c>
      <c r="I70" s="297">
        <v>5.0755435228608601</v>
      </c>
      <c r="J70" s="297">
        <v>1.7155230764055491</v>
      </c>
      <c r="K70" s="297">
        <v>6.7910665992664097</v>
      </c>
      <c r="L70" s="296">
        <v>5.2568136833611705</v>
      </c>
      <c r="M70" s="297">
        <v>0.81016278466431191</v>
      </c>
      <c r="N70" s="298">
        <v>6.0669764680254827</v>
      </c>
      <c r="O70" s="1"/>
      <c r="P70" s="274">
        <f t="shared" si="6"/>
        <v>5.0547872352557368</v>
      </c>
      <c r="Q70" s="275">
        <f t="shared" si="7"/>
        <v>6.2429921984128134</v>
      </c>
      <c r="R70" s="171"/>
    </row>
    <row r="71" spans="1:18">
      <c r="A71" s="26"/>
      <c r="B71" s="94">
        <f t="shared" ref="B71:B134" si="11">YEAR(D71)</f>
        <v>2027</v>
      </c>
      <c r="C71" s="1">
        <f t="shared" ref="C71:C134" si="12">MONTH(D71)</f>
        <v>6</v>
      </c>
      <c r="D71" s="213">
        <v>46539</v>
      </c>
      <c r="E71" s="1" t="str">
        <f t="shared" ref="E71:E134" si="13">C71&amp;"-"&amp;B71</f>
        <v>6-2027</v>
      </c>
      <c r="F71" s="296">
        <v>4.956725666982182</v>
      </c>
      <c r="G71" s="297">
        <v>1.0389290284013668</v>
      </c>
      <c r="H71" s="298">
        <v>5.995654695383549</v>
      </c>
      <c r="I71" s="297">
        <v>5.2064823156917672</v>
      </c>
      <c r="J71" s="297">
        <v>1.7155230764055491</v>
      </c>
      <c r="K71" s="297">
        <v>6.9220053920973168</v>
      </c>
      <c r="L71" s="296">
        <v>5.3924749492312021</v>
      </c>
      <c r="M71" s="297">
        <v>0.81016278466431191</v>
      </c>
      <c r="N71" s="298">
        <v>6.2026377338955143</v>
      </c>
      <c r="O71" s="1"/>
      <c r="P71" s="274">
        <f t="shared" ref="P71:P134" si="14">AVERAGE(F71,I71,L71)</f>
        <v>5.1852276439683838</v>
      </c>
      <c r="Q71" s="275">
        <f t="shared" ref="Q71:Q134" si="15">AVERAGE(H71,K71,N71)</f>
        <v>6.3734326071254594</v>
      </c>
      <c r="R71" s="171"/>
    </row>
    <row r="72" spans="1:18">
      <c r="A72" s="26"/>
      <c r="B72" s="94">
        <f t="shared" si="11"/>
        <v>2027</v>
      </c>
      <c r="C72" s="1">
        <f t="shared" si="12"/>
        <v>7</v>
      </c>
      <c r="D72" s="213">
        <v>46569</v>
      </c>
      <c r="E72" s="1" t="str">
        <f t="shared" si="13"/>
        <v>7-2027</v>
      </c>
      <c r="F72" s="296">
        <v>4.9958520950383969</v>
      </c>
      <c r="G72" s="297">
        <v>1.0389290284013668</v>
      </c>
      <c r="H72" s="298">
        <v>6.0347811234397639</v>
      </c>
      <c r="I72" s="297">
        <v>5.2475111957826011</v>
      </c>
      <c r="J72" s="297">
        <v>1.7155230764055491</v>
      </c>
      <c r="K72" s="297">
        <v>6.9630342721881497</v>
      </c>
      <c r="L72" s="296">
        <v>5.4350159556208828</v>
      </c>
      <c r="M72" s="297">
        <v>0.81016278466431191</v>
      </c>
      <c r="N72" s="298">
        <v>6.245178740285195</v>
      </c>
      <c r="O72" s="1"/>
      <c r="P72" s="274">
        <f t="shared" si="14"/>
        <v>5.2261264154806275</v>
      </c>
      <c r="Q72" s="275">
        <f t="shared" si="15"/>
        <v>6.4143313786377023</v>
      </c>
      <c r="R72" s="171"/>
    </row>
    <row r="73" spans="1:18">
      <c r="A73" s="26"/>
      <c r="B73" s="94">
        <f t="shared" si="11"/>
        <v>2027</v>
      </c>
      <c r="C73" s="1">
        <f t="shared" si="12"/>
        <v>8</v>
      </c>
      <c r="D73" s="213">
        <v>46600</v>
      </c>
      <c r="E73" s="1" t="str">
        <f t="shared" si="13"/>
        <v>8-2027</v>
      </c>
      <c r="F73" s="296">
        <v>4.9570678379361777</v>
      </c>
      <c r="G73" s="297">
        <v>1.0389290284013668</v>
      </c>
      <c r="H73" s="298">
        <v>5.9959968663375447</v>
      </c>
      <c r="I73" s="297">
        <v>5.2067047324471138</v>
      </c>
      <c r="J73" s="297">
        <v>1.7155230764055491</v>
      </c>
      <c r="K73" s="297">
        <v>6.9222278088526625</v>
      </c>
      <c r="L73" s="296">
        <v>5.3927974780099852</v>
      </c>
      <c r="M73" s="297">
        <v>0.81016278466431191</v>
      </c>
      <c r="N73" s="298">
        <v>6.2029602626742975</v>
      </c>
      <c r="O73" s="1"/>
      <c r="P73" s="274">
        <f t="shared" si="14"/>
        <v>5.1855233494644253</v>
      </c>
      <c r="Q73" s="275">
        <f t="shared" si="15"/>
        <v>6.3737283126215019</v>
      </c>
      <c r="R73" s="171"/>
    </row>
    <row r="74" spans="1:18">
      <c r="A74" s="26"/>
      <c r="B74" s="94">
        <f t="shared" si="11"/>
        <v>2027</v>
      </c>
      <c r="C74" s="1">
        <f t="shared" si="12"/>
        <v>9</v>
      </c>
      <c r="D74" s="213">
        <v>46631</v>
      </c>
      <c r="E74" s="1" t="str">
        <f t="shared" si="13"/>
        <v>9-2027</v>
      </c>
      <c r="F74" s="296">
        <v>5.0265947377373035</v>
      </c>
      <c r="G74" s="297">
        <v>1.0389290284013668</v>
      </c>
      <c r="H74" s="298">
        <v>6.0655237661386705</v>
      </c>
      <c r="I74" s="297">
        <v>5.2796635169741162</v>
      </c>
      <c r="J74" s="297">
        <v>1.7155230764055491</v>
      </c>
      <c r="K74" s="297">
        <v>6.9951865933796658</v>
      </c>
      <c r="L74" s="296">
        <v>5.4684106234863528</v>
      </c>
      <c r="M74" s="297">
        <v>0.81016278466431191</v>
      </c>
      <c r="N74" s="298">
        <v>6.278573408150665</v>
      </c>
      <c r="O74" s="1"/>
      <c r="P74" s="274">
        <f t="shared" si="14"/>
        <v>5.2582229593992578</v>
      </c>
      <c r="Q74" s="275">
        <f t="shared" si="15"/>
        <v>6.4464279225563343</v>
      </c>
      <c r="R74" s="171"/>
    </row>
    <row r="75" spans="1:18">
      <c r="A75" s="26"/>
      <c r="B75" s="94">
        <f t="shared" si="11"/>
        <v>2027</v>
      </c>
      <c r="C75" s="1">
        <f t="shared" si="12"/>
        <v>10</v>
      </c>
      <c r="D75" s="213">
        <v>46661</v>
      </c>
      <c r="E75" s="1" t="str">
        <f t="shared" si="13"/>
        <v>10-2027</v>
      </c>
      <c r="F75" s="296">
        <v>4.9974314900986379</v>
      </c>
      <c r="G75" s="297">
        <v>1.0389290284013668</v>
      </c>
      <c r="H75" s="298">
        <v>6.0363605185000049</v>
      </c>
      <c r="I75" s="297">
        <v>5.2489629339057515</v>
      </c>
      <c r="J75" s="297">
        <v>1.7155230764055491</v>
      </c>
      <c r="K75" s="297">
        <v>6.9644860103113011</v>
      </c>
      <c r="L75" s="296">
        <v>5.4366589788484321</v>
      </c>
      <c r="M75" s="297">
        <v>0.81016278466431191</v>
      </c>
      <c r="N75" s="298">
        <v>6.2468217635127443</v>
      </c>
      <c r="O75" s="1"/>
      <c r="P75" s="274">
        <f t="shared" si="14"/>
        <v>5.2276844676176069</v>
      </c>
      <c r="Q75" s="275">
        <f t="shared" si="15"/>
        <v>6.4158894307746834</v>
      </c>
      <c r="R75" s="171"/>
    </row>
    <row r="76" spans="1:18">
      <c r="A76" s="26"/>
      <c r="B76" s="94">
        <f t="shared" si="11"/>
        <v>2027</v>
      </c>
      <c r="C76" s="1">
        <f t="shared" si="12"/>
        <v>11</v>
      </c>
      <c r="D76" s="213">
        <v>46692</v>
      </c>
      <c r="E76" s="1" t="str">
        <f t="shared" si="13"/>
        <v>11-2027</v>
      </c>
      <c r="F76" s="296">
        <v>5.2442315152887522</v>
      </c>
      <c r="G76" s="297">
        <v>1.0389290284013668</v>
      </c>
      <c r="H76" s="298">
        <v>6.2831605436901192</v>
      </c>
      <c r="I76" s="297">
        <v>5.508112426627136</v>
      </c>
      <c r="J76" s="297">
        <v>1.7155230764055491</v>
      </c>
      <c r="K76" s="297">
        <v>7.2236355030326855</v>
      </c>
      <c r="L76" s="296">
        <v>5.7051241014887015</v>
      </c>
      <c r="M76" s="297">
        <v>0.81016278466431191</v>
      </c>
      <c r="N76" s="298">
        <v>6.5152868861530138</v>
      </c>
      <c r="O76" s="1"/>
      <c r="P76" s="274">
        <f t="shared" si="14"/>
        <v>5.4858226811348629</v>
      </c>
      <c r="Q76" s="275">
        <f t="shared" si="15"/>
        <v>6.6740276442919395</v>
      </c>
      <c r="R76" s="171"/>
    </row>
    <row r="77" spans="1:18">
      <c r="A77" s="26"/>
      <c r="B77" s="94">
        <f t="shared" si="11"/>
        <v>2027</v>
      </c>
      <c r="C77" s="1">
        <f t="shared" si="12"/>
        <v>12</v>
      </c>
      <c r="D77" s="213">
        <v>46722</v>
      </c>
      <c r="E77" s="1" t="str">
        <f t="shared" si="13"/>
        <v>12-2027</v>
      </c>
      <c r="F77" s="296">
        <v>5.2862044310219201</v>
      </c>
      <c r="G77" s="297">
        <v>1.0389290284013668</v>
      </c>
      <c r="H77" s="298">
        <v>6.3251334594232871</v>
      </c>
      <c r="I77" s="297">
        <v>5.5521242496956971</v>
      </c>
      <c r="J77" s="297">
        <v>1.7155230764055491</v>
      </c>
      <c r="K77" s="297">
        <v>7.2676473261012458</v>
      </c>
      <c r="L77" s="296">
        <v>5.7507593018560232</v>
      </c>
      <c r="M77" s="297">
        <v>0.81016278466431191</v>
      </c>
      <c r="N77" s="298">
        <v>6.5609220865203355</v>
      </c>
      <c r="O77" s="1"/>
      <c r="P77" s="274">
        <f t="shared" si="14"/>
        <v>5.5296959941912123</v>
      </c>
      <c r="Q77" s="275">
        <f t="shared" si="15"/>
        <v>6.7179009573482888</v>
      </c>
      <c r="R77" s="171"/>
    </row>
    <row r="78" spans="1:18">
      <c r="A78" s="26"/>
      <c r="B78" s="94">
        <f t="shared" si="11"/>
        <v>2028</v>
      </c>
      <c r="C78" s="1">
        <f t="shared" si="12"/>
        <v>1</v>
      </c>
      <c r="D78" s="213">
        <v>46753</v>
      </c>
      <c r="E78" s="1" t="str">
        <f t="shared" si="13"/>
        <v>1-2028</v>
      </c>
      <c r="F78" s="296">
        <v>5.2863898695462419</v>
      </c>
      <c r="G78" s="297">
        <v>1.0804861895374214</v>
      </c>
      <c r="H78" s="298">
        <v>6.3668760590836637</v>
      </c>
      <c r="I78" s="297">
        <v>5.552295305649884</v>
      </c>
      <c r="J78" s="297">
        <v>1.7841439994617716</v>
      </c>
      <c r="K78" s="297">
        <v>7.3364393051116554</v>
      </c>
      <c r="L78" s="296">
        <v>5.7509946570368893</v>
      </c>
      <c r="M78" s="297">
        <v>0.84256929605088438</v>
      </c>
      <c r="N78" s="298">
        <v>6.5935639530877737</v>
      </c>
      <c r="O78" s="1"/>
      <c r="P78" s="274">
        <f t="shared" si="14"/>
        <v>5.5298932774110057</v>
      </c>
      <c r="Q78" s="275">
        <f t="shared" si="15"/>
        <v>6.7656264390943646</v>
      </c>
      <c r="R78" s="171"/>
    </row>
    <row r="79" spans="1:18">
      <c r="A79" s="26"/>
      <c r="B79" s="94">
        <f t="shared" si="11"/>
        <v>2028</v>
      </c>
      <c r="C79" s="1">
        <f t="shared" si="12"/>
        <v>2</v>
      </c>
      <c r="D79" s="213">
        <v>46784</v>
      </c>
      <c r="E79" s="1" t="str">
        <f t="shared" si="13"/>
        <v>2-2028</v>
      </c>
      <c r="F79" s="296">
        <v>5.1703648882257145</v>
      </c>
      <c r="G79" s="297">
        <v>1.0804861895374214</v>
      </c>
      <c r="H79" s="298">
        <v>6.2508510777631354</v>
      </c>
      <c r="I79" s="297">
        <v>5.4304110736354216</v>
      </c>
      <c r="J79" s="297">
        <v>1.7841439994617716</v>
      </c>
      <c r="K79" s="297">
        <v>7.214555073097193</v>
      </c>
      <c r="L79" s="296">
        <v>5.6248054782608099</v>
      </c>
      <c r="M79" s="297">
        <v>0.84256929605088438</v>
      </c>
      <c r="N79" s="298">
        <v>6.4673747743116943</v>
      </c>
      <c r="O79" s="1"/>
      <c r="P79" s="274">
        <f t="shared" si="14"/>
        <v>5.408527146707315</v>
      </c>
      <c r="Q79" s="275">
        <f t="shared" si="15"/>
        <v>6.6442603083906739</v>
      </c>
      <c r="R79" s="171"/>
    </row>
    <row r="80" spans="1:18">
      <c r="A80" s="26"/>
      <c r="B80" s="94">
        <f t="shared" si="11"/>
        <v>2028</v>
      </c>
      <c r="C80" s="1">
        <f t="shared" si="12"/>
        <v>3</v>
      </c>
      <c r="D80" s="213">
        <v>46813</v>
      </c>
      <c r="E80" s="1" t="str">
        <f t="shared" si="13"/>
        <v>3-2028</v>
      </c>
      <c r="F80" s="296">
        <v>4.7462976649569697</v>
      </c>
      <c r="G80" s="297">
        <v>1.0804861895374214</v>
      </c>
      <c r="H80" s="298">
        <v>5.8267838544943906</v>
      </c>
      <c r="I80" s="297">
        <v>4.9849938752577412</v>
      </c>
      <c r="J80" s="297">
        <v>1.7841439994617716</v>
      </c>
      <c r="K80" s="297">
        <v>6.7691378747195126</v>
      </c>
      <c r="L80" s="296">
        <v>5.1634957675683477</v>
      </c>
      <c r="M80" s="297">
        <v>0.84256929605088438</v>
      </c>
      <c r="N80" s="298">
        <v>6.0060650636192321</v>
      </c>
      <c r="O80" s="1"/>
      <c r="P80" s="274">
        <f t="shared" si="14"/>
        <v>4.9649291025943532</v>
      </c>
      <c r="Q80" s="275">
        <f t="shared" si="15"/>
        <v>6.2006622642777112</v>
      </c>
      <c r="R80" s="171"/>
    </row>
    <row r="81" spans="1:18">
      <c r="A81" s="26"/>
      <c r="B81" s="94">
        <f t="shared" si="11"/>
        <v>2028</v>
      </c>
      <c r="C81" s="1">
        <f t="shared" si="12"/>
        <v>4</v>
      </c>
      <c r="D81" s="213">
        <v>46844</v>
      </c>
      <c r="E81" s="1" t="str">
        <f t="shared" si="13"/>
        <v>4-2028</v>
      </c>
      <c r="F81" s="296">
        <v>4.6654280414975791</v>
      </c>
      <c r="G81" s="297">
        <v>1.0804861895374214</v>
      </c>
      <c r="H81" s="298">
        <v>5.745914231035</v>
      </c>
      <c r="I81" s="297">
        <v>4.9000363010009895</v>
      </c>
      <c r="J81" s="297">
        <v>1.7841439994617716</v>
      </c>
      <c r="K81" s="297">
        <v>6.6841803004627609</v>
      </c>
      <c r="L81" s="296">
        <v>5.0755474117265793</v>
      </c>
      <c r="M81" s="297">
        <v>0.84256929605088438</v>
      </c>
      <c r="N81" s="298">
        <v>5.9181167077774637</v>
      </c>
      <c r="O81" s="1"/>
      <c r="P81" s="274">
        <f t="shared" si="14"/>
        <v>4.880337251408382</v>
      </c>
      <c r="Q81" s="275">
        <f t="shared" si="15"/>
        <v>6.1160704130917418</v>
      </c>
      <c r="R81" s="171"/>
    </row>
    <row r="82" spans="1:18">
      <c r="A82" s="26"/>
      <c r="B82" s="94">
        <f t="shared" si="11"/>
        <v>2028</v>
      </c>
      <c r="C82" s="1">
        <f t="shared" si="12"/>
        <v>5</v>
      </c>
      <c r="D82" s="213">
        <v>46874</v>
      </c>
      <c r="E82" s="1" t="str">
        <f t="shared" si="13"/>
        <v>5-2028</v>
      </c>
      <c r="F82" s="296">
        <v>4.8276856654800859</v>
      </c>
      <c r="G82" s="297">
        <v>1.0804861895374214</v>
      </c>
      <c r="H82" s="298">
        <v>5.9081718550175069</v>
      </c>
      <c r="I82" s="297">
        <v>5.0704316355706291</v>
      </c>
      <c r="J82" s="297">
        <v>1.7841439994617716</v>
      </c>
      <c r="K82" s="297">
        <v>6.8545756350324005</v>
      </c>
      <c r="L82" s="296">
        <v>5.2520991821192329</v>
      </c>
      <c r="M82" s="297">
        <v>0.84256929605088438</v>
      </c>
      <c r="N82" s="298">
        <v>6.0946684781701173</v>
      </c>
      <c r="O82" s="1"/>
      <c r="P82" s="274">
        <f t="shared" si="14"/>
        <v>5.050072161056649</v>
      </c>
      <c r="Q82" s="275">
        <f t="shared" si="15"/>
        <v>6.2858053227400079</v>
      </c>
      <c r="R82" s="171"/>
    </row>
    <row r="83" spans="1:18">
      <c r="A83" s="26"/>
      <c r="B83" s="94">
        <f t="shared" si="11"/>
        <v>2028</v>
      </c>
      <c r="C83" s="1">
        <f t="shared" si="12"/>
        <v>6</v>
      </c>
      <c r="D83" s="213">
        <v>46905</v>
      </c>
      <c r="E83" s="1" t="str">
        <f t="shared" si="13"/>
        <v>6-2028</v>
      </c>
      <c r="F83" s="296">
        <v>4.9523759902264963</v>
      </c>
      <c r="G83" s="297">
        <v>1.0804861895374214</v>
      </c>
      <c r="H83" s="298">
        <v>6.0328621797639173</v>
      </c>
      <c r="I83" s="297">
        <v>5.2013694191870075</v>
      </c>
      <c r="J83" s="297">
        <v>1.7841439994617716</v>
      </c>
      <c r="K83" s="297">
        <v>6.9855134186487788</v>
      </c>
      <c r="L83" s="296">
        <v>5.387782851158609</v>
      </c>
      <c r="M83" s="297">
        <v>0.84256929605088438</v>
      </c>
      <c r="N83" s="298">
        <v>6.2303521472094934</v>
      </c>
      <c r="O83" s="1"/>
      <c r="P83" s="274">
        <f t="shared" si="14"/>
        <v>5.1805094201907034</v>
      </c>
      <c r="Q83" s="275">
        <f t="shared" si="15"/>
        <v>6.4162425818740632</v>
      </c>
      <c r="R83" s="171"/>
    </row>
    <row r="84" spans="1:18">
      <c r="A84" s="26"/>
      <c r="B84" s="94">
        <f t="shared" si="11"/>
        <v>2028</v>
      </c>
      <c r="C84" s="1">
        <f t="shared" si="12"/>
        <v>7</v>
      </c>
      <c r="D84" s="213">
        <v>46935</v>
      </c>
      <c r="E84" s="1" t="str">
        <f t="shared" si="13"/>
        <v>7-2028</v>
      </c>
      <c r="F84" s="296">
        <v>4.9915493661471082</v>
      </c>
      <c r="G84" s="297">
        <v>1.0804861895374214</v>
      </c>
      <c r="H84" s="298">
        <v>6.0720355556845291</v>
      </c>
      <c r="I84" s="297">
        <v>5.2424899312572517</v>
      </c>
      <c r="J84" s="297">
        <v>1.7841439994617716</v>
      </c>
      <c r="K84" s="297">
        <v>7.0266339307190231</v>
      </c>
      <c r="L84" s="296">
        <v>5.4304320724057238</v>
      </c>
      <c r="M84" s="297">
        <v>0.84256929605088438</v>
      </c>
      <c r="N84" s="298">
        <v>6.2730013684566082</v>
      </c>
      <c r="O84" s="1"/>
      <c r="P84" s="274">
        <f t="shared" si="14"/>
        <v>5.2214904566033615</v>
      </c>
      <c r="Q84" s="275">
        <f t="shared" si="15"/>
        <v>6.4572236182867195</v>
      </c>
      <c r="R84" s="171"/>
    </row>
    <row r="85" spans="1:18">
      <c r="A85" s="26"/>
      <c r="B85" s="94">
        <f t="shared" si="11"/>
        <v>2028</v>
      </c>
      <c r="C85" s="1">
        <f t="shared" si="12"/>
        <v>8</v>
      </c>
      <c r="D85" s="213">
        <v>46966</v>
      </c>
      <c r="E85" s="1" t="str">
        <f t="shared" si="13"/>
        <v>8-2028</v>
      </c>
      <c r="F85" s="296">
        <v>4.9528791769692884</v>
      </c>
      <c r="G85" s="297">
        <v>1.0804861895374214</v>
      </c>
      <c r="H85" s="298">
        <v>6.0333653665067093</v>
      </c>
      <c r="I85" s="297">
        <v>5.2018534372332477</v>
      </c>
      <c r="J85" s="297">
        <v>1.7841439994617716</v>
      </c>
      <c r="K85" s="297">
        <v>6.985997436695019</v>
      </c>
      <c r="L85" s="296">
        <v>5.3883933290383563</v>
      </c>
      <c r="M85" s="297">
        <v>0.84256929605088438</v>
      </c>
      <c r="N85" s="298">
        <v>6.2309626250892407</v>
      </c>
      <c r="O85" s="1"/>
      <c r="P85" s="274">
        <f t="shared" si="14"/>
        <v>5.1810419810802975</v>
      </c>
      <c r="Q85" s="275">
        <f t="shared" si="15"/>
        <v>6.4167751427636572</v>
      </c>
      <c r="R85" s="171"/>
    </row>
    <row r="86" spans="1:18">
      <c r="A86" s="26"/>
      <c r="B86" s="94">
        <f t="shared" si="11"/>
        <v>2028</v>
      </c>
      <c r="C86" s="1">
        <f t="shared" si="12"/>
        <v>9</v>
      </c>
      <c r="D86" s="213">
        <v>46997</v>
      </c>
      <c r="E86" s="1" t="str">
        <f t="shared" si="13"/>
        <v>9-2028</v>
      </c>
      <c r="F86" s="296">
        <v>5.0224291366747043</v>
      </c>
      <c r="G86" s="297">
        <v>1.0804861895374214</v>
      </c>
      <c r="H86" s="298">
        <v>6.1029153262121252</v>
      </c>
      <c r="I86" s="297">
        <v>5.2748770249893688</v>
      </c>
      <c r="J86" s="297">
        <v>1.7841439994617716</v>
      </c>
      <c r="K86" s="297">
        <v>7.0590210244511402</v>
      </c>
      <c r="L86" s="296">
        <v>5.4640908965399255</v>
      </c>
      <c r="M86" s="297">
        <v>0.84256929605088438</v>
      </c>
      <c r="N86" s="298">
        <v>6.3066601925908099</v>
      </c>
      <c r="O86" s="1"/>
      <c r="P86" s="274">
        <f t="shared" si="14"/>
        <v>5.2537990194013329</v>
      </c>
      <c r="Q86" s="275">
        <f t="shared" si="15"/>
        <v>6.4895321810846909</v>
      </c>
      <c r="R86" s="171"/>
    </row>
    <row r="87" spans="1:18">
      <c r="A87" s="26"/>
      <c r="B87" s="94">
        <f t="shared" si="11"/>
        <v>2028</v>
      </c>
      <c r="C87" s="1">
        <f t="shared" si="12"/>
        <v>10</v>
      </c>
      <c r="D87" s="213">
        <v>47027</v>
      </c>
      <c r="E87" s="1" t="str">
        <f t="shared" si="13"/>
        <v>10-2028</v>
      </c>
      <c r="F87" s="296">
        <v>4.9933714048418123</v>
      </c>
      <c r="G87" s="297">
        <v>1.0804861895374214</v>
      </c>
      <c r="H87" s="298">
        <v>6.0738575943792341</v>
      </c>
      <c r="I87" s="297">
        <v>5.2443363094587614</v>
      </c>
      <c r="J87" s="297">
        <v>1.7841439994617716</v>
      </c>
      <c r="K87" s="297">
        <v>7.0284803089205328</v>
      </c>
      <c r="L87" s="296">
        <v>5.4325096832946977</v>
      </c>
      <c r="M87" s="297">
        <v>0.84256929605088438</v>
      </c>
      <c r="N87" s="298">
        <v>6.2750789793455821</v>
      </c>
      <c r="O87" s="1"/>
      <c r="P87" s="274">
        <f t="shared" si="14"/>
        <v>5.2234057991984235</v>
      </c>
      <c r="Q87" s="275">
        <f t="shared" si="15"/>
        <v>6.4591389608817833</v>
      </c>
      <c r="R87" s="171"/>
    </row>
    <row r="88" spans="1:18">
      <c r="A88" s="26"/>
      <c r="B88" s="94">
        <f t="shared" si="11"/>
        <v>2028</v>
      </c>
      <c r="C88" s="1">
        <f t="shared" si="12"/>
        <v>11</v>
      </c>
      <c r="D88" s="213">
        <v>47058</v>
      </c>
      <c r="E88" s="1" t="str">
        <f t="shared" si="13"/>
        <v>11-2028</v>
      </c>
      <c r="F88" s="296">
        <v>5.2400563003444081</v>
      </c>
      <c r="G88" s="297">
        <v>1.0804861895374214</v>
      </c>
      <c r="H88" s="298">
        <v>6.320542489881829</v>
      </c>
      <c r="I88" s="297">
        <v>5.5033959581391629</v>
      </c>
      <c r="J88" s="297">
        <v>1.7841439994617716</v>
      </c>
      <c r="K88" s="297">
        <v>7.2875399576009343</v>
      </c>
      <c r="L88" s="296">
        <v>5.7009224645923711</v>
      </c>
      <c r="M88" s="297">
        <v>0.84256929605088438</v>
      </c>
      <c r="N88" s="298">
        <v>6.5434917606432554</v>
      </c>
      <c r="O88" s="1"/>
      <c r="P88" s="274">
        <f t="shared" si="14"/>
        <v>5.4814582410253143</v>
      </c>
      <c r="Q88" s="275">
        <f t="shared" si="15"/>
        <v>6.7171914027086723</v>
      </c>
      <c r="R88" s="171"/>
    </row>
    <row r="89" spans="1:18">
      <c r="A89" s="26"/>
      <c r="B89" s="94">
        <f t="shared" si="11"/>
        <v>2028</v>
      </c>
      <c r="C89" s="1">
        <f t="shared" si="12"/>
        <v>12</v>
      </c>
      <c r="D89" s="213">
        <v>47088</v>
      </c>
      <c r="E89" s="1" t="str">
        <f t="shared" si="13"/>
        <v>12-2028</v>
      </c>
      <c r="F89" s="296">
        <v>5.2820818756671262</v>
      </c>
      <c r="G89" s="297">
        <v>1.0804861895374214</v>
      </c>
      <c r="H89" s="298">
        <v>6.3625680652045471</v>
      </c>
      <c r="I89" s="297">
        <v>5.5475098082408403</v>
      </c>
      <c r="J89" s="297">
        <v>1.7841439994617716</v>
      </c>
      <c r="K89" s="297">
        <v>7.3316538077026117</v>
      </c>
      <c r="L89" s="296">
        <v>5.7466778559211402</v>
      </c>
      <c r="M89" s="297">
        <v>0.84256929605088438</v>
      </c>
      <c r="N89" s="298">
        <v>6.5892471519720246</v>
      </c>
      <c r="O89" s="1"/>
      <c r="P89" s="274">
        <f t="shared" si="14"/>
        <v>5.5254231799430356</v>
      </c>
      <c r="Q89" s="275">
        <f t="shared" si="15"/>
        <v>6.7611563416263936</v>
      </c>
      <c r="R89" s="171"/>
    </row>
    <row r="90" spans="1:18">
      <c r="A90" s="26"/>
      <c r="B90" s="94">
        <f t="shared" si="11"/>
        <v>2029</v>
      </c>
      <c r="C90" s="1">
        <f t="shared" si="12"/>
        <v>1</v>
      </c>
      <c r="D90" s="213">
        <v>47119</v>
      </c>
      <c r="E90" s="1" t="str">
        <f t="shared" si="13"/>
        <v>1-2029</v>
      </c>
      <c r="F90" s="296">
        <v>5.2822996069931092</v>
      </c>
      <c r="G90" s="297">
        <v>1.1237056371189185</v>
      </c>
      <c r="H90" s="298">
        <v>6.4060052441120279</v>
      </c>
      <c r="I90" s="297">
        <v>5.5477634713010184</v>
      </c>
      <c r="J90" s="297">
        <v>1.8555097594402425</v>
      </c>
      <c r="K90" s="297">
        <v>7.4032732307412612</v>
      </c>
      <c r="L90" s="296">
        <v>5.7469907465379455</v>
      </c>
      <c r="M90" s="297">
        <v>0.87627206789291989</v>
      </c>
      <c r="N90" s="298">
        <v>6.6232628144308654</v>
      </c>
      <c r="O90" s="1"/>
      <c r="P90" s="274">
        <f t="shared" si="14"/>
        <v>5.5256846082773583</v>
      </c>
      <c r="Q90" s="275">
        <f t="shared" si="15"/>
        <v>6.8108470964280521</v>
      </c>
      <c r="R90" s="171"/>
    </row>
    <row r="91" spans="1:18">
      <c r="A91" s="26"/>
      <c r="B91" s="94">
        <f t="shared" si="11"/>
        <v>2029</v>
      </c>
      <c r="C91" s="1">
        <f t="shared" si="12"/>
        <v>2</v>
      </c>
      <c r="D91" s="213">
        <v>47150</v>
      </c>
      <c r="E91" s="1" t="str">
        <f t="shared" si="13"/>
        <v>2-2029</v>
      </c>
      <c r="F91" s="296">
        <v>5.1663961278224555</v>
      </c>
      <c r="G91" s="297">
        <v>1.1237056371189185</v>
      </c>
      <c r="H91" s="298">
        <v>6.2901017649413742</v>
      </c>
      <c r="I91" s="297">
        <v>5.42605966628388</v>
      </c>
      <c r="J91" s="297">
        <v>1.8555097594402425</v>
      </c>
      <c r="K91" s="297">
        <v>7.2815694257241228</v>
      </c>
      <c r="L91" s="296">
        <v>5.6209654286649169</v>
      </c>
      <c r="M91" s="297">
        <v>0.87627206789291989</v>
      </c>
      <c r="N91" s="298">
        <v>6.4972374965578368</v>
      </c>
      <c r="O91" s="1"/>
      <c r="P91" s="274">
        <f t="shared" si="14"/>
        <v>5.4044737409237511</v>
      </c>
      <c r="Q91" s="275">
        <f t="shared" si="15"/>
        <v>6.6896362290744449</v>
      </c>
      <c r="R91" s="171"/>
    </row>
    <row r="92" spans="1:18">
      <c r="A92" s="26"/>
      <c r="B92" s="94">
        <f t="shared" si="11"/>
        <v>2029</v>
      </c>
      <c r="C92" s="1">
        <f t="shared" si="12"/>
        <v>3</v>
      </c>
      <c r="D92" s="213">
        <v>47178</v>
      </c>
      <c r="E92" s="1" t="str">
        <f t="shared" si="13"/>
        <v>3-2029</v>
      </c>
      <c r="F92" s="296">
        <v>4.7426835485689711</v>
      </c>
      <c r="G92" s="297">
        <v>1.1237056371189185</v>
      </c>
      <c r="H92" s="298">
        <v>5.8663891856878898</v>
      </c>
      <c r="I92" s="297">
        <v>4.9810736972801601</v>
      </c>
      <c r="J92" s="297">
        <v>1.8555097594402425</v>
      </c>
      <c r="K92" s="297">
        <v>6.8365834567204029</v>
      </c>
      <c r="L92" s="296">
        <v>5.1600404348966107</v>
      </c>
      <c r="M92" s="297">
        <v>0.87627206789291989</v>
      </c>
      <c r="N92" s="298">
        <v>6.0363125027895306</v>
      </c>
      <c r="O92" s="1"/>
      <c r="P92" s="274">
        <f t="shared" si="14"/>
        <v>4.9612658935819143</v>
      </c>
      <c r="Q92" s="275">
        <f t="shared" si="15"/>
        <v>6.2464283817326072</v>
      </c>
      <c r="R92" s="171"/>
    </row>
    <row r="93" spans="1:18">
      <c r="A93" s="26"/>
      <c r="B93" s="94">
        <f t="shared" si="11"/>
        <v>2029</v>
      </c>
      <c r="C93" s="1">
        <f t="shared" si="12"/>
        <v>4</v>
      </c>
      <c r="D93" s="213">
        <v>47209</v>
      </c>
      <c r="E93" s="1" t="str">
        <f t="shared" si="13"/>
        <v>4-2029</v>
      </c>
      <c r="F93" s="296">
        <v>4.6619041424516077</v>
      </c>
      <c r="G93" s="297">
        <v>1.1237056371189185</v>
      </c>
      <c r="H93" s="298">
        <v>5.7856097795705264</v>
      </c>
      <c r="I93" s="297">
        <v>4.8962559919118265</v>
      </c>
      <c r="J93" s="297">
        <v>1.8555097594402425</v>
      </c>
      <c r="K93" s="297">
        <v>6.7517657513520692</v>
      </c>
      <c r="L93" s="296">
        <v>5.0722195335095837</v>
      </c>
      <c r="M93" s="297">
        <v>0.87627206789291989</v>
      </c>
      <c r="N93" s="298">
        <v>5.9484916014025035</v>
      </c>
      <c r="O93" s="1"/>
      <c r="P93" s="274">
        <f t="shared" si="14"/>
        <v>4.8767932226243387</v>
      </c>
      <c r="Q93" s="275">
        <f t="shared" si="15"/>
        <v>6.1619557107750325</v>
      </c>
      <c r="R93" s="171"/>
    </row>
    <row r="94" spans="1:18">
      <c r="B94" s="94">
        <f t="shared" si="11"/>
        <v>2029</v>
      </c>
      <c r="C94" s="1">
        <f t="shared" si="12"/>
        <v>5</v>
      </c>
      <c r="D94" s="213">
        <v>47239</v>
      </c>
      <c r="E94" s="1" t="str">
        <f t="shared" si="13"/>
        <v>5-2029</v>
      </c>
      <c r="F94" s="296">
        <v>4.8240688479366245</v>
      </c>
      <c r="G94" s="297">
        <v>1.1237056371189185</v>
      </c>
      <c r="H94" s="298">
        <v>5.9477744850555432</v>
      </c>
      <c r="I94" s="297">
        <v>5.0665954785285248</v>
      </c>
      <c r="J94" s="297">
        <v>1.8555097594402425</v>
      </c>
      <c r="K94" s="297">
        <v>6.9221052379687675</v>
      </c>
      <c r="L94" s="296">
        <v>5.2487265398266061</v>
      </c>
      <c r="M94" s="297">
        <v>0.87627206789291989</v>
      </c>
      <c r="N94" s="298">
        <v>6.124998607719526</v>
      </c>
      <c r="O94" s="1"/>
      <c r="P94" s="274">
        <f t="shared" si="14"/>
        <v>5.0464636220972521</v>
      </c>
      <c r="Q94" s="275">
        <f t="shared" si="15"/>
        <v>6.3316261102479459</v>
      </c>
      <c r="R94" s="171"/>
    </row>
    <row r="95" spans="1:18">
      <c r="B95" s="94">
        <f t="shared" si="11"/>
        <v>2029</v>
      </c>
      <c r="C95" s="1">
        <f t="shared" si="12"/>
        <v>6</v>
      </c>
      <c r="D95" s="213">
        <v>47270</v>
      </c>
      <c r="E95" s="1" t="str">
        <f t="shared" si="13"/>
        <v>6-2029</v>
      </c>
      <c r="F95" s="296">
        <v>4.9486961645370648</v>
      </c>
      <c r="G95" s="297">
        <v>1.1237056371189185</v>
      </c>
      <c r="H95" s="298">
        <v>6.0724018016559835</v>
      </c>
      <c r="I95" s="297">
        <v>5.1975117709420111</v>
      </c>
      <c r="J95" s="297">
        <v>1.8555097594402425</v>
      </c>
      <c r="K95" s="297">
        <v>7.0530215303822539</v>
      </c>
      <c r="L95" s="296">
        <v>5.384395917564837</v>
      </c>
      <c r="M95" s="297">
        <v>0.87627206789291989</v>
      </c>
      <c r="N95" s="298">
        <v>6.2606679854577569</v>
      </c>
      <c r="O95" s="1"/>
      <c r="P95" s="274">
        <f t="shared" si="14"/>
        <v>5.1768679510146383</v>
      </c>
      <c r="Q95" s="275">
        <f t="shared" si="15"/>
        <v>6.462030439165332</v>
      </c>
      <c r="R95" s="171"/>
    </row>
    <row r="96" spans="1:18">
      <c r="B96" s="94">
        <f t="shared" si="11"/>
        <v>2029</v>
      </c>
      <c r="C96" s="1">
        <f t="shared" si="12"/>
        <v>7</v>
      </c>
      <c r="D96" s="213">
        <v>47300</v>
      </c>
      <c r="E96" s="1" t="str">
        <f t="shared" si="13"/>
        <v>7-2029</v>
      </c>
      <c r="F96" s="296">
        <v>4.9878710851475585</v>
      </c>
      <c r="G96" s="297">
        <v>1.1237056371189185</v>
      </c>
      <c r="H96" s="298">
        <v>6.1115767222664772</v>
      </c>
      <c r="I96" s="297">
        <v>5.2386799826005079</v>
      </c>
      <c r="J96" s="297">
        <v>1.8555097594402425</v>
      </c>
      <c r="K96" s="297">
        <v>7.0941897420407507</v>
      </c>
      <c r="L96" s="296">
        <v>5.4270917515504031</v>
      </c>
      <c r="M96" s="297">
        <v>0.87627206789291989</v>
      </c>
      <c r="N96" s="298">
        <v>6.303363819443323</v>
      </c>
      <c r="O96" s="1"/>
      <c r="P96" s="274">
        <f t="shared" si="14"/>
        <v>5.2178809397661565</v>
      </c>
      <c r="Q96" s="275">
        <f t="shared" si="15"/>
        <v>6.5030434279168503</v>
      </c>
      <c r="R96" s="171"/>
    </row>
    <row r="97" spans="2:18">
      <c r="B97" s="94">
        <f t="shared" si="11"/>
        <v>2029</v>
      </c>
      <c r="C97" s="1">
        <f t="shared" si="12"/>
        <v>8</v>
      </c>
      <c r="D97" s="213">
        <v>47331</v>
      </c>
      <c r="E97" s="1" t="str">
        <f t="shared" si="13"/>
        <v>8-2029</v>
      </c>
      <c r="F97" s="296">
        <v>4.9492598107570274</v>
      </c>
      <c r="G97" s="297">
        <v>1.1237056371189185</v>
      </c>
      <c r="H97" s="298">
        <v>6.0729654478759461</v>
      </c>
      <c r="I97" s="297">
        <v>5.1981506225604086</v>
      </c>
      <c r="J97" s="297">
        <v>1.8555097594402425</v>
      </c>
      <c r="K97" s="297">
        <v>7.0536603820006514</v>
      </c>
      <c r="L97" s="296">
        <v>5.3851517303327805</v>
      </c>
      <c r="M97" s="297">
        <v>0.87627206789291989</v>
      </c>
      <c r="N97" s="298">
        <v>6.2614237982257004</v>
      </c>
      <c r="O97" s="1"/>
      <c r="P97" s="274">
        <f t="shared" si="14"/>
        <v>5.1775207212167382</v>
      </c>
      <c r="Q97" s="275">
        <f t="shared" si="15"/>
        <v>6.4626832093674329</v>
      </c>
      <c r="R97" s="171"/>
    </row>
    <row r="98" spans="2:18">
      <c r="B98" s="94">
        <f t="shared" si="11"/>
        <v>2029</v>
      </c>
      <c r="C98" s="1">
        <f t="shared" si="12"/>
        <v>9</v>
      </c>
      <c r="D98" s="213">
        <v>47362</v>
      </c>
      <c r="E98" s="1" t="str">
        <f t="shared" si="13"/>
        <v>9-2029</v>
      </c>
      <c r="F98" s="296">
        <v>5.0187897959520162</v>
      </c>
      <c r="G98" s="297">
        <v>1.1237056371189185</v>
      </c>
      <c r="H98" s="298">
        <v>6.1424954330709349</v>
      </c>
      <c r="I98" s="297">
        <v>5.2712009321559767</v>
      </c>
      <c r="J98" s="297">
        <v>1.8555097594402425</v>
      </c>
      <c r="K98" s="297">
        <v>7.1267106915962195</v>
      </c>
      <c r="L98" s="296">
        <v>5.4608776549928608</v>
      </c>
      <c r="M98" s="297">
        <v>0.87627206789291989</v>
      </c>
      <c r="N98" s="298">
        <v>6.3371497228857807</v>
      </c>
      <c r="O98" s="1"/>
      <c r="P98" s="274">
        <f t="shared" si="14"/>
        <v>5.2502894610336179</v>
      </c>
      <c r="Q98" s="275">
        <f t="shared" si="15"/>
        <v>6.5354519491843108</v>
      </c>
      <c r="R98" s="171"/>
    </row>
    <row r="99" spans="2:18">
      <c r="B99" s="94">
        <f t="shared" si="11"/>
        <v>2029</v>
      </c>
      <c r="C99" s="1">
        <f t="shared" si="12"/>
        <v>10</v>
      </c>
      <c r="D99" s="213">
        <v>47392</v>
      </c>
      <c r="E99" s="1" t="str">
        <f t="shared" si="13"/>
        <v>10-2029</v>
      </c>
      <c r="F99" s="296">
        <v>4.9897837951900161</v>
      </c>
      <c r="G99" s="297">
        <v>1.1237056371189185</v>
      </c>
      <c r="H99" s="298">
        <v>6.1134894323089348</v>
      </c>
      <c r="I99" s="297">
        <v>5.2407597577337999</v>
      </c>
      <c r="J99" s="297">
        <v>1.8555097594402425</v>
      </c>
      <c r="K99" s="297">
        <v>7.0962695171740426</v>
      </c>
      <c r="L99" s="296">
        <v>5.429388491142797</v>
      </c>
      <c r="M99" s="297">
        <v>0.87627206789291989</v>
      </c>
      <c r="N99" s="298">
        <v>6.3056605590357169</v>
      </c>
      <c r="O99" s="1"/>
      <c r="P99" s="274">
        <f t="shared" si="14"/>
        <v>5.219977348022204</v>
      </c>
      <c r="Q99" s="275">
        <f t="shared" si="15"/>
        <v>6.5051398361728987</v>
      </c>
      <c r="R99" s="171"/>
    </row>
    <row r="100" spans="2:18">
      <c r="B100" s="94">
        <f t="shared" si="11"/>
        <v>2029</v>
      </c>
      <c r="C100" s="1">
        <f t="shared" si="12"/>
        <v>11</v>
      </c>
      <c r="D100" s="213">
        <v>47423</v>
      </c>
      <c r="E100" s="1" t="str">
        <f t="shared" si="13"/>
        <v>11-2029</v>
      </c>
      <c r="F100" s="296">
        <v>5.2363236488540492</v>
      </c>
      <c r="G100" s="297">
        <v>1.1237056371189185</v>
      </c>
      <c r="H100" s="298">
        <v>6.3600292859729679</v>
      </c>
      <c r="I100" s="297">
        <v>5.4997248661957601</v>
      </c>
      <c r="J100" s="297">
        <v>1.8555097594402425</v>
      </c>
      <c r="K100" s="297">
        <v>7.3552346256360028</v>
      </c>
      <c r="L100" s="296">
        <v>5.6977241757941082</v>
      </c>
      <c r="M100" s="297">
        <v>0.87627206789291989</v>
      </c>
      <c r="N100" s="298">
        <v>6.5739962436870281</v>
      </c>
      <c r="O100" s="1"/>
      <c r="P100" s="274">
        <f t="shared" si="14"/>
        <v>5.4779242302813058</v>
      </c>
      <c r="Q100" s="275">
        <f t="shared" si="15"/>
        <v>6.7630867184319996</v>
      </c>
      <c r="R100" s="171"/>
    </row>
    <row r="101" spans="2:18">
      <c r="B101" s="94">
        <f t="shared" si="11"/>
        <v>2029</v>
      </c>
      <c r="C101" s="1">
        <f t="shared" si="12"/>
        <v>12</v>
      </c>
      <c r="D101" s="213">
        <v>47453</v>
      </c>
      <c r="E101" s="1" t="str">
        <f t="shared" si="13"/>
        <v>12-2029</v>
      </c>
      <c r="F101" s="296">
        <v>5.2783517454581901</v>
      </c>
      <c r="G101" s="297">
        <v>1.1237056371189185</v>
      </c>
      <c r="H101" s="298">
        <v>6.4020573825771088</v>
      </c>
      <c r="I101" s="297">
        <v>5.5438920938165648</v>
      </c>
      <c r="J101" s="297">
        <v>1.8555097594402425</v>
      </c>
      <c r="K101" s="297">
        <v>7.3994018532568075</v>
      </c>
      <c r="L101" s="296">
        <v>5.7435316430531858</v>
      </c>
      <c r="M101" s="297">
        <v>0.87627206789291989</v>
      </c>
      <c r="N101" s="298">
        <v>6.6198037109461056</v>
      </c>
      <c r="O101" s="1"/>
      <c r="P101" s="274">
        <f t="shared" si="14"/>
        <v>5.5219251607759796</v>
      </c>
      <c r="Q101" s="275">
        <f t="shared" si="15"/>
        <v>6.8070876489266743</v>
      </c>
      <c r="R101" s="171"/>
    </row>
    <row r="102" spans="2:18">
      <c r="B102" s="94">
        <f t="shared" si="11"/>
        <v>2030</v>
      </c>
      <c r="C102" s="1">
        <f t="shared" si="12"/>
        <v>1</v>
      </c>
      <c r="D102" s="213">
        <v>47484</v>
      </c>
      <c r="E102" s="1" t="str">
        <f t="shared" si="13"/>
        <v>1-2030</v>
      </c>
      <c r="F102" s="296">
        <v>5.2785597241129558</v>
      </c>
      <c r="G102" s="297">
        <v>1.1686538626036753</v>
      </c>
      <c r="H102" s="298">
        <v>6.4472135867166314</v>
      </c>
      <c r="I102" s="297">
        <v>5.5440591048710965</v>
      </c>
      <c r="J102" s="297">
        <v>1.9297301498178525</v>
      </c>
      <c r="K102" s="297">
        <v>7.4737892546889491</v>
      </c>
      <c r="L102" s="296">
        <v>5.7437555871971915</v>
      </c>
      <c r="M102" s="297">
        <v>0.91132295060863677</v>
      </c>
      <c r="N102" s="298">
        <v>6.6550785378058279</v>
      </c>
      <c r="O102" s="1"/>
      <c r="P102" s="274">
        <f t="shared" si="14"/>
        <v>5.5221248053937479</v>
      </c>
      <c r="Q102" s="275">
        <f t="shared" si="15"/>
        <v>6.8586937930704694</v>
      </c>
      <c r="R102" s="171"/>
    </row>
    <row r="103" spans="2:18">
      <c r="B103" s="94">
        <f t="shared" si="11"/>
        <v>2030</v>
      </c>
      <c r="C103" s="1">
        <f t="shared" si="12"/>
        <v>2</v>
      </c>
      <c r="D103" s="213">
        <v>47515</v>
      </c>
      <c r="E103" s="1" t="str">
        <f t="shared" si="13"/>
        <v>2-2030</v>
      </c>
      <c r="F103" s="296">
        <v>5.1627289155297795</v>
      </c>
      <c r="G103" s="297">
        <v>1.1686538626036753</v>
      </c>
      <c r="H103" s="298">
        <v>6.3313827781334551</v>
      </c>
      <c r="I103" s="297">
        <v>5.4223519657384296</v>
      </c>
      <c r="J103" s="297">
        <v>1.9297301498178525</v>
      </c>
      <c r="K103" s="297">
        <v>7.3520821155562821</v>
      </c>
      <c r="L103" s="296">
        <v>5.6177143765344448</v>
      </c>
      <c r="M103" s="297">
        <v>0.91132295060863677</v>
      </c>
      <c r="N103" s="298">
        <v>6.5290373271430813</v>
      </c>
      <c r="O103" s="1"/>
      <c r="P103" s="274">
        <f t="shared" si="14"/>
        <v>5.4009317526008838</v>
      </c>
      <c r="Q103" s="275">
        <f t="shared" si="15"/>
        <v>6.7375007402776061</v>
      </c>
      <c r="R103" s="171"/>
    </row>
    <row r="104" spans="2:18">
      <c r="B104" s="94">
        <f t="shared" si="11"/>
        <v>2030</v>
      </c>
      <c r="C104" s="1">
        <f t="shared" si="12"/>
        <v>3</v>
      </c>
      <c r="D104" s="213">
        <v>47543</v>
      </c>
      <c r="E104" s="1" t="str">
        <f t="shared" si="13"/>
        <v>3-2030</v>
      </c>
      <c r="F104" s="296">
        <v>4.7393084756610255</v>
      </c>
      <c r="G104" s="297">
        <v>1.1686538626036753</v>
      </c>
      <c r="H104" s="298">
        <v>5.9079623382647011</v>
      </c>
      <c r="I104" s="297">
        <v>4.9775923926294761</v>
      </c>
      <c r="J104" s="297">
        <v>1.9297301498178525</v>
      </c>
      <c r="K104" s="297">
        <v>6.9073225424473286</v>
      </c>
      <c r="L104" s="296">
        <v>5.1569762494579274</v>
      </c>
      <c r="M104" s="297">
        <v>0.91132295060863677</v>
      </c>
      <c r="N104" s="298">
        <v>6.0682992000665639</v>
      </c>
      <c r="O104" s="1"/>
      <c r="P104" s="274">
        <f t="shared" si="14"/>
        <v>4.9579590392494763</v>
      </c>
      <c r="Q104" s="275">
        <f t="shared" si="15"/>
        <v>6.2945280269261978</v>
      </c>
      <c r="R104" s="171"/>
    </row>
    <row r="105" spans="2:18">
      <c r="B105" s="94">
        <f t="shared" si="11"/>
        <v>2030</v>
      </c>
      <c r="C105" s="1">
        <f t="shared" si="12"/>
        <v>4</v>
      </c>
      <c r="D105" s="213">
        <v>47574</v>
      </c>
      <c r="E105" s="1" t="str">
        <f t="shared" si="13"/>
        <v>4-2030</v>
      </c>
      <c r="F105" s="296">
        <v>4.658578080691238</v>
      </c>
      <c r="G105" s="297">
        <v>1.1686538626036753</v>
      </c>
      <c r="H105" s="298">
        <v>5.8272319432949136</v>
      </c>
      <c r="I105" s="297">
        <v>4.8927576120690324</v>
      </c>
      <c r="J105" s="297">
        <v>1.9297301498178525</v>
      </c>
      <c r="K105" s="297">
        <v>6.8224877618868849</v>
      </c>
      <c r="L105" s="296">
        <v>5.0691291254658752</v>
      </c>
      <c r="M105" s="297">
        <v>0.91132295060863677</v>
      </c>
      <c r="N105" s="298">
        <v>5.9804520760745117</v>
      </c>
      <c r="O105" s="1"/>
      <c r="P105" s="274">
        <f t="shared" si="14"/>
        <v>4.8734882727420485</v>
      </c>
      <c r="Q105" s="275">
        <f t="shared" si="15"/>
        <v>6.2100572604187692</v>
      </c>
      <c r="R105" s="171"/>
    </row>
    <row r="106" spans="2:18">
      <c r="B106" s="94">
        <f t="shared" si="11"/>
        <v>2030</v>
      </c>
      <c r="C106" s="1">
        <f t="shared" si="12"/>
        <v>5</v>
      </c>
      <c r="D106" s="213">
        <v>47604</v>
      </c>
      <c r="E106" s="1" t="str">
        <f t="shared" si="13"/>
        <v>5-2030</v>
      </c>
      <c r="F106" s="296">
        <v>4.8206183185026887</v>
      </c>
      <c r="G106" s="297">
        <v>1.1686538626036753</v>
      </c>
      <c r="H106" s="298">
        <v>5.9892721811063643</v>
      </c>
      <c r="I106" s="297">
        <v>5.0628963711603081</v>
      </c>
      <c r="J106" s="297">
        <v>1.9297301498178525</v>
      </c>
      <c r="K106" s="297">
        <v>6.9926265209781606</v>
      </c>
      <c r="L106" s="296">
        <v>5.2454474814180783</v>
      </c>
      <c r="M106" s="297">
        <v>0.91132295060863677</v>
      </c>
      <c r="N106" s="298">
        <v>6.1567704320267147</v>
      </c>
      <c r="O106" s="1"/>
      <c r="P106" s="274">
        <f t="shared" si="14"/>
        <v>5.0429873903603584</v>
      </c>
      <c r="Q106" s="275">
        <f t="shared" si="15"/>
        <v>6.3795563780370799</v>
      </c>
      <c r="R106" s="171"/>
    </row>
    <row r="107" spans="2:18">
      <c r="B107" s="94">
        <f t="shared" si="11"/>
        <v>2030</v>
      </c>
      <c r="C107" s="1">
        <f t="shared" si="12"/>
        <v>6</v>
      </c>
      <c r="D107" s="213">
        <v>47635</v>
      </c>
      <c r="E107" s="1" t="str">
        <f t="shared" si="13"/>
        <v>6-2030</v>
      </c>
      <c r="F107" s="296">
        <v>4.9451474944767826</v>
      </c>
      <c r="G107" s="297">
        <v>1.1686538626036753</v>
      </c>
      <c r="H107" s="298">
        <v>6.1138013570804581</v>
      </c>
      <c r="I107" s="297">
        <v>5.1936360115456921</v>
      </c>
      <c r="J107" s="297">
        <v>1.9297301498178525</v>
      </c>
      <c r="K107" s="297">
        <v>7.1233661613635446</v>
      </c>
      <c r="L107" s="296">
        <v>5.3809488898305586</v>
      </c>
      <c r="M107" s="297">
        <v>0.91132295060863677</v>
      </c>
      <c r="N107" s="298">
        <v>6.2922718404391951</v>
      </c>
      <c r="O107" s="1"/>
      <c r="P107" s="274">
        <f t="shared" si="14"/>
        <v>5.1732441319510114</v>
      </c>
      <c r="Q107" s="275">
        <f t="shared" si="15"/>
        <v>6.5098131196277329</v>
      </c>
      <c r="R107" s="171"/>
    </row>
    <row r="108" spans="2:18">
      <c r="B108" s="94">
        <f t="shared" si="11"/>
        <v>2030</v>
      </c>
      <c r="C108" s="1">
        <f t="shared" si="12"/>
        <v>7</v>
      </c>
      <c r="D108" s="213">
        <v>47665</v>
      </c>
      <c r="E108" s="1" t="str">
        <f t="shared" si="13"/>
        <v>7-2030</v>
      </c>
      <c r="F108" s="296">
        <v>4.9842852527821018</v>
      </c>
      <c r="G108" s="297">
        <v>1.1686538626036753</v>
      </c>
      <c r="H108" s="298">
        <v>6.1529391153857773</v>
      </c>
      <c r="I108" s="297">
        <v>5.2346918028399534</v>
      </c>
      <c r="J108" s="297">
        <v>1.9297301498178525</v>
      </c>
      <c r="K108" s="297">
        <v>7.1644219526578059</v>
      </c>
      <c r="L108" s="296">
        <v>5.4235335109092899</v>
      </c>
      <c r="M108" s="297">
        <v>0.91132295060863677</v>
      </c>
      <c r="N108" s="298">
        <v>6.3348564615179264</v>
      </c>
      <c r="O108" s="1"/>
      <c r="P108" s="274">
        <f t="shared" si="14"/>
        <v>5.2141701888437817</v>
      </c>
      <c r="Q108" s="275">
        <f t="shared" si="15"/>
        <v>6.5507391765205041</v>
      </c>
      <c r="R108" s="171"/>
    </row>
    <row r="109" spans="2:18">
      <c r="B109" s="94">
        <f t="shared" si="11"/>
        <v>2030</v>
      </c>
      <c r="C109" s="1">
        <f t="shared" si="12"/>
        <v>8</v>
      </c>
      <c r="D109" s="213">
        <v>47696</v>
      </c>
      <c r="E109" s="1" t="str">
        <f t="shared" si="13"/>
        <v>8-2030</v>
      </c>
      <c r="F109" s="296">
        <v>4.9456927353057072</v>
      </c>
      <c r="G109" s="297">
        <v>1.1686538626036753</v>
      </c>
      <c r="H109" s="298">
        <v>6.1143465979093827</v>
      </c>
      <c r="I109" s="297">
        <v>5.1941121995878792</v>
      </c>
      <c r="J109" s="297">
        <v>1.9297301498178525</v>
      </c>
      <c r="K109" s="297">
        <v>7.1238423494057317</v>
      </c>
      <c r="L109" s="296">
        <v>5.3815377485042042</v>
      </c>
      <c r="M109" s="297">
        <v>0.91132295060863677</v>
      </c>
      <c r="N109" s="298">
        <v>6.2928606991128406</v>
      </c>
      <c r="O109" s="1"/>
      <c r="P109" s="274">
        <f t="shared" si="14"/>
        <v>5.1737808944659305</v>
      </c>
      <c r="Q109" s="275">
        <f t="shared" si="15"/>
        <v>6.510349882142652</v>
      </c>
      <c r="R109" s="171"/>
    </row>
    <row r="110" spans="2:18">
      <c r="B110" s="94">
        <f t="shared" si="11"/>
        <v>2030</v>
      </c>
      <c r="C110" s="1">
        <f t="shared" si="12"/>
        <v>9</v>
      </c>
      <c r="D110" s="213">
        <v>47727</v>
      </c>
      <c r="E110" s="1" t="str">
        <f t="shared" si="13"/>
        <v>9-2030</v>
      </c>
      <c r="F110" s="296">
        <v>5.0151634795585283</v>
      </c>
      <c r="G110" s="297">
        <v>1.1686538626036753</v>
      </c>
      <c r="H110" s="298">
        <v>6.1838173421622038</v>
      </c>
      <c r="I110" s="297">
        <v>5.2670235100561342</v>
      </c>
      <c r="J110" s="297">
        <v>1.9297301498178525</v>
      </c>
      <c r="K110" s="297">
        <v>7.1967536598739867</v>
      </c>
      <c r="L110" s="296">
        <v>5.4571284362805441</v>
      </c>
      <c r="M110" s="297">
        <v>0.91132295060863677</v>
      </c>
      <c r="N110" s="298">
        <v>6.3684513868891806</v>
      </c>
      <c r="O110" s="1"/>
      <c r="P110" s="274">
        <f t="shared" si="14"/>
        <v>5.2464384752984019</v>
      </c>
      <c r="Q110" s="275">
        <f t="shared" si="15"/>
        <v>6.5830074629751243</v>
      </c>
      <c r="R110" s="171"/>
    </row>
    <row r="111" spans="2:18">
      <c r="B111" s="94">
        <f t="shared" si="11"/>
        <v>2030</v>
      </c>
      <c r="C111" s="1">
        <f t="shared" si="12"/>
        <v>10</v>
      </c>
      <c r="D111" s="213">
        <v>47757</v>
      </c>
      <c r="E111" s="1" t="str">
        <f t="shared" si="13"/>
        <v>10-2030</v>
      </c>
      <c r="F111" s="296">
        <v>4.9861693600534904</v>
      </c>
      <c r="G111" s="297">
        <v>1.1686538626036753</v>
      </c>
      <c r="H111" s="298">
        <v>6.154823222657166</v>
      </c>
      <c r="I111" s="297">
        <v>5.2365246796931846</v>
      </c>
      <c r="J111" s="297">
        <v>1.9297301498178525</v>
      </c>
      <c r="K111" s="297">
        <v>7.1662548295110371</v>
      </c>
      <c r="L111" s="296">
        <v>5.4255769536123575</v>
      </c>
      <c r="M111" s="297">
        <v>0.91132295060863677</v>
      </c>
      <c r="N111" s="298">
        <v>6.3368999042209939</v>
      </c>
      <c r="O111" s="1"/>
      <c r="P111" s="274">
        <f t="shared" si="14"/>
        <v>5.2160903311196769</v>
      </c>
      <c r="Q111" s="275">
        <f t="shared" si="15"/>
        <v>6.5526593187963984</v>
      </c>
      <c r="R111" s="171"/>
    </row>
    <row r="112" spans="2:18">
      <c r="B112" s="94">
        <f t="shared" si="11"/>
        <v>2030</v>
      </c>
      <c r="C112" s="1">
        <f t="shared" si="12"/>
        <v>11</v>
      </c>
      <c r="D112" s="213">
        <v>47788</v>
      </c>
      <c r="E112" s="1" t="str">
        <f t="shared" si="13"/>
        <v>11-2030</v>
      </c>
      <c r="F112" s="296">
        <v>5.2325211017874089</v>
      </c>
      <c r="G112" s="297">
        <v>1.1686538626036753</v>
      </c>
      <c r="H112" s="298">
        <v>6.4011749643910845</v>
      </c>
      <c r="I112" s="297">
        <v>5.4951946865047692</v>
      </c>
      <c r="J112" s="297">
        <v>1.9297301498178525</v>
      </c>
      <c r="K112" s="297">
        <v>7.4249248363226217</v>
      </c>
      <c r="L112" s="296">
        <v>5.6936361668293518</v>
      </c>
      <c r="M112" s="297">
        <v>0.91132295060863677</v>
      </c>
      <c r="N112" s="298">
        <v>6.6049591174379882</v>
      </c>
      <c r="O112" s="1"/>
      <c r="P112" s="274">
        <f t="shared" si="14"/>
        <v>5.4737839850405097</v>
      </c>
      <c r="Q112" s="275">
        <f t="shared" si="15"/>
        <v>6.8103529727172321</v>
      </c>
      <c r="R112" s="171"/>
    </row>
    <row r="113" spans="2:18">
      <c r="B113" s="94">
        <f t="shared" si="11"/>
        <v>2030</v>
      </c>
      <c r="C113" s="1">
        <f t="shared" si="12"/>
        <v>12</v>
      </c>
      <c r="D113" s="213">
        <v>47818</v>
      </c>
      <c r="E113" s="1" t="str">
        <f t="shared" si="13"/>
        <v>12-2030</v>
      </c>
      <c r="F113" s="296">
        <v>5.2745090739899005</v>
      </c>
      <c r="G113" s="297">
        <v>1.1686538626036753</v>
      </c>
      <c r="H113" s="298">
        <v>6.4431629365935761</v>
      </c>
      <c r="I113" s="297">
        <v>5.5392390034721863</v>
      </c>
      <c r="J113" s="297">
        <v>1.9297301498178525</v>
      </c>
      <c r="K113" s="297">
        <v>7.4689691532900389</v>
      </c>
      <c r="L113" s="296">
        <v>5.7393219572424368</v>
      </c>
      <c r="M113" s="297">
        <v>0.91132295060863677</v>
      </c>
      <c r="N113" s="298">
        <v>6.6506449078510732</v>
      </c>
      <c r="O113" s="1"/>
      <c r="P113" s="274">
        <f t="shared" si="14"/>
        <v>5.5176900115681748</v>
      </c>
      <c r="Q113" s="275">
        <f t="shared" si="15"/>
        <v>6.8542589992448955</v>
      </c>
      <c r="R113" s="171"/>
    </row>
    <row r="114" spans="2:18">
      <c r="B114" s="94">
        <f t="shared" si="11"/>
        <v>2031</v>
      </c>
      <c r="C114" s="1">
        <f t="shared" si="12"/>
        <v>1</v>
      </c>
      <c r="D114" s="213">
        <v>47849</v>
      </c>
      <c r="E114" s="1" t="str">
        <f t="shared" si="13"/>
        <v>1-2031</v>
      </c>
      <c r="F114" s="296">
        <v>5.2746637437130843</v>
      </c>
      <c r="G114" s="297">
        <v>1.2154000171078221</v>
      </c>
      <c r="H114" s="298">
        <v>6.490063760820906</v>
      </c>
      <c r="I114" s="297">
        <v>5.5394199084798359</v>
      </c>
      <c r="J114" s="297">
        <v>2.0069193558105667</v>
      </c>
      <c r="K114" s="297">
        <v>7.5463392642904026</v>
      </c>
      <c r="L114" s="296">
        <v>5.739552931995151</v>
      </c>
      <c r="M114" s="297">
        <v>0.94777586863298213</v>
      </c>
      <c r="N114" s="298">
        <v>6.6873288006281335</v>
      </c>
      <c r="O114" s="1"/>
      <c r="P114" s="274">
        <f t="shared" si="14"/>
        <v>5.5178788613960235</v>
      </c>
      <c r="Q114" s="275">
        <f t="shared" si="15"/>
        <v>6.9079106085798143</v>
      </c>
      <c r="R114" s="171"/>
    </row>
    <row r="115" spans="2:18">
      <c r="B115" s="94">
        <f t="shared" si="11"/>
        <v>2031</v>
      </c>
      <c r="C115" s="1">
        <f t="shared" si="12"/>
        <v>2</v>
      </c>
      <c r="D115" s="213">
        <v>47880</v>
      </c>
      <c r="E115" s="1" t="str">
        <f t="shared" si="13"/>
        <v>2-2031</v>
      </c>
      <c r="F115" s="296">
        <v>5.1588664297555438</v>
      </c>
      <c r="G115" s="297">
        <v>1.2154000171078221</v>
      </c>
      <c r="H115" s="298">
        <v>6.3742664468633663</v>
      </c>
      <c r="I115" s="297">
        <v>5.4178283402564391</v>
      </c>
      <c r="J115" s="297">
        <v>2.0069193558105667</v>
      </c>
      <c r="K115" s="297">
        <v>7.4247476960670058</v>
      </c>
      <c r="L115" s="296">
        <v>5.6136109822973985</v>
      </c>
      <c r="M115" s="297">
        <v>0.94777586863298213</v>
      </c>
      <c r="N115" s="298">
        <v>6.561386850930381</v>
      </c>
      <c r="O115" s="1"/>
      <c r="P115" s="274">
        <f t="shared" si="14"/>
        <v>5.3967685841031274</v>
      </c>
      <c r="Q115" s="275">
        <f t="shared" si="15"/>
        <v>6.7868003312869165</v>
      </c>
      <c r="R115" s="171"/>
    </row>
    <row r="116" spans="2:18">
      <c r="B116" s="94">
        <f t="shared" si="11"/>
        <v>2031</v>
      </c>
      <c r="C116" s="1">
        <f t="shared" si="12"/>
        <v>3</v>
      </c>
      <c r="D116" s="213">
        <v>47908</v>
      </c>
      <c r="E116" s="1" t="str">
        <f t="shared" si="13"/>
        <v>3-2031</v>
      </c>
      <c r="F116" s="296">
        <v>4.7357150324815516</v>
      </c>
      <c r="G116" s="297">
        <v>1.2154000171078221</v>
      </c>
      <c r="H116" s="298">
        <v>5.9511150495893741</v>
      </c>
      <c r="I116" s="297">
        <v>4.9734524138583529</v>
      </c>
      <c r="J116" s="297">
        <v>2.0069193558105667</v>
      </c>
      <c r="K116" s="297">
        <v>6.9803717696689196</v>
      </c>
      <c r="L116" s="296">
        <v>5.1532158573497826</v>
      </c>
      <c r="M116" s="297">
        <v>0.94777586863298213</v>
      </c>
      <c r="N116" s="298">
        <v>6.1009917259827651</v>
      </c>
      <c r="O116" s="1"/>
      <c r="P116" s="274">
        <f t="shared" si="14"/>
        <v>4.9541277678965621</v>
      </c>
      <c r="Q116" s="275">
        <f t="shared" si="15"/>
        <v>6.3441595150803529</v>
      </c>
      <c r="R116" s="171"/>
    </row>
    <row r="117" spans="2:18">
      <c r="B117" s="94">
        <f t="shared" si="11"/>
        <v>2031</v>
      </c>
      <c r="C117" s="1">
        <f t="shared" si="12"/>
        <v>4</v>
      </c>
      <c r="D117" s="213">
        <v>47939</v>
      </c>
      <c r="E117" s="1" t="str">
        <f t="shared" si="13"/>
        <v>4-2031</v>
      </c>
      <c r="F117" s="296">
        <v>4.6549989178881361</v>
      </c>
      <c r="G117" s="297">
        <v>1.2154000171078221</v>
      </c>
      <c r="H117" s="298">
        <v>5.8703989349959578</v>
      </c>
      <c r="I117" s="297">
        <v>4.8887005829834234</v>
      </c>
      <c r="J117" s="297">
        <v>2.0069193558105667</v>
      </c>
      <c r="K117" s="297">
        <v>6.89561993879399</v>
      </c>
      <c r="L117" s="296">
        <v>5.0654391422272083</v>
      </c>
      <c r="M117" s="297">
        <v>0.94777586863298213</v>
      </c>
      <c r="N117" s="298">
        <v>6.0132150108601907</v>
      </c>
      <c r="O117" s="1"/>
      <c r="P117" s="274">
        <f t="shared" si="14"/>
        <v>4.869712881032922</v>
      </c>
      <c r="Q117" s="275">
        <f t="shared" si="15"/>
        <v>6.2597446282167128</v>
      </c>
      <c r="R117" s="171"/>
    </row>
    <row r="118" spans="2:18">
      <c r="B118" s="94">
        <f t="shared" si="11"/>
        <v>2031</v>
      </c>
      <c r="C118" s="1">
        <f t="shared" si="12"/>
        <v>5</v>
      </c>
      <c r="D118" s="213">
        <v>47969</v>
      </c>
      <c r="E118" s="1" t="str">
        <f t="shared" si="13"/>
        <v>5-2031</v>
      </c>
      <c r="F118" s="296">
        <v>4.8168660915638073</v>
      </c>
      <c r="G118" s="297">
        <v>1.2154000171078221</v>
      </c>
      <c r="H118" s="298">
        <v>6.0322661086716298</v>
      </c>
      <c r="I118" s="297">
        <v>5.0587110878953654</v>
      </c>
      <c r="J118" s="297">
        <v>2.0069193558105667</v>
      </c>
      <c r="K118" s="297">
        <v>7.0656304437059321</v>
      </c>
      <c r="L118" s="296">
        <v>5.2416357241065485</v>
      </c>
      <c r="M118" s="297">
        <v>0.94777586863298213</v>
      </c>
      <c r="N118" s="298">
        <v>6.189411592739531</v>
      </c>
      <c r="O118" s="1"/>
      <c r="P118" s="274">
        <f t="shared" si="14"/>
        <v>5.039070967855241</v>
      </c>
      <c r="Q118" s="275">
        <f t="shared" si="15"/>
        <v>6.4291027150390319</v>
      </c>
      <c r="R118" s="171"/>
    </row>
    <row r="119" spans="2:18">
      <c r="B119" s="94">
        <f t="shared" si="11"/>
        <v>2031</v>
      </c>
      <c r="C119" s="1">
        <f t="shared" si="12"/>
        <v>6</v>
      </c>
      <c r="D119" s="213">
        <v>48000</v>
      </c>
      <c r="E119" s="1" t="str">
        <f t="shared" si="13"/>
        <v>6-2031</v>
      </c>
      <c r="F119" s="296">
        <v>4.9412485075704682</v>
      </c>
      <c r="G119" s="297">
        <v>1.2154000171078221</v>
      </c>
      <c r="H119" s="298">
        <v>6.1566485246782907</v>
      </c>
      <c r="I119" s="297">
        <v>5.1893558075992861</v>
      </c>
      <c r="J119" s="297">
        <v>2.0069193558105667</v>
      </c>
      <c r="K119" s="297">
        <v>7.1962751634098527</v>
      </c>
      <c r="L119" s="296">
        <v>5.377045410877769</v>
      </c>
      <c r="M119" s="297">
        <v>0.94777586863298213</v>
      </c>
      <c r="N119" s="298">
        <v>6.3248212795107515</v>
      </c>
      <c r="O119" s="1"/>
      <c r="P119" s="274">
        <f t="shared" si="14"/>
        <v>5.169216575349175</v>
      </c>
      <c r="Q119" s="275">
        <f t="shared" si="15"/>
        <v>6.559248322532965</v>
      </c>
      <c r="R119" s="171"/>
    </row>
    <row r="120" spans="2:18">
      <c r="B120" s="94">
        <f t="shared" si="11"/>
        <v>2031</v>
      </c>
      <c r="C120" s="1">
        <f t="shared" si="12"/>
        <v>7</v>
      </c>
      <c r="D120" s="213">
        <v>48030</v>
      </c>
      <c r="E120" s="1" t="str">
        <f t="shared" si="13"/>
        <v>7-2031</v>
      </c>
      <c r="F120" s="296">
        <v>4.9803051772207105</v>
      </c>
      <c r="G120" s="297">
        <v>1.2154000171078221</v>
      </c>
      <c r="H120" s="298">
        <v>6.1957051943285322</v>
      </c>
      <c r="I120" s="297">
        <v>5.2303910259311746</v>
      </c>
      <c r="J120" s="297">
        <v>2.0069193558105667</v>
      </c>
      <c r="K120" s="297">
        <v>7.2373103817417412</v>
      </c>
      <c r="L120" s="296">
        <v>5.4196059385878863</v>
      </c>
      <c r="M120" s="297">
        <v>0.94777586863298213</v>
      </c>
      <c r="N120" s="298">
        <v>6.3673818072208688</v>
      </c>
      <c r="O120" s="1"/>
      <c r="P120" s="274">
        <f t="shared" si="14"/>
        <v>5.2101007139132571</v>
      </c>
      <c r="Q120" s="275">
        <f t="shared" si="15"/>
        <v>6.6001324610970471</v>
      </c>
      <c r="R120" s="171"/>
    </row>
    <row r="121" spans="2:18">
      <c r="B121" s="94">
        <f t="shared" si="11"/>
        <v>2031</v>
      </c>
      <c r="C121" s="1">
        <f t="shared" si="12"/>
        <v>8</v>
      </c>
      <c r="D121" s="213">
        <v>48061</v>
      </c>
      <c r="E121" s="1" t="str">
        <f t="shared" si="13"/>
        <v>8-2031</v>
      </c>
      <c r="F121" s="296">
        <v>4.9416936290996496</v>
      </c>
      <c r="G121" s="297">
        <v>1.2154000171078221</v>
      </c>
      <c r="H121" s="298">
        <v>6.1570936462074712</v>
      </c>
      <c r="I121" s="297">
        <v>5.1898579236897087</v>
      </c>
      <c r="J121" s="297">
        <v>2.0069193558105667</v>
      </c>
      <c r="K121" s="297">
        <v>7.1967772795002753</v>
      </c>
      <c r="L121" s="296">
        <v>5.3776473351411802</v>
      </c>
      <c r="M121" s="297">
        <v>0.94777586863298213</v>
      </c>
      <c r="N121" s="298">
        <v>6.3254232037741627</v>
      </c>
      <c r="O121" s="1"/>
      <c r="P121" s="274">
        <f t="shared" si="14"/>
        <v>5.1697329626435122</v>
      </c>
      <c r="Q121" s="275">
        <f t="shared" si="15"/>
        <v>6.5597647098273031</v>
      </c>
      <c r="R121" s="171"/>
    </row>
    <row r="122" spans="2:18">
      <c r="B122" s="94">
        <f t="shared" si="11"/>
        <v>2031</v>
      </c>
      <c r="C122" s="1">
        <f t="shared" si="12"/>
        <v>9</v>
      </c>
      <c r="D122" s="213">
        <v>48092</v>
      </c>
      <c r="E122" s="1" t="str">
        <f t="shared" si="13"/>
        <v>9-2031</v>
      </c>
      <c r="F122" s="296">
        <v>5.0110576449791377</v>
      </c>
      <c r="G122" s="297">
        <v>1.2154000171078221</v>
      </c>
      <c r="H122" s="298">
        <v>6.2264576620869594</v>
      </c>
      <c r="I122" s="297">
        <v>5.2627228633909908</v>
      </c>
      <c r="J122" s="297">
        <v>2.0069193558105667</v>
      </c>
      <c r="K122" s="297">
        <v>7.2696422192015575</v>
      </c>
      <c r="L122" s="296">
        <v>5.4531902194059985</v>
      </c>
      <c r="M122" s="297">
        <v>0.94777586863298213</v>
      </c>
      <c r="N122" s="298">
        <v>6.4009660880389809</v>
      </c>
      <c r="O122" s="1"/>
      <c r="P122" s="274">
        <f t="shared" si="14"/>
        <v>5.2423235759253757</v>
      </c>
      <c r="Q122" s="275">
        <f t="shared" si="15"/>
        <v>6.6323553231091665</v>
      </c>
      <c r="R122" s="171"/>
    </row>
    <row r="123" spans="2:18">
      <c r="B123" s="94">
        <f t="shared" si="11"/>
        <v>2031</v>
      </c>
      <c r="C123" s="1">
        <f t="shared" si="12"/>
        <v>10</v>
      </c>
      <c r="D123" s="213">
        <v>48122</v>
      </c>
      <c r="E123" s="1" t="str">
        <f t="shared" si="13"/>
        <v>10-2031</v>
      </c>
      <c r="F123" s="296">
        <v>4.9820369946023781</v>
      </c>
      <c r="G123" s="297">
        <v>1.2154000171078221</v>
      </c>
      <c r="H123" s="298">
        <v>6.1974370117101998</v>
      </c>
      <c r="I123" s="297">
        <v>5.2322622083758175</v>
      </c>
      <c r="J123" s="297">
        <v>2.0069193558105667</v>
      </c>
      <c r="K123" s="297">
        <v>7.2391815641863841</v>
      </c>
      <c r="L123" s="296">
        <v>5.421668309996881</v>
      </c>
      <c r="M123" s="297">
        <v>0.94777586863298213</v>
      </c>
      <c r="N123" s="298">
        <v>6.3694441786298635</v>
      </c>
      <c r="O123" s="1"/>
      <c r="P123" s="274">
        <f t="shared" si="14"/>
        <v>5.2119891709916928</v>
      </c>
      <c r="Q123" s="275">
        <f t="shared" si="15"/>
        <v>6.6020209181754828</v>
      </c>
      <c r="R123" s="171"/>
    </row>
    <row r="124" spans="2:18">
      <c r="B124" s="94">
        <f t="shared" si="11"/>
        <v>2031</v>
      </c>
      <c r="C124" s="1">
        <f t="shared" si="12"/>
        <v>11</v>
      </c>
      <c r="D124" s="213">
        <v>48153</v>
      </c>
      <c r="E124" s="1" t="str">
        <f t="shared" si="13"/>
        <v>11-2031</v>
      </c>
      <c r="F124" s="296">
        <v>5.228131810608895</v>
      </c>
      <c r="G124" s="297">
        <v>1.2154000171078221</v>
      </c>
      <c r="H124" s="298">
        <v>6.4435318277167166</v>
      </c>
      <c r="I124" s="297">
        <v>5.4907355906684225</v>
      </c>
      <c r="J124" s="297">
        <v>2.0069193558105667</v>
      </c>
      <c r="K124" s="297">
        <v>7.4976549464789892</v>
      </c>
      <c r="L124" s="296">
        <v>5.6895415511791994</v>
      </c>
      <c r="M124" s="297">
        <v>0.94777586863298213</v>
      </c>
      <c r="N124" s="298">
        <v>6.6373174198121818</v>
      </c>
      <c r="O124" s="1"/>
      <c r="P124" s="274">
        <f t="shared" si="14"/>
        <v>5.4694696508188398</v>
      </c>
      <c r="Q124" s="275">
        <f t="shared" si="15"/>
        <v>6.8595013980026289</v>
      </c>
      <c r="R124" s="171"/>
    </row>
    <row r="125" spans="2:18">
      <c r="B125" s="94">
        <f t="shared" si="11"/>
        <v>2031</v>
      </c>
      <c r="C125" s="1">
        <f t="shared" si="12"/>
        <v>12</v>
      </c>
      <c r="D125" s="213">
        <v>48183</v>
      </c>
      <c r="E125" s="1" t="str">
        <f t="shared" si="13"/>
        <v>12-2031</v>
      </c>
      <c r="F125" s="296">
        <v>5.2700313735774422</v>
      </c>
      <c r="G125" s="297">
        <v>1.2154000171078221</v>
      </c>
      <c r="H125" s="298">
        <v>6.4854313906852639</v>
      </c>
      <c r="I125" s="297">
        <v>5.5347582112426403</v>
      </c>
      <c r="J125" s="297">
        <v>2.0069193558105667</v>
      </c>
      <c r="K125" s="297">
        <v>7.541677567053207</v>
      </c>
      <c r="L125" s="296">
        <v>5.7352016852215062</v>
      </c>
      <c r="M125" s="297">
        <v>0.94777586863298213</v>
      </c>
      <c r="N125" s="298">
        <v>6.6829775538544887</v>
      </c>
      <c r="O125" s="1"/>
      <c r="P125" s="274">
        <f t="shared" si="14"/>
        <v>5.5133304233471963</v>
      </c>
      <c r="Q125" s="275">
        <f t="shared" si="15"/>
        <v>6.9033621705309862</v>
      </c>
      <c r="R125" s="171"/>
    </row>
    <row r="126" spans="2:18">
      <c r="B126" s="94">
        <f t="shared" si="11"/>
        <v>2032</v>
      </c>
      <c r="C126" s="1">
        <f t="shared" si="12"/>
        <v>1</v>
      </c>
      <c r="D126" s="213">
        <v>48214</v>
      </c>
      <c r="E126" s="1" t="str">
        <f t="shared" si="13"/>
        <v>1-2032</v>
      </c>
      <c r="F126" s="296">
        <v>5.2702383156999097</v>
      </c>
      <c r="G126" s="297">
        <v>1.2640160177921353</v>
      </c>
      <c r="H126" s="298">
        <v>6.5342543334920453</v>
      </c>
      <c r="I126" s="297">
        <v>5.5350040122717985</v>
      </c>
      <c r="J126" s="297">
        <v>2.0871961300429893</v>
      </c>
      <c r="K126" s="297">
        <v>7.6222001423147878</v>
      </c>
      <c r="L126" s="296">
        <v>5.7356530978369626</v>
      </c>
      <c r="M126" s="297">
        <v>0.98568690337830167</v>
      </c>
      <c r="N126" s="298">
        <v>6.721340001215264</v>
      </c>
      <c r="O126" s="1"/>
      <c r="P126" s="274">
        <f t="shared" si="14"/>
        <v>5.5136318086028906</v>
      </c>
      <c r="Q126" s="275">
        <f t="shared" si="15"/>
        <v>6.9592648256740324</v>
      </c>
      <c r="R126" s="171"/>
    </row>
    <row r="127" spans="2:18">
      <c r="B127" s="94">
        <f t="shared" si="11"/>
        <v>2032</v>
      </c>
      <c r="C127" s="1">
        <f t="shared" si="12"/>
        <v>2</v>
      </c>
      <c r="D127" s="213">
        <v>48245</v>
      </c>
      <c r="E127" s="1" t="str">
        <f t="shared" si="13"/>
        <v>2-2032</v>
      </c>
      <c r="F127" s="296">
        <v>5.1545894158740087</v>
      </c>
      <c r="G127" s="297">
        <v>1.2640160177921353</v>
      </c>
      <c r="H127" s="298">
        <v>6.4186054336661442</v>
      </c>
      <c r="I127" s="297">
        <v>5.413572997248985</v>
      </c>
      <c r="J127" s="297">
        <v>2.0871961300429893</v>
      </c>
      <c r="K127" s="297">
        <v>7.5007691272919743</v>
      </c>
      <c r="L127" s="296">
        <v>5.6100125103131617</v>
      </c>
      <c r="M127" s="297">
        <v>0.98568690337830167</v>
      </c>
      <c r="N127" s="298">
        <v>6.5956994136914631</v>
      </c>
      <c r="O127" s="1"/>
      <c r="P127" s="274">
        <f t="shared" si="14"/>
        <v>5.3927249744787185</v>
      </c>
      <c r="Q127" s="275">
        <f t="shared" si="15"/>
        <v>6.8383579915498602</v>
      </c>
      <c r="R127" s="171"/>
    </row>
    <row r="128" spans="2:18">
      <c r="B128" s="94">
        <f t="shared" si="11"/>
        <v>2032</v>
      </c>
      <c r="C128" s="1">
        <f t="shared" si="12"/>
        <v>3</v>
      </c>
      <c r="D128" s="213">
        <v>48274</v>
      </c>
      <c r="E128" s="1" t="str">
        <f t="shared" si="13"/>
        <v>3-2032</v>
      </c>
      <c r="F128" s="296">
        <v>4.7318358994054179</v>
      </c>
      <c r="G128" s="297">
        <v>1.2640160177921353</v>
      </c>
      <c r="H128" s="298">
        <v>5.9958519171975535</v>
      </c>
      <c r="I128" s="297">
        <v>4.9696045111915188</v>
      </c>
      <c r="J128" s="297">
        <v>2.0871961300429893</v>
      </c>
      <c r="K128" s="297">
        <v>7.0568006412345081</v>
      </c>
      <c r="L128" s="296">
        <v>5.1501106255422817</v>
      </c>
      <c r="M128" s="297">
        <v>0.98568690337830167</v>
      </c>
      <c r="N128" s="298">
        <v>6.1357975289205831</v>
      </c>
      <c r="O128" s="1"/>
      <c r="P128" s="274">
        <f t="shared" si="14"/>
        <v>4.950517012046407</v>
      </c>
      <c r="Q128" s="275">
        <f t="shared" si="15"/>
        <v>6.3961500291175488</v>
      </c>
      <c r="R128" s="171"/>
    </row>
    <row r="129" spans="2:18">
      <c r="B129" s="94">
        <f t="shared" si="11"/>
        <v>2032</v>
      </c>
      <c r="C129" s="1">
        <f t="shared" si="12"/>
        <v>4</v>
      </c>
      <c r="D129" s="213">
        <v>48305</v>
      </c>
      <c r="E129" s="1" t="str">
        <f t="shared" si="13"/>
        <v>4-2032</v>
      </c>
      <c r="F129" s="296">
        <v>4.6512321682176729</v>
      </c>
      <c r="G129" s="297">
        <v>1.2640160177921353</v>
      </c>
      <c r="H129" s="298">
        <v>5.9152481860098085</v>
      </c>
      <c r="I129" s="297">
        <v>4.8849756768432959</v>
      </c>
      <c r="J129" s="297">
        <v>2.0871961300429893</v>
      </c>
      <c r="K129" s="297">
        <v>6.9721718068862852</v>
      </c>
      <c r="L129" s="296">
        <v>5.0625815665893432</v>
      </c>
      <c r="M129" s="297">
        <v>0.98568690337830167</v>
      </c>
      <c r="N129" s="298">
        <v>6.0482684699676446</v>
      </c>
      <c r="O129" s="1"/>
      <c r="P129" s="274">
        <f t="shared" si="14"/>
        <v>4.8662631372167704</v>
      </c>
      <c r="Q129" s="275">
        <f t="shared" si="15"/>
        <v>6.3118961542879122</v>
      </c>
      <c r="R129" s="171"/>
    </row>
    <row r="130" spans="2:18">
      <c r="B130" s="94">
        <f t="shared" si="11"/>
        <v>2032</v>
      </c>
      <c r="C130" s="1">
        <f t="shared" si="12"/>
        <v>5</v>
      </c>
      <c r="D130" s="213">
        <v>48335</v>
      </c>
      <c r="E130" s="1" t="str">
        <f t="shared" si="13"/>
        <v>5-2032</v>
      </c>
      <c r="F130" s="296">
        <v>4.8130162441873825</v>
      </c>
      <c r="G130" s="297">
        <v>1.2640160177921353</v>
      </c>
      <c r="H130" s="298">
        <v>6.0770322619795181</v>
      </c>
      <c r="I130" s="297">
        <v>5.0549160736697161</v>
      </c>
      <c r="J130" s="297">
        <v>2.0871961300429893</v>
      </c>
      <c r="K130" s="297">
        <v>7.1421122037127054</v>
      </c>
      <c r="L130" s="296">
        <v>5.2388803127098029</v>
      </c>
      <c r="M130" s="297">
        <v>0.98568690337830167</v>
      </c>
      <c r="N130" s="298">
        <v>6.2245672160881043</v>
      </c>
      <c r="O130" s="1"/>
      <c r="P130" s="274">
        <f t="shared" si="14"/>
        <v>5.0356042101889669</v>
      </c>
      <c r="Q130" s="275">
        <f t="shared" si="15"/>
        <v>6.4812372272601095</v>
      </c>
      <c r="R130" s="171"/>
    </row>
    <row r="131" spans="2:18">
      <c r="B131" s="94">
        <f t="shared" si="11"/>
        <v>2032</v>
      </c>
      <c r="C131" s="1">
        <f t="shared" si="12"/>
        <v>6</v>
      </c>
      <c r="D131" s="213">
        <v>48366</v>
      </c>
      <c r="E131" s="1" t="str">
        <f t="shared" si="13"/>
        <v>6-2032</v>
      </c>
      <c r="F131" s="296">
        <v>4.9373483743733031</v>
      </c>
      <c r="G131" s="297">
        <v>1.2640160177921353</v>
      </c>
      <c r="H131" s="298">
        <v>6.2013643921654387</v>
      </c>
      <c r="I131" s="297">
        <v>5.1855237575991504</v>
      </c>
      <c r="J131" s="297">
        <v>2.0871961300429893</v>
      </c>
      <c r="K131" s="297">
        <v>7.2727198876421397</v>
      </c>
      <c r="L131" s="296">
        <v>5.3744256117717111</v>
      </c>
      <c r="M131" s="297">
        <v>0.98568690337830167</v>
      </c>
      <c r="N131" s="298">
        <v>6.3601125151500124</v>
      </c>
      <c r="O131" s="1"/>
      <c r="P131" s="274">
        <f t="shared" si="14"/>
        <v>5.1657659145813879</v>
      </c>
      <c r="Q131" s="275">
        <f t="shared" si="15"/>
        <v>6.6113989316525306</v>
      </c>
      <c r="R131" s="171"/>
    </row>
    <row r="132" spans="2:18">
      <c r="B132" s="94">
        <f t="shared" si="11"/>
        <v>2032</v>
      </c>
      <c r="C132" s="1">
        <f t="shared" si="12"/>
        <v>7</v>
      </c>
      <c r="D132" s="213">
        <v>48396</v>
      </c>
      <c r="E132" s="1" t="str">
        <f t="shared" si="13"/>
        <v>7-2032</v>
      </c>
      <c r="F132" s="296">
        <v>4.9764237378370613</v>
      </c>
      <c r="G132" s="297">
        <v>1.2640160177921353</v>
      </c>
      <c r="H132" s="298">
        <v>6.2404397556291968</v>
      </c>
      <c r="I132" s="297">
        <v>5.226590137246256</v>
      </c>
      <c r="J132" s="297">
        <v>2.0871961300429893</v>
      </c>
      <c r="K132" s="297">
        <v>7.3137862672892453</v>
      </c>
      <c r="L132" s="296">
        <v>5.4171738591057794</v>
      </c>
      <c r="M132" s="297">
        <v>0.98568690337830167</v>
      </c>
      <c r="N132" s="298">
        <v>6.4028607624840808</v>
      </c>
      <c r="O132" s="1"/>
      <c r="P132" s="274">
        <f t="shared" si="14"/>
        <v>5.2067292447296998</v>
      </c>
      <c r="Q132" s="275">
        <f t="shared" si="15"/>
        <v>6.6523622618008416</v>
      </c>
      <c r="R132" s="171"/>
    </row>
    <row r="133" spans="2:18">
      <c r="B133" s="94">
        <f t="shared" si="11"/>
        <v>2032</v>
      </c>
      <c r="C133" s="1">
        <f t="shared" si="12"/>
        <v>8</v>
      </c>
      <c r="D133" s="213">
        <v>48427</v>
      </c>
      <c r="E133" s="1" t="str">
        <f t="shared" si="13"/>
        <v>8-2032</v>
      </c>
      <c r="F133" s="296">
        <v>4.9378914262384797</v>
      </c>
      <c r="G133" s="297">
        <v>1.2640160177921353</v>
      </c>
      <c r="H133" s="298">
        <v>6.2019074440306152</v>
      </c>
      <c r="I133" s="297">
        <v>5.18614748557696</v>
      </c>
      <c r="J133" s="297">
        <v>2.0871961300429893</v>
      </c>
      <c r="K133" s="297">
        <v>7.2733436156199494</v>
      </c>
      <c r="L133" s="296">
        <v>5.375440951644098</v>
      </c>
      <c r="M133" s="297">
        <v>0.98568690337830167</v>
      </c>
      <c r="N133" s="298">
        <v>6.3611278550223993</v>
      </c>
      <c r="O133" s="1"/>
      <c r="P133" s="274">
        <f t="shared" si="14"/>
        <v>5.1664932878198462</v>
      </c>
      <c r="Q133" s="275">
        <f t="shared" si="15"/>
        <v>6.612126304890988</v>
      </c>
      <c r="R133" s="171"/>
    </row>
    <row r="134" spans="2:18">
      <c r="B134" s="94">
        <f t="shared" si="11"/>
        <v>2032</v>
      </c>
      <c r="C134" s="1">
        <f t="shared" si="12"/>
        <v>9</v>
      </c>
      <c r="D134" s="213">
        <v>48458</v>
      </c>
      <c r="E134" s="1" t="str">
        <f t="shared" si="13"/>
        <v>9-2032</v>
      </c>
      <c r="F134" s="296">
        <v>5.0072519137314409</v>
      </c>
      <c r="G134" s="297">
        <v>1.2640160177921353</v>
      </c>
      <c r="H134" s="298">
        <v>6.2712679315235764</v>
      </c>
      <c r="I134" s="297">
        <v>5.2590221913645836</v>
      </c>
      <c r="J134" s="297">
        <v>2.0871961300429893</v>
      </c>
      <c r="K134" s="297">
        <v>7.3462183214075729</v>
      </c>
      <c r="L134" s="296">
        <v>5.4511626394880413</v>
      </c>
      <c r="M134" s="297">
        <v>0.98568690337830167</v>
      </c>
      <c r="N134" s="298">
        <v>6.4368495428663426</v>
      </c>
      <c r="O134" s="1"/>
      <c r="P134" s="274">
        <f t="shared" si="14"/>
        <v>5.2391455815280219</v>
      </c>
      <c r="Q134" s="275">
        <f t="shared" si="15"/>
        <v>6.6847785985991637</v>
      </c>
      <c r="R134" s="171"/>
    </row>
    <row r="135" spans="2:18">
      <c r="B135" s="94">
        <f t="shared" ref="B135:B198" si="16">YEAR(D135)</f>
        <v>2032</v>
      </c>
      <c r="C135" s="1">
        <f t="shared" ref="C135:C198" si="17">MONTH(D135)</f>
        <v>10</v>
      </c>
      <c r="D135" s="213">
        <v>48488</v>
      </c>
      <c r="E135" s="1" t="str">
        <f t="shared" ref="E135:E198" si="18">C135&amp;"-"&amp;B135</f>
        <v>10-2032</v>
      </c>
      <c r="F135" s="296">
        <v>4.9783028631236048</v>
      </c>
      <c r="G135" s="297">
        <v>1.2640160177921353</v>
      </c>
      <c r="H135" s="298">
        <v>6.2423188809157404</v>
      </c>
      <c r="I135" s="297">
        <v>5.2286444662618221</v>
      </c>
      <c r="J135" s="297">
        <v>2.0871961300429893</v>
      </c>
      <c r="K135" s="297">
        <v>7.3158405963048114</v>
      </c>
      <c r="L135" s="296">
        <v>5.4198610605630826</v>
      </c>
      <c r="M135" s="297">
        <v>0.98568690337830167</v>
      </c>
      <c r="N135" s="298">
        <v>6.4055479639413839</v>
      </c>
      <c r="O135" s="1"/>
      <c r="P135" s="274">
        <f t="shared" ref="P135:P198" si="19">AVERAGE(F135,I135,L135)</f>
        <v>5.2089361299828365</v>
      </c>
      <c r="Q135" s="275">
        <f t="shared" ref="Q135:Q198" si="20">AVERAGE(H135,K135,N135)</f>
        <v>6.6545691470539792</v>
      </c>
      <c r="R135" s="171"/>
    </row>
    <row r="136" spans="2:18">
      <c r="B136" s="94">
        <f t="shared" si="16"/>
        <v>2032</v>
      </c>
      <c r="C136" s="1">
        <f t="shared" si="17"/>
        <v>11</v>
      </c>
      <c r="D136" s="213">
        <v>48519</v>
      </c>
      <c r="E136" s="1" t="str">
        <f t="shared" si="18"/>
        <v>11-2032</v>
      </c>
      <c r="F136" s="296">
        <v>5.2242652413663793</v>
      </c>
      <c r="G136" s="297">
        <v>1.2640160177921353</v>
      </c>
      <c r="H136" s="298">
        <v>6.4882812591585148</v>
      </c>
      <c r="I136" s="297">
        <v>5.4870036900814352</v>
      </c>
      <c r="J136" s="297">
        <v>2.0871961300429893</v>
      </c>
      <c r="K136" s="297">
        <v>7.5741998201244245</v>
      </c>
      <c r="L136" s="296">
        <v>5.687863952701691</v>
      </c>
      <c r="M136" s="297">
        <v>0.98568690337830167</v>
      </c>
      <c r="N136" s="298">
        <v>6.6735508560799923</v>
      </c>
      <c r="O136" s="1"/>
      <c r="P136" s="274">
        <f t="shared" si="19"/>
        <v>5.4663776280498348</v>
      </c>
      <c r="Q136" s="275">
        <f t="shared" si="20"/>
        <v>6.9120106451209766</v>
      </c>
      <c r="R136" s="171"/>
    </row>
    <row r="137" spans="2:18">
      <c r="B137" s="94">
        <f t="shared" si="16"/>
        <v>2032</v>
      </c>
      <c r="C137" s="1">
        <f t="shared" si="17"/>
        <v>12</v>
      </c>
      <c r="D137" s="213">
        <v>48549</v>
      </c>
      <c r="E137" s="1" t="str">
        <f t="shared" si="18"/>
        <v>12-2032</v>
      </c>
      <c r="F137" s="296">
        <v>5.2661862559439356</v>
      </c>
      <c r="G137" s="297">
        <v>1.2640160177921353</v>
      </c>
      <c r="H137" s="298">
        <v>6.5302022737360712</v>
      </c>
      <c r="I137" s="297">
        <v>5.5310614738131108</v>
      </c>
      <c r="J137" s="297">
        <v>2.0871961300429893</v>
      </c>
      <c r="K137" s="297">
        <v>7.6182576038561001</v>
      </c>
      <c r="L137" s="296">
        <v>5.73373135041584</v>
      </c>
      <c r="M137" s="297">
        <v>0.98568690337830167</v>
      </c>
      <c r="N137" s="298">
        <v>6.7194182537941414</v>
      </c>
      <c r="O137" s="1"/>
      <c r="P137" s="274">
        <f t="shared" si="19"/>
        <v>5.5103263600576291</v>
      </c>
      <c r="Q137" s="275">
        <f t="shared" si="20"/>
        <v>6.9559593771287709</v>
      </c>
      <c r="R137" s="171"/>
    </row>
    <row r="138" spans="2:18">
      <c r="B138" s="94">
        <f t="shared" si="16"/>
        <v>2033</v>
      </c>
      <c r="C138" s="1">
        <f t="shared" si="17"/>
        <v>1</v>
      </c>
      <c r="D138" s="213">
        <v>48580</v>
      </c>
      <c r="E138" s="1" t="str">
        <f t="shared" si="18"/>
        <v>1-2033</v>
      </c>
      <c r="F138" s="296">
        <v>5.2661953268630803</v>
      </c>
      <c r="G138" s="297">
        <v>1.314576658503821</v>
      </c>
      <c r="H138" s="298">
        <v>6.5807719853669013</v>
      </c>
      <c r="I138" s="297">
        <v>5.5310039460524756</v>
      </c>
      <c r="J138" s="297">
        <v>2.1706839752447089</v>
      </c>
      <c r="K138" s="297">
        <v>7.701687921297184</v>
      </c>
      <c r="L138" s="296">
        <v>5.7341309698374383</v>
      </c>
      <c r="M138" s="297">
        <v>1.0251143795134334</v>
      </c>
      <c r="N138" s="298">
        <v>6.7592453493508717</v>
      </c>
      <c r="O138" s="1"/>
      <c r="P138" s="274">
        <f t="shared" si="19"/>
        <v>5.5104434142509975</v>
      </c>
      <c r="Q138" s="275">
        <f t="shared" si="20"/>
        <v>7.013901752004986</v>
      </c>
      <c r="R138" s="171"/>
    </row>
    <row r="139" spans="2:18">
      <c r="B139" s="94">
        <f t="shared" si="16"/>
        <v>2033</v>
      </c>
      <c r="C139" s="1">
        <f t="shared" si="17"/>
        <v>2</v>
      </c>
      <c r="D139" s="213">
        <v>48611</v>
      </c>
      <c r="E139" s="1" t="str">
        <f t="shared" si="18"/>
        <v>2-2033</v>
      </c>
      <c r="F139" s="296">
        <v>5.150441740450157</v>
      </c>
      <c r="G139" s="297">
        <v>1.314576658503821</v>
      </c>
      <c r="H139" s="298">
        <v>6.465018398953978</v>
      </c>
      <c r="I139" s="297">
        <v>5.4093641408656801</v>
      </c>
      <c r="J139" s="297">
        <v>2.1706839752447089</v>
      </c>
      <c r="K139" s="297">
        <v>7.5800481161103885</v>
      </c>
      <c r="L139" s="296">
        <v>5.6084731772009961</v>
      </c>
      <c r="M139" s="297">
        <v>1.0251143795134334</v>
      </c>
      <c r="N139" s="298">
        <v>6.6335875567144296</v>
      </c>
      <c r="O139" s="1"/>
      <c r="P139" s="274">
        <f t="shared" si="19"/>
        <v>5.389426352838945</v>
      </c>
      <c r="Q139" s="275">
        <f t="shared" si="20"/>
        <v>6.8928846905929317</v>
      </c>
      <c r="R139" s="171"/>
    </row>
    <row r="140" spans="2:18">
      <c r="B140" s="94">
        <f t="shared" si="16"/>
        <v>2033</v>
      </c>
      <c r="C140" s="1">
        <f t="shared" si="17"/>
        <v>3</v>
      </c>
      <c r="D140" s="213">
        <v>48639</v>
      </c>
      <c r="E140" s="1" t="str">
        <f t="shared" si="18"/>
        <v>3-2033</v>
      </c>
      <c r="F140" s="296">
        <v>4.7278508309800404</v>
      </c>
      <c r="G140" s="297">
        <v>1.314576658503821</v>
      </c>
      <c r="H140" s="298">
        <v>6.0424274894838614</v>
      </c>
      <c r="I140" s="297">
        <v>4.9654685671541037</v>
      </c>
      <c r="J140" s="297">
        <v>2.1706839752447089</v>
      </c>
      <c r="K140" s="297">
        <v>7.136152542398813</v>
      </c>
      <c r="L140" s="296">
        <v>5.148651079282538</v>
      </c>
      <c r="M140" s="297">
        <v>1.0251143795134334</v>
      </c>
      <c r="N140" s="298">
        <v>6.1737654587959714</v>
      </c>
      <c r="O140" s="1"/>
      <c r="P140" s="274">
        <f t="shared" si="19"/>
        <v>4.9473234924722265</v>
      </c>
      <c r="Q140" s="275">
        <f t="shared" si="20"/>
        <v>6.450781830226215</v>
      </c>
      <c r="R140" s="171"/>
    </row>
    <row r="141" spans="2:18">
      <c r="B141" s="94">
        <f t="shared" si="16"/>
        <v>2033</v>
      </c>
      <c r="C141" s="1">
        <f t="shared" si="17"/>
        <v>4</v>
      </c>
      <c r="D141" s="213">
        <v>48670</v>
      </c>
      <c r="E141" s="1" t="str">
        <f t="shared" si="18"/>
        <v>4-2033</v>
      </c>
      <c r="F141" s="296">
        <v>4.6471404217998344</v>
      </c>
      <c r="G141" s="297">
        <v>1.314576658503821</v>
      </c>
      <c r="H141" s="298">
        <v>5.9617170803036554</v>
      </c>
      <c r="I141" s="297">
        <v>4.880642514513502</v>
      </c>
      <c r="J141" s="297">
        <v>2.1706839752447089</v>
      </c>
      <c r="K141" s="297">
        <v>7.0513264897582104</v>
      </c>
      <c r="L141" s="296">
        <v>5.0611012071198784</v>
      </c>
      <c r="M141" s="297">
        <v>1.0251143795134334</v>
      </c>
      <c r="N141" s="298">
        <v>6.0862155866333119</v>
      </c>
      <c r="O141" s="1"/>
      <c r="P141" s="274">
        <f t="shared" si="19"/>
        <v>4.8629613811444052</v>
      </c>
      <c r="Q141" s="275">
        <f t="shared" si="20"/>
        <v>6.366419718898392</v>
      </c>
      <c r="R141" s="171"/>
    </row>
    <row r="142" spans="2:18">
      <c r="B142" s="94">
        <f t="shared" si="16"/>
        <v>2033</v>
      </c>
      <c r="C142" s="1">
        <f t="shared" si="17"/>
        <v>5</v>
      </c>
      <c r="D142" s="213">
        <v>48700</v>
      </c>
      <c r="E142" s="1" t="str">
        <f t="shared" si="18"/>
        <v>5-2033</v>
      </c>
      <c r="F142" s="296">
        <v>4.8086015195521998</v>
      </c>
      <c r="G142" s="297">
        <v>1.314576658503821</v>
      </c>
      <c r="H142" s="298">
        <v>6.1231781780560208</v>
      </c>
      <c r="I142" s="297">
        <v>5.0501551751885145</v>
      </c>
      <c r="J142" s="297">
        <v>2.1706839752447089</v>
      </c>
      <c r="K142" s="297">
        <v>7.220839150433223</v>
      </c>
      <c r="L142" s="296">
        <v>5.2373011916985073</v>
      </c>
      <c r="M142" s="297">
        <v>1.0251143795134334</v>
      </c>
      <c r="N142" s="298">
        <v>6.2624155712119407</v>
      </c>
      <c r="O142" s="1"/>
      <c r="P142" s="274">
        <f t="shared" si="19"/>
        <v>5.0320192954797411</v>
      </c>
      <c r="Q142" s="275">
        <f t="shared" si="20"/>
        <v>6.5354776332337279</v>
      </c>
      <c r="R142" s="171"/>
    </row>
    <row r="143" spans="2:18">
      <c r="B143" s="94">
        <f t="shared" si="16"/>
        <v>2033</v>
      </c>
      <c r="C143" s="1">
        <f t="shared" si="17"/>
        <v>6</v>
      </c>
      <c r="D143" s="213">
        <v>48731</v>
      </c>
      <c r="E143" s="1" t="str">
        <f t="shared" si="18"/>
        <v>6-2033</v>
      </c>
      <c r="F143" s="296">
        <v>4.9326342623962836</v>
      </c>
      <c r="G143" s="297">
        <v>1.314576658503821</v>
      </c>
      <c r="H143" s="298">
        <v>6.2472109209001045</v>
      </c>
      <c r="I143" s="297">
        <v>5.1803556672360589</v>
      </c>
      <c r="J143" s="297">
        <v>2.1706839752447089</v>
      </c>
      <c r="K143" s="297">
        <v>7.3510396424807674</v>
      </c>
      <c r="L143" s="296">
        <v>5.3727572010373974</v>
      </c>
      <c r="M143" s="297">
        <v>1.0251143795134334</v>
      </c>
      <c r="N143" s="298">
        <v>6.3978715805508308</v>
      </c>
      <c r="O143" s="1"/>
      <c r="P143" s="274">
        <f t="shared" si="19"/>
        <v>5.1619157102232469</v>
      </c>
      <c r="Q143" s="275">
        <f t="shared" si="20"/>
        <v>6.6653740479772345</v>
      </c>
      <c r="R143" s="171"/>
    </row>
    <row r="144" spans="2:18">
      <c r="B144" s="94">
        <f t="shared" si="16"/>
        <v>2033</v>
      </c>
      <c r="C144" s="1">
        <f t="shared" si="17"/>
        <v>7</v>
      </c>
      <c r="D144" s="213">
        <v>48761</v>
      </c>
      <c r="E144" s="1" t="str">
        <f t="shared" si="18"/>
        <v>7-2033</v>
      </c>
      <c r="F144" s="296">
        <v>4.971485483588709</v>
      </c>
      <c r="G144" s="297">
        <v>1.314576658503821</v>
      </c>
      <c r="H144" s="298">
        <v>6.28606214209253</v>
      </c>
      <c r="I144" s="297">
        <v>5.2210946551653752</v>
      </c>
      <c r="J144" s="297">
        <v>2.1706839752447089</v>
      </c>
      <c r="K144" s="297">
        <v>7.3917786304100837</v>
      </c>
      <c r="L144" s="296">
        <v>5.4154433572866409</v>
      </c>
      <c r="M144" s="297">
        <v>1.0251143795134334</v>
      </c>
      <c r="N144" s="298">
        <v>6.4405577368000744</v>
      </c>
      <c r="O144" s="1"/>
      <c r="P144" s="274">
        <f t="shared" si="19"/>
        <v>5.202674498680242</v>
      </c>
      <c r="Q144" s="275">
        <f t="shared" si="20"/>
        <v>6.7061328364342288</v>
      </c>
      <c r="R144" s="171"/>
    </row>
    <row r="145" spans="2:18">
      <c r="B145" s="94">
        <f t="shared" si="16"/>
        <v>2033</v>
      </c>
      <c r="C145" s="1">
        <f t="shared" si="17"/>
        <v>8</v>
      </c>
      <c r="D145" s="213">
        <v>48792</v>
      </c>
      <c r="E145" s="1" t="str">
        <f t="shared" si="18"/>
        <v>8-2033</v>
      </c>
      <c r="F145" s="296">
        <v>4.9328059991951658</v>
      </c>
      <c r="G145" s="297">
        <v>1.314576658503821</v>
      </c>
      <c r="H145" s="298">
        <v>6.2473826576989868</v>
      </c>
      <c r="I145" s="297">
        <v>5.1804102483559573</v>
      </c>
      <c r="J145" s="297">
        <v>2.1706839752447089</v>
      </c>
      <c r="K145" s="297">
        <v>7.3510942236006667</v>
      </c>
      <c r="L145" s="296">
        <v>5.373675334800204</v>
      </c>
      <c r="M145" s="297">
        <v>1.0251143795134334</v>
      </c>
      <c r="N145" s="298">
        <v>6.3987897143136374</v>
      </c>
      <c r="O145" s="1"/>
      <c r="P145" s="274">
        <f t="shared" si="19"/>
        <v>5.1622971941171087</v>
      </c>
      <c r="Q145" s="275">
        <f t="shared" si="20"/>
        <v>6.6657555318710964</v>
      </c>
      <c r="R145" s="171"/>
    </row>
    <row r="146" spans="2:18">
      <c r="B146" s="94">
        <f t="shared" si="16"/>
        <v>2033</v>
      </c>
      <c r="C146" s="1">
        <f t="shared" si="17"/>
        <v>9</v>
      </c>
      <c r="D146" s="213">
        <v>48823</v>
      </c>
      <c r="E146" s="1" t="str">
        <f t="shared" si="18"/>
        <v>9-2033</v>
      </c>
      <c r="F146" s="296">
        <v>5.0019070170226341</v>
      </c>
      <c r="G146" s="297">
        <v>1.314576658503821</v>
      </c>
      <c r="H146" s="298">
        <v>6.3164836755264551</v>
      </c>
      <c r="I146" s="297">
        <v>5.2529160304636768</v>
      </c>
      <c r="J146" s="297">
        <v>2.1706839752447089</v>
      </c>
      <c r="K146" s="297">
        <v>7.4236000057083853</v>
      </c>
      <c r="L146" s="296">
        <v>5.4493230200681761</v>
      </c>
      <c r="M146" s="297">
        <v>1.0251143795134334</v>
      </c>
      <c r="N146" s="298">
        <v>6.4744373995816096</v>
      </c>
      <c r="O146" s="1"/>
      <c r="P146" s="274">
        <f t="shared" si="19"/>
        <v>5.2347153558514963</v>
      </c>
      <c r="Q146" s="275">
        <f t="shared" si="20"/>
        <v>6.738173693605483</v>
      </c>
      <c r="R146" s="171"/>
    </row>
    <row r="147" spans="2:18">
      <c r="B147" s="94">
        <f t="shared" si="16"/>
        <v>2033</v>
      </c>
      <c r="C147" s="1">
        <f t="shared" si="17"/>
        <v>10</v>
      </c>
      <c r="D147" s="213">
        <v>48853</v>
      </c>
      <c r="E147" s="1" t="str">
        <f t="shared" si="18"/>
        <v>10-2033</v>
      </c>
      <c r="F147" s="296">
        <v>4.9728018950994262</v>
      </c>
      <c r="G147" s="297">
        <v>1.314576658503821</v>
      </c>
      <c r="H147" s="298">
        <v>6.2873785536032472</v>
      </c>
      <c r="I147" s="297">
        <v>5.2222869046604012</v>
      </c>
      <c r="J147" s="297">
        <v>2.1706839752447089</v>
      </c>
      <c r="K147" s="297">
        <v>7.3929708799051106</v>
      </c>
      <c r="L147" s="296">
        <v>5.4179831535709058</v>
      </c>
      <c r="M147" s="297">
        <v>1.0251143795134334</v>
      </c>
      <c r="N147" s="298">
        <v>6.4430975330843392</v>
      </c>
      <c r="O147" s="1"/>
      <c r="P147" s="274">
        <f t="shared" si="19"/>
        <v>5.2043573177769105</v>
      </c>
      <c r="Q147" s="275">
        <f t="shared" si="20"/>
        <v>6.7078156555308981</v>
      </c>
      <c r="R147" s="171"/>
    </row>
    <row r="148" spans="2:18">
      <c r="B148" s="94">
        <f t="shared" si="16"/>
        <v>2033</v>
      </c>
      <c r="C148" s="1">
        <f t="shared" si="17"/>
        <v>11</v>
      </c>
      <c r="D148" s="213">
        <v>48884</v>
      </c>
      <c r="E148" s="1" t="str">
        <f t="shared" si="18"/>
        <v>11-2033</v>
      </c>
      <c r="F148" s="296">
        <v>5.2182962536795428</v>
      </c>
      <c r="G148" s="297">
        <v>1.314576658503821</v>
      </c>
      <c r="H148" s="298">
        <v>6.5328729121833637</v>
      </c>
      <c r="I148" s="297">
        <v>5.4800311165190303</v>
      </c>
      <c r="J148" s="297">
        <v>2.1706839752447089</v>
      </c>
      <c r="K148" s="297">
        <v>7.6507150917637397</v>
      </c>
      <c r="L148" s="296">
        <v>5.6858419176138097</v>
      </c>
      <c r="M148" s="297">
        <v>1.0251143795134334</v>
      </c>
      <c r="N148" s="298">
        <v>6.7109562971272432</v>
      </c>
      <c r="O148" s="1"/>
      <c r="P148" s="274">
        <f t="shared" si="19"/>
        <v>5.4613897626041279</v>
      </c>
      <c r="Q148" s="275">
        <f t="shared" si="20"/>
        <v>6.9648481003581155</v>
      </c>
      <c r="R148" s="171"/>
    </row>
    <row r="149" spans="2:18">
      <c r="B149" s="94">
        <f t="shared" si="16"/>
        <v>2033</v>
      </c>
      <c r="C149" s="1">
        <f t="shared" si="17"/>
        <v>12</v>
      </c>
      <c r="D149" s="213">
        <v>48914</v>
      </c>
      <c r="E149" s="1" t="str">
        <f t="shared" si="18"/>
        <v>12-2033</v>
      </c>
      <c r="F149" s="296">
        <v>5.259971538630893</v>
      </c>
      <c r="G149" s="297">
        <v>1.314576658503821</v>
      </c>
      <c r="H149" s="298">
        <v>6.5745481971347139</v>
      </c>
      <c r="I149" s="297">
        <v>5.523729594125566</v>
      </c>
      <c r="J149" s="297">
        <v>2.1706839752447089</v>
      </c>
      <c r="K149" s="297">
        <v>7.6944135693702744</v>
      </c>
      <c r="L149" s="296">
        <v>5.7316413250323412</v>
      </c>
      <c r="M149" s="297">
        <v>1.0251143795134334</v>
      </c>
      <c r="N149" s="298">
        <v>6.7567557045457747</v>
      </c>
      <c r="O149" s="1"/>
      <c r="P149" s="274">
        <f t="shared" si="19"/>
        <v>5.505114152596267</v>
      </c>
      <c r="Q149" s="275">
        <f t="shared" si="20"/>
        <v>7.0085724903502538</v>
      </c>
      <c r="R149" s="171"/>
    </row>
    <row r="150" spans="2:18">
      <c r="B150" s="94">
        <f t="shared" si="16"/>
        <v>2034</v>
      </c>
      <c r="C150" s="1">
        <f t="shared" si="17"/>
        <v>1</v>
      </c>
      <c r="D150" s="213">
        <v>48945</v>
      </c>
      <c r="E150" s="1" t="str">
        <f t="shared" si="18"/>
        <v>1-2034</v>
      </c>
      <c r="F150" s="296">
        <v>5.2600524050173343</v>
      </c>
      <c r="G150" s="297">
        <v>1.3671597248439737</v>
      </c>
      <c r="H150" s="298">
        <v>6.6272121298613076</v>
      </c>
      <c r="I150" s="297">
        <v>5.5237611584171091</v>
      </c>
      <c r="J150" s="297">
        <v>2.257511334254497</v>
      </c>
      <c r="K150" s="297">
        <v>7.7812724926716061</v>
      </c>
      <c r="L150" s="296">
        <v>5.7325550320165473</v>
      </c>
      <c r="M150" s="297">
        <v>1.0661189546939709</v>
      </c>
      <c r="N150" s="298">
        <v>6.7986739867105186</v>
      </c>
      <c r="O150" s="1"/>
      <c r="P150" s="274">
        <f t="shared" si="19"/>
        <v>5.5054561984836639</v>
      </c>
      <c r="Q150" s="275">
        <f t="shared" si="20"/>
        <v>7.0690528697478108</v>
      </c>
      <c r="R150" s="171"/>
    </row>
    <row r="151" spans="2:18">
      <c r="B151" s="94">
        <f t="shared" si="16"/>
        <v>2034</v>
      </c>
      <c r="C151" s="1">
        <f t="shared" si="17"/>
        <v>2</v>
      </c>
      <c r="D151" s="213">
        <v>48976</v>
      </c>
      <c r="E151" s="1" t="str">
        <f t="shared" si="18"/>
        <v>2-2034</v>
      </c>
      <c r="F151" s="296">
        <v>5.1445040847270658</v>
      </c>
      <c r="G151" s="297">
        <v>1.3671597248439737</v>
      </c>
      <c r="H151" s="298">
        <v>6.51166380957104</v>
      </c>
      <c r="I151" s="297">
        <v>5.4023677165563937</v>
      </c>
      <c r="J151" s="297">
        <v>2.257511334254497</v>
      </c>
      <c r="K151" s="297">
        <v>7.6598790508108907</v>
      </c>
      <c r="L151" s="296">
        <v>5.6074347693707391</v>
      </c>
      <c r="M151" s="297">
        <v>1.0661189546939709</v>
      </c>
      <c r="N151" s="298">
        <v>6.6735537240647105</v>
      </c>
      <c r="O151" s="1"/>
      <c r="P151" s="274">
        <f t="shared" si="19"/>
        <v>5.3847688568847332</v>
      </c>
      <c r="Q151" s="275">
        <f t="shared" si="20"/>
        <v>6.9483655281488801</v>
      </c>
      <c r="R151" s="171"/>
    </row>
    <row r="152" spans="2:18">
      <c r="B152" s="94">
        <f t="shared" si="16"/>
        <v>2034</v>
      </c>
      <c r="C152" s="1">
        <f t="shared" si="17"/>
        <v>3</v>
      </c>
      <c r="D152" s="213">
        <v>49004</v>
      </c>
      <c r="E152" s="1" t="str">
        <f t="shared" si="18"/>
        <v>3-2034</v>
      </c>
      <c r="F152" s="296">
        <v>4.7224648476894924</v>
      </c>
      <c r="G152" s="297">
        <v>1.3671597248439737</v>
      </c>
      <c r="H152" s="298">
        <v>6.0896245725334666</v>
      </c>
      <c r="I152" s="297">
        <v>4.9591262229120874</v>
      </c>
      <c r="J152" s="297">
        <v>2.257511334254497</v>
      </c>
      <c r="K152" s="297">
        <v>7.2166375571665844</v>
      </c>
      <c r="L152" s="296">
        <v>5.148159591305669</v>
      </c>
      <c r="M152" s="297">
        <v>1.0661189546939709</v>
      </c>
      <c r="N152" s="298">
        <v>6.2142785459996404</v>
      </c>
      <c r="O152" s="1"/>
      <c r="P152" s="274">
        <f t="shared" si="19"/>
        <v>4.9432502206357496</v>
      </c>
      <c r="Q152" s="275">
        <f t="shared" si="20"/>
        <v>6.5068468918998974</v>
      </c>
      <c r="R152" s="171"/>
    </row>
    <row r="153" spans="2:18">
      <c r="B153" s="94">
        <f t="shared" si="16"/>
        <v>2034</v>
      </c>
      <c r="C153" s="1">
        <f t="shared" si="17"/>
        <v>4</v>
      </c>
      <c r="D153" s="213">
        <v>49035</v>
      </c>
      <c r="E153" s="1" t="str">
        <f t="shared" si="18"/>
        <v>4-2034</v>
      </c>
      <c r="F153" s="296">
        <v>4.6419097866521799</v>
      </c>
      <c r="G153" s="297">
        <v>1.3671597248439737</v>
      </c>
      <c r="H153" s="298">
        <v>6.0090695114961541</v>
      </c>
      <c r="I153" s="297">
        <v>4.8744871187448968</v>
      </c>
      <c r="J153" s="297">
        <v>2.257511334254497</v>
      </c>
      <c r="K153" s="297">
        <v>7.1319984529993938</v>
      </c>
      <c r="L153" s="296">
        <v>5.0610720356972836</v>
      </c>
      <c r="M153" s="297">
        <v>1.0661189546939709</v>
      </c>
      <c r="N153" s="298">
        <v>6.127190990391254</v>
      </c>
      <c r="O153" s="1"/>
      <c r="P153" s="274">
        <f t="shared" si="19"/>
        <v>4.8591563136981195</v>
      </c>
      <c r="Q153" s="275">
        <f t="shared" si="20"/>
        <v>6.4227529849622682</v>
      </c>
      <c r="R153" s="171"/>
    </row>
    <row r="154" spans="2:18">
      <c r="B154" s="94">
        <f t="shared" si="16"/>
        <v>2034</v>
      </c>
      <c r="C154" s="1">
        <f t="shared" si="17"/>
        <v>5</v>
      </c>
      <c r="D154" s="213">
        <v>49065</v>
      </c>
      <c r="E154" s="1" t="str">
        <f t="shared" si="18"/>
        <v>5-2034</v>
      </c>
      <c r="F154" s="296">
        <v>4.8032547686180465</v>
      </c>
      <c r="G154" s="297">
        <v>1.3671597248439737</v>
      </c>
      <c r="H154" s="298">
        <v>6.1704144934620206</v>
      </c>
      <c r="I154" s="297">
        <v>5.0438673414113682</v>
      </c>
      <c r="J154" s="297">
        <v>2.257511334254497</v>
      </c>
      <c r="K154" s="297">
        <v>7.3013786756658652</v>
      </c>
      <c r="L154" s="296">
        <v>5.2377407966944789</v>
      </c>
      <c r="M154" s="297">
        <v>1.0661189546939709</v>
      </c>
      <c r="N154" s="298">
        <v>6.3038597513884493</v>
      </c>
      <c r="O154" s="1"/>
      <c r="P154" s="274">
        <f t="shared" si="19"/>
        <v>5.0282876355746309</v>
      </c>
      <c r="Q154" s="275">
        <f t="shared" si="20"/>
        <v>6.5918843068387787</v>
      </c>
      <c r="R154" s="171"/>
    </row>
    <row r="155" spans="2:18">
      <c r="B155" s="94">
        <f t="shared" si="16"/>
        <v>2034</v>
      </c>
      <c r="C155" s="1">
        <f t="shared" si="17"/>
        <v>6</v>
      </c>
      <c r="D155" s="213">
        <v>49096</v>
      </c>
      <c r="E155" s="1" t="str">
        <f t="shared" si="18"/>
        <v>6-2034</v>
      </c>
      <c r="F155" s="296">
        <v>4.9272169218909436</v>
      </c>
      <c r="G155" s="297">
        <v>1.3671597248439737</v>
      </c>
      <c r="H155" s="298">
        <v>6.2943766467349178</v>
      </c>
      <c r="I155" s="297">
        <v>5.1739891884281075</v>
      </c>
      <c r="J155" s="297">
        <v>2.257511334254497</v>
      </c>
      <c r="K155" s="297">
        <v>7.4315005226826045</v>
      </c>
      <c r="L155" s="296">
        <v>5.373690147701712</v>
      </c>
      <c r="M155" s="297">
        <v>1.0661189546939709</v>
      </c>
      <c r="N155" s="298">
        <v>6.4398091023956834</v>
      </c>
      <c r="O155" s="1"/>
      <c r="P155" s="274">
        <f t="shared" si="19"/>
        <v>5.1582987526735877</v>
      </c>
      <c r="Q155" s="275">
        <f t="shared" si="20"/>
        <v>6.7218954239377355</v>
      </c>
      <c r="R155" s="171"/>
    </row>
    <row r="156" spans="2:18">
      <c r="B156" s="94">
        <f t="shared" si="16"/>
        <v>2034</v>
      </c>
      <c r="C156" s="1">
        <f t="shared" si="17"/>
        <v>7</v>
      </c>
      <c r="D156" s="213">
        <v>49126</v>
      </c>
      <c r="E156" s="1" t="str">
        <f t="shared" si="18"/>
        <v>7-2034</v>
      </c>
      <c r="F156" s="296">
        <v>4.9660933419256583</v>
      </c>
      <c r="G156" s="297">
        <v>1.3671597248439737</v>
      </c>
      <c r="H156" s="298">
        <v>6.3332530667696325</v>
      </c>
      <c r="I156" s="297">
        <v>5.214762249171228</v>
      </c>
      <c r="J156" s="297">
        <v>2.257511334254497</v>
      </c>
      <c r="K156" s="297">
        <v>7.472273583425725</v>
      </c>
      <c r="L156" s="296">
        <v>5.4168695467478702</v>
      </c>
      <c r="M156" s="297">
        <v>1.0661189546939709</v>
      </c>
      <c r="N156" s="298">
        <v>6.4829885014418416</v>
      </c>
      <c r="O156" s="1"/>
      <c r="P156" s="274">
        <f t="shared" si="19"/>
        <v>5.1992417126149189</v>
      </c>
      <c r="Q156" s="275">
        <f t="shared" si="20"/>
        <v>6.7628383838790667</v>
      </c>
      <c r="R156" s="171"/>
    </row>
    <row r="157" spans="2:18">
      <c r="B157" s="94">
        <f t="shared" si="16"/>
        <v>2034</v>
      </c>
      <c r="C157" s="1">
        <f t="shared" si="17"/>
        <v>8</v>
      </c>
      <c r="D157" s="213">
        <v>49157</v>
      </c>
      <c r="E157" s="1" t="str">
        <f t="shared" si="18"/>
        <v>8-2034</v>
      </c>
      <c r="F157" s="296">
        <v>4.9275231628457457</v>
      </c>
      <c r="G157" s="297">
        <v>1.3671597248439737</v>
      </c>
      <c r="H157" s="298">
        <v>6.294682887689719</v>
      </c>
      <c r="I157" s="297">
        <v>5.1742106889009083</v>
      </c>
      <c r="J157" s="297">
        <v>2.257511334254497</v>
      </c>
      <c r="K157" s="297">
        <v>7.4317220231554053</v>
      </c>
      <c r="L157" s="296">
        <v>5.3755726372067629</v>
      </c>
      <c r="M157" s="297">
        <v>1.0661189546939709</v>
      </c>
      <c r="N157" s="298">
        <v>6.4416915919007334</v>
      </c>
      <c r="O157" s="1"/>
      <c r="P157" s="274">
        <f t="shared" si="19"/>
        <v>5.159102162984472</v>
      </c>
      <c r="Q157" s="275">
        <f t="shared" si="20"/>
        <v>6.7226988342486189</v>
      </c>
      <c r="R157" s="171"/>
    </row>
    <row r="158" spans="2:18">
      <c r="B158" s="94">
        <f t="shared" si="16"/>
        <v>2034</v>
      </c>
      <c r="C158" s="1">
        <f t="shared" si="17"/>
        <v>9</v>
      </c>
      <c r="D158" s="213">
        <v>49188</v>
      </c>
      <c r="E158" s="1" t="str">
        <f t="shared" si="18"/>
        <v>9-2034</v>
      </c>
      <c r="F158" s="296">
        <v>4.9966184862378009</v>
      </c>
      <c r="G158" s="297">
        <v>1.3671597248439737</v>
      </c>
      <c r="H158" s="298">
        <v>6.3637782110817742</v>
      </c>
      <c r="I158" s="297">
        <v>5.2467143909480392</v>
      </c>
      <c r="J158" s="297">
        <v>2.257511334254497</v>
      </c>
      <c r="K158" s="297">
        <v>7.5042257252025362</v>
      </c>
      <c r="L158" s="296">
        <v>5.4517359611051299</v>
      </c>
      <c r="M158" s="297">
        <v>1.0661189546939709</v>
      </c>
      <c r="N158" s="298">
        <v>6.5178549157991004</v>
      </c>
      <c r="O158" s="1"/>
      <c r="P158" s="274">
        <f t="shared" si="19"/>
        <v>5.2316896127636561</v>
      </c>
      <c r="Q158" s="275">
        <f t="shared" si="20"/>
        <v>6.795286284027803</v>
      </c>
      <c r="R158" s="171"/>
    </row>
    <row r="159" spans="2:18">
      <c r="B159" s="94">
        <f t="shared" si="16"/>
        <v>2034</v>
      </c>
      <c r="C159" s="1">
        <f t="shared" si="17"/>
        <v>10</v>
      </c>
      <c r="D159" s="213">
        <v>49218</v>
      </c>
      <c r="E159" s="1" t="str">
        <f t="shared" si="18"/>
        <v>10-2034</v>
      </c>
      <c r="F159" s="296">
        <v>4.9676120631012939</v>
      </c>
      <c r="G159" s="297">
        <v>1.3671597248439737</v>
      </c>
      <c r="H159" s="298">
        <v>6.3347717879452681</v>
      </c>
      <c r="I159" s="297">
        <v>5.2162056408527038</v>
      </c>
      <c r="J159" s="297">
        <v>2.257511334254497</v>
      </c>
      <c r="K159" s="297">
        <v>7.4737169751072008</v>
      </c>
      <c r="L159" s="296">
        <v>5.4208683644979851</v>
      </c>
      <c r="M159" s="297">
        <v>1.0661189546939709</v>
      </c>
      <c r="N159" s="298">
        <v>6.4869873191919556</v>
      </c>
      <c r="O159" s="1"/>
      <c r="P159" s="274">
        <f t="shared" si="19"/>
        <v>5.2015620228173276</v>
      </c>
      <c r="Q159" s="275">
        <f t="shared" si="20"/>
        <v>6.7651586940814754</v>
      </c>
      <c r="R159" s="171"/>
    </row>
    <row r="160" spans="2:18">
      <c r="B160" s="94">
        <f t="shared" si="16"/>
        <v>2034</v>
      </c>
      <c r="C160" s="1">
        <f t="shared" si="17"/>
        <v>11</v>
      </c>
      <c r="D160" s="213">
        <v>49249</v>
      </c>
      <c r="E160" s="1" t="str">
        <f t="shared" si="18"/>
        <v>11-2034</v>
      </c>
      <c r="F160" s="296">
        <v>5.2129215063238812</v>
      </c>
      <c r="G160" s="297">
        <v>1.3671597248439737</v>
      </c>
      <c r="H160" s="298">
        <v>6.5800812311678545</v>
      </c>
      <c r="I160" s="297">
        <v>5.4737381046077065</v>
      </c>
      <c r="J160" s="297">
        <v>2.257511334254497</v>
      </c>
      <c r="K160" s="297">
        <v>7.7312494388622035</v>
      </c>
      <c r="L160" s="296">
        <v>5.6893799826235369</v>
      </c>
      <c r="M160" s="297">
        <v>1.0661189546939709</v>
      </c>
      <c r="N160" s="298">
        <v>6.7554989373175083</v>
      </c>
      <c r="O160" s="1"/>
      <c r="P160" s="274">
        <f t="shared" si="19"/>
        <v>5.4586798645183761</v>
      </c>
      <c r="Q160" s="275">
        <f t="shared" si="20"/>
        <v>7.0222765357825212</v>
      </c>
      <c r="R160" s="171"/>
    </row>
    <row r="161" spans="2:18">
      <c r="B161" s="94">
        <f t="shared" si="16"/>
        <v>2034</v>
      </c>
      <c r="C161" s="1">
        <f t="shared" si="17"/>
        <v>12</v>
      </c>
      <c r="D161" s="213">
        <v>49279</v>
      </c>
      <c r="E161" s="1" t="str">
        <f t="shared" si="18"/>
        <v>12-2034</v>
      </c>
      <c r="F161" s="296">
        <v>5.2546257432538166</v>
      </c>
      <c r="G161" s="297">
        <v>1.3671597248439737</v>
      </c>
      <c r="H161" s="298">
        <v>6.6217854680977908</v>
      </c>
      <c r="I161" s="297">
        <v>5.5174755160949003</v>
      </c>
      <c r="J161" s="297">
        <v>2.257511334254497</v>
      </c>
      <c r="K161" s="297">
        <v>7.7749868503493973</v>
      </c>
      <c r="L161" s="296">
        <v>5.7357222427626242</v>
      </c>
      <c r="M161" s="297">
        <v>1.0661189546939709</v>
      </c>
      <c r="N161" s="298">
        <v>6.8018411974565947</v>
      </c>
      <c r="O161" s="1"/>
      <c r="P161" s="274">
        <f t="shared" si="19"/>
        <v>5.5026078340371134</v>
      </c>
      <c r="Q161" s="275">
        <f t="shared" si="20"/>
        <v>7.0662045053012603</v>
      </c>
      <c r="R161" s="171"/>
    </row>
    <row r="162" spans="2:18">
      <c r="B162" s="94">
        <f t="shared" si="16"/>
        <v>2035</v>
      </c>
      <c r="C162" s="1">
        <f t="shared" si="17"/>
        <v>1</v>
      </c>
      <c r="D162" s="213">
        <v>49310</v>
      </c>
      <c r="E162" s="1" t="str">
        <f t="shared" si="18"/>
        <v>1-2035</v>
      </c>
      <c r="F162" s="296">
        <v>5.2546272683619248</v>
      </c>
      <c r="G162" s="297">
        <v>1.4218461138377327</v>
      </c>
      <c r="H162" s="298">
        <v>6.6764733821996574</v>
      </c>
      <c r="I162" s="297">
        <v>5.517403323614456</v>
      </c>
      <c r="J162" s="297">
        <v>2.3478117876246771</v>
      </c>
      <c r="K162" s="297">
        <v>7.8652151112391326</v>
      </c>
      <c r="L162" s="296">
        <v>5.7356692415121451</v>
      </c>
      <c r="M162" s="297">
        <v>1.1087637128817298</v>
      </c>
      <c r="N162" s="298">
        <v>6.8444329543938753</v>
      </c>
      <c r="O162" s="1"/>
      <c r="P162" s="274">
        <f t="shared" si="19"/>
        <v>5.502566611162842</v>
      </c>
      <c r="Q162" s="275">
        <f t="shared" si="20"/>
        <v>7.1287071492775551</v>
      </c>
      <c r="R162" s="171"/>
    </row>
    <row r="163" spans="2:18">
      <c r="B163" s="94">
        <f t="shared" si="16"/>
        <v>2035</v>
      </c>
      <c r="C163" s="1">
        <f t="shared" si="17"/>
        <v>2</v>
      </c>
      <c r="D163" s="213">
        <v>49341</v>
      </c>
      <c r="E163" s="1" t="str">
        <f t="shared" si="18"/>
        <v>2-2035</v>
      </c>
      <c r="F163" s="296">
        <v>5.1391205916917642</v>
      </c>
      <c r="G163" s="297">
        <v>1.4218461138377327</v>
      </c>
      <c r="H163" s="298">
        <v>6.5609667055294967</v>
      </c>
      <c r="I163" s="297">
        <v>5.3960481445458051</v>
      </c>
      <c r="J163" s="297">
        <v>2.3478117876246771</v>
      </c>
      <c r="K163" s="297">
        <v>7.7438599321704817</v>
      </c>
      <c r="L163" s="296">
        <v>5.6095348746167399</v>
      </c>
      <c r="M163" s="297">
        <v>1.1087637128817298</v>
      </c>
      <c r="N163" s="298">
        <v>6.7182985874984702</v>
      </c>
      <c r="O163" s="1"/>
      <c r="P163" s="274">
        <f t="shared" si="19"/>
        <v>5.3815678702847691</v>
      </c>
      <c r="Q163" s="275">
        <f t="shared" si="20"/>
        <v>7.0077084083994832</v>
      </c>
      <c r="R163" s="171"/>
    </row>
    <row r="164" spans="2:18">
      <c r="B164" s="94">
        <f t="shared" si="16"/>
        <v>2035</v>
      </c>
      <c r="C164" s="1">
        <f t="shared" si="17"/>
        <v>3</v>
      </c>
      <c r="D164" s="213">
        <v>49369</v>
      </c>
      <c r="E164" s="1" t="str">
        <f t="shared" si="18"/>
        <v>3-2035</v>
      </c>
      <c r="F164" s="296">
        <v>4.7174518170338695</v>
      </c>
      <c r="G164" s="297">
        <v>1.4218461138377327</v>
      </c>
      <c r="H164" s="298">
        <v>6.139297930871602</v>
      </c>
      <c r="I164" s="297">
        <v>4.9532319912411618</v>
      </c>
      <c r="J164" s="297">
        <v>2.3478117876246771</v>
      </c>
      <c r="K164" s="297">
        <v>7.3010437788658393</v>
      </c>
      <c r="L164" s="296">
        <v>5.1492191511636873</v>
      </c>
      <c r="M164" s="297">
        <v>1.1087637128817298</v>
      </c>
      <c r="N164" s="298">
        <v>6.2579828640454167</v>
      </c>
      <c r="O164" s="1"/>
      <c r="P164" s="274">
        <f t="shared" si="19"/>
        <v>4.9399676531462395</v>
      </c>
      <c r="Q164" s="275">
        <f t="shared" si="20"/>
        <v>6.5661081912609527</v>
      </c>
      <c r="R164" s="171"/>
    </row>
    <row r="165" spans="2:18">
      <c r="B165" s="94">
        <f t="shared" si="16"/>
        <v>2035</v>
      </c>
      <c r="C165" s="1">
        <f t="shared" si="17"/>
        <v>4</v>
      </c>
      <c r="D165" s="213">
        <v>49400</v>
      </c>
      <c r="E165" s="1" t="str">
        <f t="shared" si="18"/>
        <v>4-2035</v>
      </c>
      <c r="F165" s="296">
        <v>4.6369122870789141</v>
      </c>
      <c r="G165" s="297">
        <v>1.4218461138377327</v>
      </c>
      <c r="H165" s="298">
        <v>6.0587584009166466</v>
      </c>
      <c r="I165" s="297">
        <v>4.8686019046481244</v>
      </c>
      <c r="J165" s="297">
        <v>2.3478117876246771</v>
      </c>
      <c r="K165" s="297">
        <v>7.2164136922728019</v>
      </c>
      <c r="L165" s="296">
        <v>5.0612599285327429</v>
      </c>
      <c r="M165" s="297">
        <v>1.1087637128817298</v>
      </c>
      <c r="N165" s="298">
        <v>6.1700236414144722</v>
      </c>
      <c r="O165" s="1"/>
      <c r="P165" s="274">
        <f t="shared" si="19"/>
        <v>4.8555913734199265</v>
      </c>
      <c r="Q165" s="275">
        <f t="shared" si="20"/>
        <v>6.4817319115346406</v>
      </c>
      <c r="R165" s="171"/>
    </row>
    <row r="166" spans="2:18">
      <c r="B166" s="94">
        <f t="shared" si="16"/>
        <v>2035</v>
      </c>
      <c r="C166" s="1">
        <f t="shared" si="17"/>
        <v>5</v>
      </c>
      <c r="D166" s="213">
        <v>49430</v>
      </c>
      <c r="E166" s="1" t="str">
        <f t="shared" si="18"/>
        <v>5-2035</v>
      </c>
      <c r="F166" s="296">
        <v>4.7980111392829308</v>
      </c>
      <c r="G166" s="297">
        <v>1.4218461138377327</v>
      </c>
      <c r="H166" s="298">
        <v>6.2198572531206633</v>
      </c>
      <c r="I166" s="297">
        <v>5.0376828445495336</v>
      </c>
      <c r="J166" s="297">
        <v>2.3478117876246771</v>
      </c>
      <c r="K166" s="297">
        <v>7.3854946321742112</v>
      </c>
      <c r="L166" s="296">
        <v>5.2370518080103015</v>
      </c>
      <c r="M166" s="297">
        <v>1.1087637128817298</v>
      </c>
      <c r="N166" s="298">
        <v>6.3458155208920317</v>
      </c>
      <c r="O166" s="1"/>
      <c r="P166" s="274">
        <f t="shared" si="19"/>
        <v>5.0242485972809217</v>
      </c>
      <c r="Q166" s="275">
        <f t="shared" si="20"/>
        <v>6.6503891353956348</v>
      </c>
      <c r="R166" s="171"/>
    </row>
    <row r="167" spans="2:18">
      <c r="B167" s="94">
        <f t="shared" si="16"/>
        <v>2035</v>
      </c>
      <c r="C167" s="1">
        <f t="shared" si="17"/>
        <v>6</v>
      </c>
      <c r="D167" s="213">
        <v>49461</v>
      </c>
      <c r="E167" s="1" t="str">
        <f t="shared" si="18"/>
        <v>6-2035</v>
      </c>
      <c r="F167" s="296">
        <v>4.9217636584282207</v>
      </c>
      <c r="G167" s="297">
        <v>1.4218461138377327</v>
      </c>
      <c r="H167" s="298">
        <v>6.3436097722659532</v>
      </c>
      <c r="I167" s="297">
        <v>5.1675478987091488</v>
      </c>
      <c r="J167" s="297">
        <v>2.3478117876246771</v>
      </c>
      <c r="K167" s="297">
        <v>7.5153596863338255</v>
      </c>
      <c r="L167" s="296">
        <v>5.3720770126354669</v>
      </c>
      <c r="M167" s="297">
        <v>1.1087637128817298</v>
      </c>
      <c r="N167" s="298">
        <v>6.4808407255171971</v>
      </c>
      <c r="O167" s="1"/>
      <c r="P167" s="274">
        <f t="shared" si="19"/>
        <v>5.1537961899242788</v>
      </c>
      <c r="Q167" s="275">
        <f t="shared" si="20"/>
        <v>6.7799367280389928</v>
      </c>
      <c r="R167" s="171"/>
    </row>
    <row r="168" spans="2:18">
      <c r="B168" s="94">
        <f t="shared" si="16"/>
        <v>2035</v>
      </c>
      <c r="C168" s="1">
        <f t="shared" si="17"/>
        <v>7</v>
      </c>
      <c r="D168" s="213">
        <v>49491</v>
      </c>
      <c r="E168" s="1" t="str">
        <f t="shared" si="18"/>
        <v>7-2035</v>
      </c>
      <c r="F168" s="296">
        <v>4.9605221456688575</v>
      </c>
      <c r="G168" s="297">
        <v>1.4218461138377327</v>
      </c>
      <c r="H168" s="298">
        <v>6.38236825950659</v>
      </c>
      <c r="I168" s="297">
        <v>5.2081721697168817</v>
      </c>
      <c r="J168" s="297">
        <v>2.3478117876246771</v>
      </c>
      <c r="K168" s="297">
        <v>7.5559839573415584</v>
      </c>
      <c r="L168" s="296">
        <v>5.4143300126530711</v>
      </c>
      <c r="M168" s="297">
        <v>1.1087637128817298</v>
      </c>
      <c r="N168" s="298">
        <v>6.5230937255348014</v>
      </c>
      <c r="O168" s="1"/>
      <c r="P168" s="274">
        <f t="shared" si="19"/>
        <v>5.1943414426796037</v>
      </c>
      <c r="Q168" s="275">
        <f t="shared" si="20"/>
        <v>6.8204819807943169</v>
      </c>
      <c r="R168" s="171"/>
    </row>
    <row r="169" spans="2:18">
      <c r="B169" s="94">
        <f t="shared" si="16"/>
        <v>2035</v>
      </c>
      <c r="C169" s="1">
        <f t="shared" si="17"/>
        <v>8</v>
      </c>
      <c r="D169" s="213">
        <v>49522</v>
      </c>
      <c r="E169" s="1" t="str">
        <f t="shared" si="18"/>
        <v>8-2035</v>
      </c>
      <c r="F169" s="296">
        <v>4.9219208998022825</v>
      </c>
      <c r="G169" s="297">
        <v>1.4218461138377327</v>
      </c>
      <c r="H169" s="298">
        <v>6.3437670136400151</v>
      </c>
      <c r="I169" s="297">
        <v>5.1675745699780213</v>
      </c>
      <c r="J169" s="297">
        <v>2.3478117876246771</v>
      </c>
      <c r="K169" s="297">
        <v>7.5153863576026989</v>
      </c>
      <c r="L169" s="296">
        <v>5.3721460983005223</v>
      </c>
      <c r="M169" s="297">
        <v>1.1087637128817298</v>
      </c>
      <c r="N169" s="298">
        <v>6.4809098111822525</v>
      </c>
      <c r="O169" s="1"/>
      <c r="P169" s="274">
        <f t="shared" si="19"/>
        <v>5.1538805226936084</v>
      </c>
      <c r="Q169" s="275">
        <f t="shared" si="20"/>
        <v>6.7800210608083225</v>
      </c>
      <c r="R169" s="171"/>
    </row>
    <row r="170" spans="2:18">
      <c r="B170" s="94">
        <f t="shared" si="16"/>
        <v>2035</v>
      </c>
      <c r="C170" s="1">
        <f t="shared" si="17"/>
        <v>9</v>
      </c>
      <c r="D170" s="213">
        <v>49553</v>
      </c>
      <c r="E170" s="1" t="str">
        <f t="shared" si="18"/>
        <v>9-2035</v>
      </c>
      <c r="F170" s="296">
        <v>4.9908622746788662</v>
      </c>
      <c r="G170" s="297">
        <v>1.4218461138377327</v>
      </c>
      <c r="H170" s="298">
        <v>6.4127083885165987</v>
      </c>
      <c r="I170" s="297">
        <v>5.2398866155521953</v>
      </c>
      <c r="J170" s="297">
        <v>2.3478117876246771</v>
      </c>
      <c r="K170" s="297">
        <v>7.5876984031768728</v>
      </c>
      <c r="L170" s="296">
        <v>5.4473417752384385</v>
      </c>
      <c r="M170" s="297">
        <v>1.1087637128817298</v>
      </c>
      <c r="N170" s="298">
        <v>6.5561054881201688</v>
      </c>
      <c r="O170" s="1"/>
      <c r="P170" s="274">
        <f t="shared" si="19"/>
        <v>5.2260302218231667</v>
      </c>
      <c r="Q170" s="275">
        <f t="shared" si="20"/>
        <v>6.8521707599378798</v>
      </c>
      <c r="R170" s="171"/>
    </row>
    <row r="171" spans="2:18">
      <c r="B171" s="94">
        <f t="shared" si="16"/>
        <v>2035</v>
      </c>
      <c r="C171" s="1">
        <f t="shared" si="17"/>
        <v>10</v>
      </c>
      <c r="D171" s="213">
        <v>49583</v>
      </c>
      <c r="E171" s="1" t="str">
        <f t="shared" si="18"/>
        <v>10-2035</v>
      </c>
      <c r="F171" s="296">
        <v>4.9618143007502535</v>
      </c>
      <c r="G171" s="297">
        <v>1.4218461138377327</v>
      </c>
      <c r="H171" s="298">
        <v>6.3836604145879861</v>
      </c>
      <c r="I171" s="297">
        <v>5.2093194552546755</v>
      </c>
      <c r="J171" s="297">
        <v>2.3478117876246771</v>
      </c>
      <c r="K171" s="297">
        <v>7.5571312428793522</v>
      </c>
      <c r="L171" s="296">
        <v>5.4155852723536668</v>
      </c>
      <c r="M171" s="297">
        <v>1.1087637128817298</v>
      </c>
      <c r="N171" s="298">
        <v>6.5243489852353971</v>
      </c>
      <c r="O171" s="1"/>
      <c r="P171" s="274">
        <f t="shared" si="19"/>
        <v>5.1955730094528656</v>
      </c>
      <c r="Q171" s="275">
        <f t="shared" si="20"/>
        <v>6.8217135475675788</v>
      </c>
      <c r="R171" s="171"/>
    </row>
    <row r="172" spans="2:18">
      <c r="B172" s="94">
        <f t="shared" si="16"/>
        <v>2035</v>
      </c>
      <c r="C172" s="1">
        <f t="shared" si="17"/>
        <v>11</v>
      </c>
      <c r="D172" s="213">
        <v>49614</v>
      </c>
      <c r="E172" s="1" t="str">
        <f t="shared" si="18"/>
        <v>11-2035</v>
      </c>
      <c r="F172" s="296">
        <v>5.2067587581002419</v>
      </c>
      <c r="G172" s="297">
        <v>1.4218461138377327</v>
      </c>
      <c r="H172" s="298">
        <v>6.6286048719379744</v>
      </c>
      <c r="I172" s="297">
        <v>5.4664089609733777</v>
      </c>
      <c r="J172" s="297">
        <v>2.3478117876246771</v>
      </c>
      <c r="K172" s="297">
        <v>7.8142207485980553</v>
      </c>
      <c r="L172" s="296">
        <v>5.6828762684838523</v>
      </c>
      <c r="M172" s="297">
        <v>1.1087637128817298</v>
      </c>
      <c r="N172" s="298">
        <v>6.7916399813655826</v>
      </c>
      <c r="O172" s="1"/>
      <c r="P172" s="274">
        <f t="shared" si="19"/>
        <v>5.452014662519157</v>
      </c>
      <c r="Q172" s="275">
        <f t="shared" si="20"/>
        <v>7.0781552006338702</v>
      </c>
      <c r="R172" s="171"/>
    </row>
    <row r="173" spans="2:18">
      <c r="B173" s="94">
        <f t="shared" si="16"/>
        <v>2035</v>
      </c>
      <c r="C173" s="1">
        <f t="shared" si="17"/>
        <v>12</v>
      </c>
      <c r="D173" s="213">
        <v>49644</v>
      </c>
      <c r="E173" s="1" t="str">
        <f t="shared" si="18"/>
        <v>12-2035</v>
      </c>
      <c r="F173" s="296">
        <v>5.2483343669594351</v>
      </c>
      <c r="G173" s="297">
        <v>1.4218461138377327</v>
      </c>
      <c r="H173" s="298">
        <v>6.6701804807971676</v>
      </c>
      <c r="I173" s="297">
        <v>5.5099839911930308</v>
      </c>
      <c r="J173" s="297">
        <v>2.3478117876246771</v>
      </c>
      <c r="K173" s="297">
        <v>7.8577957788177084</v>
      </c>
      <c r="L173" s="296">
        <v>5.7281989221806437</v>
      </c>
      <c r="M173" s="297">
        <v>1.1087637128817298</v>
      </c>
      <c r="N173" s="298">
        <v>6.836962635062374</v>
      </c>
      <c r="O173" s="1"/>
      <c r="P173" s="274">
        <f t="shared" si="19"/>
        <v>5.4955057601110369</v>
      </c>
      <c r="Q173" s="275">
        <f t="shared" si="20"/>
        <v>7.1216462982257509</v>
      </c>
      <c r="R173" s="171"/>
    </row>
    <row r="174" spans="2:18">
      <c r="B174" s="94">
        <f t="shared" si="16"/>
        <v>2036</v>
      </c>
      <c r="C174" s="1">
        <f t="shared" si="17"/>
        <v>1</v>
      </c>
      <c r="D174" s="213">
        <v>49675</v>
      </c>
      <c r="E174" s="1" t="str">
        <f t="shared" si="18"/>
        <v>1-2036</v>
      </c>
      <c r="F174" s="296">
        <v>5.2483571262877105</v>
      </c>
      <c r="G174" s="297">
        <v>1.478719958391242</v>
      </c>
      <c r="H174" s="298">
        <v>6.7270770846789523</v>
      </c>
      <c r="I174" s="297">
        <v>5.5099304724155971</v>
      </c>
      <c r="J174" s="297">
        <v>2.4417242591296642</v>
      </c>
      <c r="K174" s="297">
        <v>7.9516547315452613</v>
      </c>
      <c r="L174" s="296">
        <v>5.7282425692182519</v>
      </c>
      <c r="M174" s="297">
        <v>1.1531142613969991</v>
      </c>
      <c r="N174" s="298">
        <v>6.8813568306152515</v>
      </c>
      <c r="O174" s="1"/>
      <c r="P174" s="274">
        <f t="shared" si="19"/>
        <v>5.4955100559738534</v>
      </c>
      <c r="Q174" s="275">
        <f t="shared" si="20"/>
        <v>7.1866962156131562</v>
      </c>
      <c r="R174" s="171"/>
    </row>
    <row r="175" spans="2:18">
      <c r="B175" s="94">
        <f t="shared" si="16"/>
        <v>2036</v>
      </c>
      <c r="C175" s="1">
        <f t="shared" si="17"/>
        <v>2</v>
      </c>
      <c r="D175" s="213">
        <v>49706</v>
      </c>
      <c r="E175" s="1" t="str">
        <f t="shared" si="18"/>
        <v>2-2036</v>
      </c>
      <c r="F175" s="296">
        <v>5.1330090526192702</v>
      </c>
      <c r="G175" s="297">
        <v>1.478719958391242</v>
      </c>
      <c r="H175" s="298">
        <v>6.611729011010512</v>
      </c>
      <c r="I175" s="297">
        <v>5.3887578297858481</v>
      </c>
      <c r="J175" s="297">
        <v>2.4417242591296642</v>
      </c>
      <c r="K175" s="297">
        <v>7.8304820889155122</v>
      </c>
      <c r="L175" s="296">
        <v>5.6023659994474562</v>
      </c>
      <c r="M175" s="297">
        <v>1.1531142613969991</v>
      </c>
      <c r="N175" s="298">
        <v>6.7554802608444557</v>
      </c>
      <c r="O175" s="1"/>
      <c r="P175" s="274">
        <f t="shared" si="19"/>
        <v>5.3747109606175245</v>
      </c>
      <c r="Q175" s="275">
        <f t="shared" si="20"/>
        <v>7.0658971202568255</v>
      </c>
      <c r="R175" s="171"/>
    </row>
    <row r="176" spans="2:18">
      <c r="B176" s="94">
        <f t="shared" si="16"/>
        <v>2036</v>
      </c>
      <c r="C176" s="1">
        <f t="shared" si="17"/>
        <v>3</v>
      </c>
      <c r="D176" s="213">
        <v>49735</v>
      </c>
      <c r="E176" s="1" t="str">
        <f t="shared" si="18"/>
        <v>3-2036</v>
      </c>
      <c r="F176" s="296">
        <v>4.7118608071333608</v>
      </c>
      <c r="G176" s="297">
        <v>1.478719958391242</v>
      </c>
      <c r="H176" s="298">
        <v>6.1905807655246026</v>
      </c>
      <c r="I176" s="297">
        <v>4.9465566257369291</v>
      </c>
      <c r="J176" s="297">
        <v>2.4417242591296642</v>
      </c>
      <c r="K176" s="297">
        <v>7.3882808848665933</v>
      </c>
      <c r="L176" s="296">
        <v>5.142725292314112</v>
      </c>
      <c r="M176" s="297">
        <v>1.1531142613969991</v>
      </c>
      <c r="N176" s="298">
        <v>6.2958395537111116</v>
      </c>
      <c r="O176" s="1"/>
      <c r="P176" s="274">
        <f t="shared" si="19"/>
        <v>4.9337142417281337</v>
      </c>
      <c r="Q176" s="275">
        <f t="shared" si="20"/>
        <v>6.6249004013674364</v>
      </c>
      <c r="R176" s="171"/>
    </row>
    <row r="177" spans="2:18">
      <c r="B177" s="94">
        <f t="shared" si="16"/>
        <v>2036</v>
      </c>
      <c r="C177" s="1">
        <f t="shared" si="17"/>
        <v>4</v>
      </c>
      <c r="D177" s="213">
        <v>49766</v>
      </c>
      <c r="E177" s="1" t="str">
        <f t="shared" si="18"/>
        <v>4-2036</v>
      </c>
      <c r="F177" s="296">
        <v>4.631435481520616</v>
      </c>
      <c r="G177" s="297">
        <v>1.478719958391242</v>
      </c>
      <c r="H177" s="298">
        <v>6.1101554399118578</v>
      </c>
      <c r="I177" s="297">
        <v>4.8620569957810211</v>
      </c>
      <c r="J177" s="297">
        <v>2.4417242591296642</v>
      </c>
      <c r="K177" s="297">
        <v>7.3037812549106853</v>
      </c>
      <c r="L177" s="296">
        <v>5.0549622769114668</v>
      </c>
      <c r="M177" s="297">
        <v>1.1531142613969991</v>
      </c>
      <c r="N177" s="298">
        <v>6.2080765383084664</v>
      </c>
      <c r="O177" s="1"/>
      <c r="P177" s="274">
        <f t="shared" si="19"/>
        <v>4.8494849180710347</v>
      </c>
      <c r="Q177" s="275">
        <f t="shared" si="20"/>
        <v>6.5406710777103356</v>
      </c>
      <c r="R177" s="171"/>
    </row>
    <row r="178" spans="2:18">
      <c r="B178" s="94">
        <f t="shared" si="16"/>
        <v>2036</v>
      </c>
      <c r="C178" s="1">
        <f t="shared" si="17"/>
        <v>5</v>
      </c>
      <c r="D178" s="213">
        <v>49796</v>
      </c>
      <c r="E178" s="1" t="str">
        <f t="shared" si="18"/>
        <v>5-2036</v>
      </c>
      <c r="F178" s="296">
        <v>4.7923634608783932</v>
      </c>
      <c r="G178" s="297">
        <v>1.478719958391242</v>
      </c>
      <c r="H178" s="298">
        <v>6.271083419269635</v>
      </c>
      <c r="I178" s="297">
        <v>5.0309276144807686</v>
      </c>
      <c r="J178" s="297">
        <v>2.4417242591296642</v>
      </c>
      <c r="K178" s="297">
        <v>7.4726518736104328</v>
      </c>
      <c r="L178" s="296">
        <v>5.2306236812045146</v>
      </c>
      <c r="M178" s="297">
        <v>1.1531142613969991</v>
      </c>
      <c r="N178" s="298">
        <v>6.3837379426015133</v>
      </c>
      <c r="O178" s="1"/>
      <c r="P178" s="274">
        <f t="shared" si="19"/>
        <v>5.0179715855212255</v>
      </c>
      <c r="Q178" s="275">
        <f t="shared" si="20"/>
        <v>6.7091577451605273</v>
      </c>
      <c r="R178" s="171"/>
    </row>
    <row r="179" spans="2:18">
      <c r="B179" s="94">
        <f t="shared" si="16"/>
        <v>2036</v>
      </c>
      <c r="C179" s="1">
        <f t="shared" si="17"/>
        <v>6</v>
      </c>
      <c r="D179" s="213">
        <v>49827</v>
      </c>
      <c r="E179" s="1" t="str">
        <f t="shared" si="18"/>
        <v>6-2036</v>
      </c>
      <c r="F179" s="296">
        <v>4.9159902231674568</v>
      </c>
      <c r="G179" s="297">
        <v>1.478719958391242</v>
      </c>
      <c r="H179" s="298">
        <v>6.3947101815586986</v>
      </c>
      <c r="I179" s="297">
        <v>5.1606359449152031</v>
      </c>
      <c r="J179" s="297">
        <v>2.4417242591296642</v>
      </c>
      <c r="K179" s="297">
        <v>7.6023602040448672</v>
      </c>
      <c r="L179" s="296">
        <v>5.3655737069885392</v>
      </c>
      <c r="M179" s="297">
        <v>1.1531142613969991</v>
      </c>
      <c r="N179" s="298">
        <v>6.5186879683855388</v>
      </c>
      <c r="O179" s="1"/>
      <c r="P179" s="274">
        <f t="shared" si="19"/>
        <v>5.1473999583570667</v>
      </c>
      <c r="Q179" s="275">
        <f t="shared" si="20"/>
        <v>6.8385861179963685</v>
      </c>
      <c r="R179" s="171"/>
    </row>
    <row r="180" spans="2:18">
      <c r="B180" s="94">
        <f t="shared" si="16"/>
        <v>2036</v>
      </c>
      <c r="C180" s="1">
        <f t="shared" si="17"/>
        <v>7</v>
      </c>
      <c r="D180" s="213">
        <v>49857</v>
      </c>
      <c r="E180" s="1" t="str">
        <f t="shared" si="18"/>
        <v>7-2036</v>
      </c>
      <c r="F180" s="296">
        <v>4.9547233165520961</v>
      </c>
      <c r="G180" s="297">
        <v>1.478719958391242</v>
      </c>
      <c r="H180" s="298">
        <v>6.4334432749433379</v>
      </c>
      <c r="I180" s="297">
        <v>5.2012234365555008</v>
      </c>
      <c r="J180" s="297">
        <v>2.4417242591296642</v>
      </c>
      <c r="K180" s="297">
        <v>7.642947695685165</v>
      </c>
      <c r="L180" s="296">
        <v>5.407866844229261</v>
      </c>
      <c r="M180" s="297">
        <v>1.1531142613969991</v>
      </c>
      <c r="N180" s="298">
        <v>6.5609811056262597</v>
      </c>
      <c r="O180" s="1"/>
      <c r="P180" s="274">
        <f t="shared" si="19"/>
        <v>5.1879378657789523</v>
      </c>
      <c r="Q180" s="275">
        <f t="shared" si="20"/>
        <v>6.8791240254182542</v>
      </c>
      <c r="R180" s="171"/>
    </row>
    <row r="181" spans="2:18">
      <c r="B181" s="94">
        <f t="shared" si="16"/>
        <v>2036</v>
      </c>
      <c r="C181" s="1">
        <f t="shared" si="17"/>
        <v>8</v>
      </c>
      <c r="D181" s="213">
        <v>49888</v>
      </c>
      <c r="E181" s="1" t="str">
        <f t="shared" si="18"/>
        <v>8-2036</v>
      </c>
      <c r="F181" s="296">
        <v>4.9161871146393095</v>
      </c>
      <c r="G181" s="297">
        <v>1.478719958391242</v>
      </c>
      <c r="H181" s="298">
        <v>6.3949070730305513</v>
      </c>
      <c r="I181" s="297">
        <v>5.160697427546836</v>
      </c>
      <c r="J181" s="297">
        <v>2.4417242591296642</v>
      </c>
      <c r="K181" s="297">
        <v>7.6024216866765002</v>
      </c>
      <c r="L181" s="296">
        <v>5.3658238817170991</v>
      </c>
      <c r="M181" s="297">
        <v>1.1531142613969991</v>
      </c>
      <c r="N181" s="298">
        <v>6.5189381431140987</v>
      </c>
      <c r="O181" s="1"/>
      <c r="P181" s="274">
        <f t="shared" si="19"/>
        <v>5.1475694746344152</v>
      </c>
      <c r="Q181" s="275">
        <f t="shared" si="20"/>
        <v>6.838755634273717</v>
      </c>
      <c r="R181" s="171"/>
    </row>
    <row r="182" spans="2:18">
      <c r="B182" s="94">
        <f t="shared" si="16"/>
        <v>2036</v>
      </c>
      <c r="C182" s="1">
        <f t="shared" si="17"/>
        <v>9</v>
      </c>
      <c r="D182" s="213">
        <v>49919</v>
      </c>
      <c r="E182" s="1" t="str">
        <f t="shared" si="18"/>
        <v>9-2036</v>
      </c>
      <c r="F182" s="296">
        <v>4.9850683786598537</v>
      </c>
      <c r="G182" s="297">
        <v>1.478719958391242</v>
      </c>
      <c r="H182" s="298">
        <v>6.4637883370510956</v>
      </c>
      <c r="I182" s="297">
        <v>5.232930911709488</v>
      </c>
      <c r="J182" s="297">
        <v>2.4417242591296642</v>
      </c>
      <c r="K182" s="297">
        <v>7.6746551708391522</v>
      </c>
      <c r="L182" s="296">
        <v>5.4410229489975004</v>
      </c>
      <c r="M182" s="297">
        <v>1.1531142613969991</v>
      </c>
      <c r="N182" s="298">
        <v>6.5941372103945</v>
      </c>
      <c r="O182" s="1"/>
      <c r="P182" s="274">
        <f t="shared" si="19"/>
        <v>5.2196740797889474</v>
      </c>
      <c r="Q182" s="275">
        <f t="shared" si="20"/>
        <v>6.9108602394282492</v>
      </c>
      <c r="R182" s="171"/>
    </row>
    <row r="183" spans="2:18">
      <c r="B183" s="94">
        <f t="shared" si="16"/>
        <v>2036</v>
      </c>
      <c r="C183" s="1">
        <f t="shared" si="17"/>
        <v>10</v>
      </c>
      <c r="D183" s="213">
        <v>49949</v>
      </c>
      <c r="E183" s="1" t="str">
        <f t="shared" si="18"/>
        <v>10-2036</v>
      </c>
      <c r="F183" s="296">
        <v>4.9560742152836239</v>
      </c>
      <c r="G183" s="297">
        <v>1.478719958391242</v>
      </c>
      <c r="H183" s="298">
        <v>6.4347941736748657</v>
      </c>
      <c r="I183" s="297">
        <v>5.2024219021031008</v>
      </c>
      <c r="J183" s="297">
        <v>2.4417242591296642</v>
      </c>
      <c r="K183" s="297">
        <v>7.644146161232765</v>
      </c>
      <c r="L183" s="296">
        <v>5.4093946519257523</v>
      </c>
      <c r="M183" s="297">
        <v>1.1531142613969991</v>
      </c>
      <c r="N183" s="298">
        <v>6.5625089133227519</v>
      </c>
      <c r="O183" s="1"/>
      <c r="P183" s="274">
        <f t="shared" si="19"/>
        <v>5.189296923104159</v>
      </c>
      <c r="Q183" s="275">
        <f t="shared" si="20"/>
        <v>6.8804830827434609</v>
      </c>
      <c r="R183" s="171"/>
    </row>
    <row r="184" spans="2:18">
      <c r="B184" s="94">
        <f t="shared" si="16"/>
        <v>2036</v>
      </c>
      <c r="C184" s="1">
        <f t="shared" si="17"/>
        <v>11</v>
      </c>
      <c r="D184" s="213">
        <v>49980</v>
      </c>
      <c r="E184" s="1" t="str">
        <f t="shared" si="18"/>
        <v>11-2036</v>
      </c>
      <c r="F184" s="296">
        <v>5.2007563927612352</v>
      </c>
      <c r="G184" s="297">
        <v>1.478719958391242</v>
      </c>
      <c r="H184" s="298">
        <v>6.6794763511524771</v>
      </c>
      <c r="I184" s="297">
        <v>5.4591894465923563</v>
      </c>
      <c r="J184" s="297">
        <v>2.4417242591296642</v>
      </c>
      <c r="K184" s="297">
        <v>7.9009137057220205</v>
      </c>
      <c r="L184" s="296">
        <v>5.6764760038833888</v>
      </c>
      <c r="M184" s="297">
        <v>1.1531142613969991</v>
      </c>
      <c r="N184" s="298">
        <v>6.8295902652803875</v>
      </c>
      <c r="O184" s="1"/>
      <c r="P184" s="274">
        <f t="shared" si="19"/>
        <v>5.4454739477456604</v>
      </c>
      <c r="Q184" s="275">
        <f t="shared" si="20"/>
        <v>7.1366601073849623</v>
      </c>
      <c r="R184" s="171"/>
    </row>
    <row r="185" spans="2:18">
      <c r="B185" s="94">
        <f t="shared" si="16"/>
        <v>2036</v>
      </c>
      <c r="C185" s="1">
        <f t="shared" si="17"/>
        <v>12</v>
      </c>
      <c r="D185" s="213">
        <v>50010</v>
      </c>
      <c r="E185" s="1" t="str">
        <f t="shared" si="18"/>
        <v>12-2036</v>
      </c>
      <c r="F185" s="296">
        <v>5.2423053303996054</v>
      </c>
      <c r="G185" s="297">
        <v>1.478719958391242</v>
      </c>
      <c r="H185" s="298">
        <v>6.7210252887908473</v>
      </c>
      <c r="I185" s="297">
        <v>5.5027255240148989</v>
      </c>
      <c r="J185" s="297">
        <v>2.4417242591296642</v>
      </c>
      <c r="K185" s="297">
        <v>7.9444497831445631</v>
      </c>
      <c r="L185" s="296">
        <v>5.7218442988923943</v>
      </c>
      <c r="M185" s="297">
        <v>1.1531142613969991</v>
      </c>
      <c r="N185" s="298">
        <v>6.874958560289393</v>
      </c>
      <c r="O185" s="1"/>
      <c r="P185" s="274">
        <f t="shared" si="19"/>
        <v>5.4889583844356338</v>
      </c>
      <c r="Q185" s="275">
        <f t="shared" si="20"/>
        <v>7.1801445440749347</v>
      </c>
      <c r="R185" s="171"/>
    </row>
    <row r="186" spans="2:18">
      <c r="B186" s="94">
        <f t="shared" si="16"/>
        <v>2037</v>
      </c>
      <c r="C186" s="1">
        <f t="shared" si="17"/>
        <v>1</v>
      </c>
      <c r="D186" s="213">
        <v>50041</v>
      </c>
      <c r="E186" s="1" t="str">
        <f t="shared" si="18"/>
        <v>1-2037</v>
      </c>
      <c r="F186" s="296">
        <v>5.2427147885836574</v>
      </c>
      <c r="G186" s="297">
        <v>1.5378687567268918</v>
      </c>
      <c r="H186" s="298">
        <v>6.7805835453105487</v>
      </c>
      <c r="I186" s="297">
        <v>5.5031039767966554</v>
      </c>
      <c r="J186" s="297">
        <v>2.5393932294948511</v>
      </c>
      <c r="K186" s="297">
        <v>8.0424972062915074</v>
      </c>
      <c r="L186" s="296">
        <v>5.721677516440697</v>
      </c>
      <c r="M186" s="297">
        <v>1.1992388318528791</v>
      </c>
      <c r="N186" s="298">
        <v>6.9209163482935763</v>
      </c>
      <c r="O186" s="1"/>
      <c r="P186" s="274">
        <f t="shared" si="19"/>
        <v>5.4891654272736696</v>
      </c>
      <c r="Q186" s="275">
        <f t="shared" si="20"/>
        <v>7.2479990332985444</v>
      </c>
      <c r="R186" s="171"/>
    </row>
    <row r="187" spans="2:18">
      <c r="B187" s="94">
        <f t="shared" si="16"/>
        <v>2037</v>
      </c>
      <c r="C187" s="1">
        <f t="shared" si="17"/>
        <v>2</v>
      </c>
      <c r="D187" s="213">
        <v>50072</v>
      </c>
      <c r="E187" s="1" t="str">
        <f t="shared" si="18"/>
        <v>2-2037</v>
      </c>
      <c r="F187" s="296">
        <v>5.127869019880583</v>
      </c>
      <c r="G187" s="297">
        <v>1.5378687567268918</v>
      </c>
      <c r="H187" s="298">
        <v>6.6657377766074752</v>
      </c>
      <c r="I187" s="297">
        <v>5.3825039558797982</v>
      </c>
      <c r="J187" s="297">
        <v>2.5393932294948511</v>
      </c>
      <c r="K187" s="297">
        <v>7.9218971853746494</v>
      </c>
      <c r="L187" s="296">
        <v>5.5957394158633145</v>
      </c>
      <c r="M187" s="297">
        <v>1.1992388318528791</v>
      </c>
      <c r="N187" s="298">
        <v>6.7949782477161937</v>
      </c>
      <c r="O187" s="1"/>
      <c r="P187" s="274">
        <f t="shared" si="19"/>
        <v>5.3687041305412322</v>
      </c>
      <c r="Q187" s="275">
        <f t="shared" si="20"/>
        <v>7.127537736566107</v>
      </c>
      <c r="R187" s="171"/>
    </row>
    <row r="188" spans="2:18">
      <c r="B188" s="94">
        <f t="shared" si="16"/>
        <v>2037</v>
      </c>
      <c r="C188" s="1">
        <f t="shared" si="17"/>
        <v>3</v>
      </c>
      <c r="D188" s="213">
        <v>50100</v>
      </c>
      <c r="E188" s="1" t="str">
        <f t="shared" si="18"/>
        <v>3-2037</v>
      </c>
      <c r="F188" s="296">
        <v>4.707489825192992</v>
      </c>
      <c r="G188" s="297">
        <v>1.5378687567268918</v>
      </c>
      <c r="H188" s="298">
        <v>6.2453585819198842</v>
      </c>
      <c r="I188" s="297">
        <v>4.9412038552150257</v>
      </c>
      <c r="J188" s="297">
        <v>2.5393932294948511</v>
      </c>
      <c r="K188" s="297">
        <v>7.4805970847098768</v>
      </c>
      <c r="L188" s="296">
        <v>5.1364534337270866</v>
      </c>
      <c r="M188" s="297">
        <v>1.1992388318528791</v>
      </c>
      <c r="N188" s="298">
        <v>6.3356922655799659</v>
      </c>
      <c r="O188" s="1"/>
      <c r="P188" s="274">
        <f t="shared" si="19"/>
        <v>4.9283823713783681</v>
      </c>
      <c r="Q188" s="275">
        <f t="shared" si="20"/>
        <v>6.687215977403242</v>
      </c>
      <c r="R188" s="171"/>
    </row>
    <row r="189" spans="2:18">
      <c r="B189" s="94">
        <f t="shared" si="16"/>
        <v>2037</v>
      </c>
      <c r="C189" s="1">
        <f t="shared" si="17"/>
        <v>4</v>
      </c>
      <c r="D189" s="213">
        <v>50131</v>
      </c>
      <c r="E189" s="1" t="str">
        <f t="shared" si="18"/>
        <v>4-2037</v>
      </c>
      <c r="F189" s="296">
        <v>4.6274805698093173</v>
      </c>
      <c r="G189" s="297">
        <v>1.5378687567268918</v>
      </c>
      <c r="H189" s="298">
        <v>6.1653493265362087</v>
      </c>
      <c r="I189" s="297">
        <v>4.8571770320988712</v>
      </c>
      <c r="J189" s="297">
        <v>2.5393932294948511</v>
      </c>
      <c r="K189" s="297">
        <v>7.3965702615937223</v>
      </c>
      <c r="L189" s="296">
        <v>5.0486116939874828</v>
      </c>
      <c r="M189" s="297">
        <v>1.1992388318528791</v>
      </c>
      <c r="N189" s="298">
        <v>6.247850525840362</v>
      </c>
      <c r="O189" s="1"/>
      <c r="P189" s="274">
        <f t="shared" si="19"/>
        <v>4.8444230986318901</v>
      </c>
      <c r="Q189" s="275">
        <f t="shared" si="20"/>
        <v>6.603256704656765</v>
      </c>
      <c r="R189" s="171"/>
    </row>
    <row r="190" spans="2:18">
      <c r="B190" s="94">
        <f t="shared" si="16"/>
        <v>2037</v>
      </c>
      <c r="C190" s="1">
        <f t="shared" si="17"/>
        <v>5</v>
      </c>
      <c r="D190" s="213">
        <v>50161</v>
      </c>
      <c r="E190" s="1" t="str">
        <f t="shared" si="18"/>
        <v>5-2037</v>
      </c>
      <c r="F190" s="296">
        <v>4.7886245240129544</v>
      </c>
      <c r="G190" s="297">
        <v>1.5378687567268918</v>
      </c>
      <c r="H190" s="298">
        <v>6.3264932807398466</v>
      </c>
      <c r="I190" s="297">
        <v>5.0262728587855605</v>
      </c>
      <c r="J190" s="297">
        <v>2.5393932294948511</v>
      </c>
      <c r="K190" s="297">
        <v>7.5656660882804116</v>
      </c>
      <c r="L190" s="296">
        <v>5.2238601664937674</v>
      </c>
      <c r="M190" s="297">
        <v>1.1992388318528791</v>
      </c>
      <c r="N190" s="298">
        <v>6.4230989983466467</v>
      </c>
      <c r="O190" s="1"/>
      <c r="P190" s="274">
        <f t="shared" si="19"/>
        <v>5.0129191830974271</v>
      </c>
      <c r="Q190" s="275">
        <f t="shared" si="20"/>
        <v>6.7717527891223019</v>
      </c>
      <c r="R190" s="171"/>
    </row>
    <row r="191" spans="2:18">
      <c r="B191" s="94">
        <f t="shared" si="16"/>
        <v>2037</v>
      </c>
      <c r="C191" s="1">
        <f t="shared" si="17"/>
        <v>6</v>
      </c>
      <c r="D191" s="213">
        <v>50192</v>
      </c>
      <c r="E191" s="1" t="str">
        <f t="shared" si="18"/>
        <v>6-2037</v>
      </c>
      <c r="F191" s="296">
        <v>4.9125174159698553</v>
      </c>
      <c r="G191" s="297">
        <v>1.5378687567268918</v>
      </c>
      <c r="H191" s="298">
        <v>6.4503861726967475</v>
      </c>
      <c r="I191" s="297">
        <v>5.1562661451678427</v>
      </c>
      <c r="J191" s="297">
        <v>2.5393932294948511</v>
      </c>
      <c r="K191" s="297">
        <v>7.6956593746626938</v>
      </c>
      <c r="L191" s="296">
        <v>5.3584384500355462</v>
      </c>
      <c r="M191" s="297">
        <v>1.1992388318528791</v>
      </c>
      <c r="N191" s="298">
        <v>6.5576772818884255</v>
      </c>
      <c r="O191" s="1"/>
      <c r="P191" s="274">
        <f t="shared" si="19"/>
        <v>5.1424073370577483</v>
      </c>
      <c r="Q191" s="275">
        <f t="shared" si="20"/>
        <v>6.9012409430826223</v>
      </c>
      <c r="R191" s="171"/>
    </row>
    <row r="192" spans="2:18">
      <c r="B192" s="94">
        <f t="shared" si="16"/>
        <v>2037</v>
      </c>
      <c r="C192" s="1">
        <f t="shared" si="17"/>
        <v>7</v>
      </c>
      <c r="D192" s="213">
        <v>50222</v>
      </c>
      <c r="E192" s="1" t="str">
        <f t="shared" si="18"/>
        <v>7-2037</v>
      </c>
      <c r="F192" s="296">
        <v>4.9515886554843824</v>
      </c>
      <c r="G192" s="297">
        <v>1.5378687567268918</v>
      </c>
      <c r="H192" s="298">
        <v>6.4894574122112747</v>
      </c>
      <c r="I192" s="297">
        <v>5.1972275095108049</v>
      </c>
      <c r="J192" s="297">
        <v>2.5393932294948511</v>
      </c>
      <c r="K192" s="297">
        <v>7.7366207390056561</v>
      </c>
      <c r="L192" s="296">
        <v>5.4004765097762251</v>
      </c>
      <c r="M192" s="297">
        <v>1.1992388318528791</v>
      </c>
      <c r="N192" s="298">
        <v>6.5997153416291043</v>
      </c>
      <c r="O192" s="1"/>
      <c r="P192" s="274">
        <f t="shared" si="19"/>
        <v>5.1830975582571375</v>
      </c>
      <c r="Q192" s="275">
        <f t="shared" si="20"/>
        <v>6.9419311642820114</v>
      </c>
      <c r="R192" s="171"/>
    </row>
    <row r="193" spans="2:18">
      <c r="B193" s="94">
        <f t="shared" si="16"/>
        <v>2037</v>
      </c>
      <c r="C193" s="1">
        <f t="shared" si="17"/>
        <v>8</v>
      </c>
      <c r="D193" s="213">
        <v>50253</v>
      </c>
      <c r="E193" s="1" t="str">
        <f t="shared" si="18"/>
        <v>8-2037</v>
      </c>
      <c r="F193" s="296">
        <v>4.9134395689978501</v>
      </c>
      <c r="G193" s="297">
        <v>1.5378687567268918</v>
      </c>
      <c r="H193" s="298">
        <v>6.4513083257247423</v>
      </c>
      <c r="I193" s="297">
        <v>5.1571377838473751</v>
      </c>
      <c r="J193" s="297">
        <v>2.5393932294948511</v>
      </c>
      <c r="K193" s="297">
        <v>7.6965310133422262</v>
      </c>
      <c r="L193" s="296">
        <v>5.3582936768959719</v>
      </c>
      <c r="M193" s="297">
        <v>1.1992388318528791</v>
      </c>
      <c r="N193" s="298">
        <v>6.5575325087488512</v>
      </c>
      <c r="O193" s="1"/>
      <c r="P193" s="274">
        <f t="shared" si="19"/>
        <v>5.1429570099137321</v>
      </c>
      <c r="Q193" s="275">
        <f t="shared" si="20"/>
        <v>6.901790615938606</v>
      </c>
      <c r="R193" s="171"/>
    </row>
    <row r="194" spans="2:18">
      <c r="B194" s="94">
        <f t="shared" si="16"/>
        <v>2037</v>
      </c>
      <c r="C194" s="1">
        <f t="shared" si="17"/>
        <v>9</v>
      </c>
      <c r="D194" s="213">
        <v>50284</v>
      </c>
      <c r="E194" s="1" t="str">
        <f t="shared" si="18"/>
        <v>9-2037</v>
      </c>
      <c r="F194" s="296">
        <v>4.9826502247128124</v>
      </c>
      <c r="G194" s="297">
        <v>1.5378687567268918</v>
      </c>
      <c r="H194" s="298">
        <v>6.5205189814397038</v>
      </c>
      <c r="I194" s="297">
        <v>5.2297323538756757</v>
      </c>
      <c r="J194" s="297">
        <v>2.5393932294948511</v>
      </c>
      <c r="K194" s="297">
        <v>7.7691255833705268</v>
      </c>
      <c r="L194" s="296">
        <v>5.4331870842202532</v>
      </c>
      <c r="M194" s="297">
        <v>1.1992388318528791</v>
      </c>
      <c r="N194" s="298">
        <v>6.6324259160731325</v>
      </c>
      <c r="O194" s="1"/>
      <c r="P194" s="274">
        <f t="shared" si="19"/>
        <v>5.2151898876029144</v>
      </c>
      <c r="Q194" s="275">
        <f t="shared" si="20"/>
        <v>6.9740234936277874</v>
      </c>
      <c r="R194" s="171"/>
    </row>
    <row r="195" spans="2:18">
      <c r="B195" s="94">
        <f t="shared" si="16"/>
        <v>2037</v>
      </c>
      <c r="C195" s="1">
        <f t="shared" si="17"/>
        <v>10</v>
      </c>
      <c r="D195" s="213">
        <v>50314</v>
      </c>
      <c r="E195" s="1" t="str">
        <f t="shared" si="18"/>
        <v>10-2037</v>
      </c>
      <c r="F195" s="296">
        <v>4.9540359440633921</v>
      </c>
      <c r="G195" s="297">
        <v>1.5378687567268918</v>
      </c>
      <c r="H195" s="298">
        <v>6.4919047007902844</v>
      </c>
      <c r="I195" s="297">
        <v>5.1996505962409714</v>
      </c>
      <c r="J195" s="297">
        <v>2.5393932294948511</v>
      </c>
      <c r="K195" s="297">
        <v>7.7390438257358225</v>
      </c>
      <c r="L195" s="296">
        <v>5.401405334727734</v>
      </c>
      <c r="M195" s="297">
        <v>1.1992388318528791</v>
      </c>
      <c r="N195" s="298">
        <v>6.6006441665806133</v>
      </c>
      <c r="O195" s="1"/>
      <c r="P195" s="274">
        <f t="shared" si="19"/>
        <v>5.1850306250106994</v>
      </c>
      <c r="Q195" s="275">
        <f t="shared" si="20"/>
        <v>6.9438642310355734</v>
      </c>
      <c r="R195" s="171"/>
    </row>
    <row r="196" spans="2:18">
      <c r="B196" s="94">
        <f t="shared" si="16"/>
        <v>2037</v>
      </c>
      <c r="C196" s="1">
        <f t="shared" si="17"/>
        <v>11</v>
      </c>
      <c r="D196" s="213">
        <v>50345</v>
      </c>
      <c r="E196" s="1" t="str">
        <f t="shared" si="18"/>
        <v>11-2037</v>
      </c>
      <c r="F196" s="296">
        <v>5.1990014441004115</v>
      </c>
      <c r="G196" s="297">
        <v>1.5378687567268918</v>
      </c>
      <c r="H196" s="298">
        <v>6.7368702008273029</v>
      </c>
      <c r="I196" s="297">
        <v>5.4567102266612943</v>
      </c>
      <c r="J196" s="297">
        <v>2.5393932294948511</v>
      </c>
      <c r="K196" s="297">
        <v>7.9961034561561455</v>
      </c>
      <c r="L196" s="296">
        <v>5.6678833593819702</v>
      </c>
      <c r="M196" s="297">
        <v>1.1992388318528791</v>
      </c>
      <c r="N196" s="298">
        <v>6.8671221912348495</v>
      </c>
      <c r="O196" s="1"/>
      <c r="P196" s="274">
        <f t="shared" si="19"/>
        <v>5.4411983433812248</v>
      </c>
      <c r="Q196" s="275">
        <f t="shared" si="20"/>
        <v>7.2000319494060996</v>
      </c>
      <c r="R196" s="171"/>
    </row>
    <row r="197" spans="2:18">
      <c r="B197" s="94">
        <f t="shared" si="16"/>
        <v>2037</v>
      </c>
      <c r="C197" s="1">
        <f t="shared" si="17"/>
        <v>12</v>
      </c>
      <c r="D197" s="213">
        <v>50375</v>
      </c>
      <c r="E197" s="1" t="str">
        <f t="shared" si="18"/>
        <v>12-2037</v>
      </c>
      <c r="F197" s="296">
        <v>5.2409234553435518</v>
      </c>
      <c r="G197" s="297">
        <v>1.5378687567268918</v>
      </c>
      <c r="H197" s="298">
        <v>6.778792212070444</v>
      </c>
      <c r="I197" s="297">
        <v>5.5006589127005778</v>
      </c>
      <c r="J197" s="297">
        <v>2.5393932294948511</v>
      </c>
      <c r="K197" s="297">
        <v>8.0400521421954281</v>
      </c>
      <c r="L197" s="296">
        <v>5.7129724049493502</v>
      </c>
      <c r="M197" s="297">
        <v>1.1992388318528791</v>
      </c>
      <c r="N197" s="298">
        <v>6.9122112368022295</v>
      </c>
      <c r="O197" s="1"/>
      <c r="P197" s="274">
        <f t="shared" si="19"/>
        <v>5.4848515909978266</v>
      </c>
      <c r="Q197" s="275">
        <f t="shared" si="20"/>
        <v>7.2436851970227005</v>
      </c>
      <c r="R197" s="171"/>
    </row>
    <row r="198" spans="2:18">
      <c r="B198" s="94">
        <f t="shared" si="16"/>
        <v>2038</v>
      </c>
      <c r="C198" s="1">
        <f t="shared" si="17"/>
        <v>1</v>
      </c>
      <c r="D198" s="213">
        <v>50406</v>
      </c>
      <c r="E198" s="1" t="str">
        <f t="shared" si="18"/>
        <v>1-2038</v>
      </c>
      <c r="F198" s="296">
        <v>5.2413426406584991</v>
      </c>
      <c r="G198" s="297">
        <v>1.5993835069959674</v>
      </c>
      <c r="H198" s="298">
        <v>6.8407261476544665</v>
      </c>
      <c r="I198" s="297">
        <v>5.501047622432429</v>
      </c>
      <c r="J198" s="297">
        <v>2.6409689586746454</v>
      </c>
      <c r="K198" s="297">
        <v>8.1420165811070753</v>
      </c>
      <c r="L198" s="296">
        <v>5.7128715760684585</v>
      </c>
      <c r="M198" s="297">
        <v>1.2472083851269944</v>
      </c>
      <c r="N198" s="298">
        <v>6.9600799611954525</v>
      </c>
      <c r="O198" s="1"/>
      <c r="P198" s="274">
        <f t="shared" si="19"/>
        <v>5.4850872797197958</v>
      </c>
      <c r="Q198" s="275">
        <f t="shared" si="20"/>
        <v>7.3142742299856645</v>
      </c>
      <c r="R198" s="171"/>
    </row>
    <row r="199" spans="2:18">
      <c r="B199" s="94">
        <f t="shared" ref="B199:B245" si="21">YEAR(D199)</f>
        <v>2038</v>
      </c>
      <c r="C199" s="1">
        <f t="shared" ref="C199:C245" si="22">MONTH(D199)</f>
        <v>2</v>
      </c>
      <c r="D199" s="213">
        <v>50437</v>
      </c>
      <c r="E199" s="1" t="str">
        <f t="shared" ref="E199:E262" si="23">C199&amp;"-"&amp;B199</f>
        <v>2-2038</v>
      </c>
      <c r="F199" s="296">
        <v>5.126536549971326</v>
      </c>
      <c r="G199" s="297">
        <v>1.5993835069959674</v>
      </c>
      <c r="H199" s="298">
        <v>6.7259200569672934</v>
      </c>
      <c r="I199" s="297">
        <v>5.3805028381577076</v>
      </c>
      <c r="J199" s="297">
        <v>2.6409689586746454</v>
      </c>
      <c r="K199" s="297">
        <v>8.021471796832353</v>
      </c>
      <c r="L199" s="296">
        <v>5.5871915659468812</v>
      </c>
      <c r="M199" s="297">
        <v>1.2472083851269944</v>
      </c>
      <c r="N199" s="298">
        <v>6.8343999510738751</v>
      </c>
      <c r="O199" s="1"/>
      <c r="P199" s="274">
        <f t="shared" ref="P199:P262" si="24">AVERAGE(F199,I199,L199)</f>
        <v>5.364743651358638</v>
      </c>
      <c r="Q199" s="275">
        <f t="shared" ref="Q199:Q262" si="25">AVERAGE(H199,K199,N199)</f>
        <v>7.1939306016245075</v>
      </c>
      <c r="R199" s="171"/>
    </row>
    <row r="200" spans="2:18">
      <c r="B200" s="94">
        <f t="shared" si="21"/>
        <v>2038</v>
      </c>
      <c r="C200" s="1">
        <f t="shared" si="22"/>
        <v>3</v>
      </c>
      <c r="D200" s="213">
        <v>50465</v>
      </c>
      <c r="E200" s="1" t="str">
        <f t="shared" si="23"/>
        <v>3-2038</v>
      </c>
      <c r="F200" s="296">
        <v>4.7062754220412009</v>
      </c>
      <c r="G200" s="297">
        <v>1.5993835069959674</v>
      </c>
      <c r="H200" s="298">
        <v>6.3056589290371683</v>
      </c>
      <c r="I200" s="297">
        <v>4.9393761433394774</v>
      </c>
      <c r="J200" s="297">
        <v>2.6409689586746454</v>
      </c>
      <c r="K200" s="297">
        <v>7.5803451020141228</v>
      </c>
      <c r="L200" s="296">
        <v>5.1286661785865792</v>
      </c>
      <c r="M200" s="297">
        <v>1.2472083851269944</v>
      </c>
      <c r="N200" s="298">
        <v>6.3758745637135732</v>
      </c>
      <c r="O200" s="1"/>
      <c r="P200" s="274">
        <f t="shared" si="24"/>
        <v>4.9247725813224195</v>
      </c>
      <c r="Q200" s="275">
        <f t="shared" si="25"/>
        <v>6.753959531588289</v>
      </c>
      <c r="R200" s="171"/>
    </row>
    <row r="201" spans="2:18">
      <c r="B201" s="94">
        <f t="shared" si="21"/>
        <v>2038</v>
      </c>
      <c r="C201" s="1">
        <f t="shared" si="22"/>
        <v>4</v>
      </c>
      <c r="D201" s="213">
        <v>50496</v>
      </c>
      <c r="E201" s="1" t="str">
        <f t="shared" si="23"/>
        <v>4-2038</v>
      </c>
      <c r="F201" s="296">
        <v>4.6262954889098555</v>
      </c>
      <c r="G201" s="297">
        <v>1.5993835069959674</v>
      </c>
      <c r="H201" s="298">
        <v>6.225678995905823</v>
      </c>
      <c r="I201" s="297">
        <v>4.8553895812883194</v>
      </c>
      <c r="J201" s="297">
        <v>2.6409689586746454</v>
      </c>
      <c r="K201" s="297">
        <v>7.4963585399629649</v>
      </c>
      <c r="L201" s="296">
        <v>5.041015625576982</v>
      </c>
      <c r="M201" s="297">
        <v>1.2472083851269944</v>
      </c>
      <c r="N201" s="298">
        <v>6.288224010703976</v>
      </c>
      <c r="O201" s="1"/>
      <c r="P201" s="274">
        <f t="shared" si="24"/>
        <v>4.840900231925052</v>
      </c>
      <c r="Q201" s="275">
        <f t="shared" si="25"/>
        <v>6.6700871821909216</v>
      </c>
      <c r="R201" s="171"/>
    </row>
    <row r="202" spans="2:18">
      <c r="B202" s="94">
        <f t="shared" si="21"/>
        <v>2038</v>
      </c>
      <c r="C202" s="1">
        <f t="shared" si="22"/>
        <v>5</v>
      </c>
      <c r="D202" s="213">
        <v>50526</v>
      </c>
      <c r="E202" s="1" t="str">
        <f t="shared" si="23"/>
        <v>5-2038</v>
      </c>
      <c r="F202" s="296">
        <v>4.7874071595275884</v>
      </c>
      <c r="G202" s="297">
        <v>1.5993835069959674</v>
      </c>
      <c r="H202" s="298">
        <v>6.3867906665235559</v>
      </c>
      <c r="I202" s="297">
        <v>5.0244326807790713</v>
      </c>
      <c r="J202" s="297">
        <v>2.6409689586746454</v>
      </c>
      <c r="K202" s="297">
        <v>7.6654016394537168</v>
      </c>
      <c r="L202" s="296">
        <v>5.2160604629550074</v>
      </c>
      <c r="M202" s="297">
        <v>1.2472083851269944</v>
      </c>
      <c r="N202" s="298">
        <v>6.4632688480820022</v>
      </c>
      <c r="O202" s="1"/>
      <c r="P202" s="274">
        <f t="shared" si="24"/>
        <v>5.0093001010872227</v>
      </c>
      <c r="Q202" s="275">
        <f t="shared" si="25"/>
        <v>6.8384870513530913</v>
      </c>
      <c r="R202" s="171"/>
    </row>
    <row r="203" spans="2:18">
      <c r="B203" s="94">
        <f t="shared" si="21"/>
        <v>2038</v>
      </c>
      <c r="C203" s="1">
        <f t="shared" si="22"/>
        <v>6</v>
      </c>
      <c r="D203" s="213">
        <v>50557</v>
      </c>
      <c r="E203" s="1" t="str">
        <f t="shared" si="23"/>
        <v>6-2038</v>
      </c>
      <c r="F203" s="296">
        <v>4.911277773079922</v>
      </c>
      <c r="G203" s="297">
        <v>1.5993835069959674</v>
      </c>
      <c r="H203" s="298">
        <v>6.5106612800758894</v>
      </c>
      <c r="I203" s="297">
        <v>5.1543881218015581</v>
      </c>
      <c r="J203" s="297">
        <v>2.6409689586746454</v>
      </c>
      <c r="K203" s="297">
        <v>7.7953570804762036</v>
      </c>
      <c r="L203" s="296">
        <v>5.350499412667105</v>
      </c>
      <c r="M203" s="297">
        <v>1.2472083851269944</v>
      </c>
      <c r="N203" s="298">
        <v>6.597707797794099</v>
      </c>
      <c r="O203" s="1"/>
      <c r="P203" s="274">
        <f t="shared" si="24"/>
        <v>5.1387217691828617</v>
      </c>
      <c r="Q203" s="275">
        <f t="shared" si="25"/>
        <v>6.9679087194487304</v>
      </c>
      <c r="R203" s="171"/>
    </row>
    <row r="204" spans="2:18">
      <c r="B204" s="94">
        <f t="shared" si="21"/>
        <v>2038</v>
      </c>
      <c r="C204" s="1">
        <f t="shared" si="22"/>
        <v>7</v>
      </c>
      <c r="D204" s="213">
        <v>50587</v>
      </c>
      <c r="E204" s="1" t="str">
        <f t="shared" si="23"/>
        <v>7-2038</v>
      </c>
      <c r="F204" s="296">
        <v>4.9503484445884638</v>
      </c>
      <c r="G204" s="297">
        <v>1.5993835069959674</v>
      </c>
      <c r="H204" s="298">
        <v>6.5497319515844312</v>
      </c>
      <c r="I204" s="297">
        <v>5.1953443918964766</v>
      </c>
      <c r="J204" s="297">
        <v>2.6409689586746454</v>
      </c>
      <c r="K204" s="297">
        <v>7.836313350571122</v>
      </c>
      <c r="L204" s="296">
        <v>5.3925372922911556</v>
      </c>
      <c r="M204" s="297">
        <v>1.2472083851269944</v>
      </c>
      <c r="N204" s="298">
        <v>6.6397456774181496</v>
      </c>
      <c r="O204" s="1"/>
      <c r="P204" s="274">
        <f t="shared" si="24"/>
        <v>5.1794100429253653</v>
      </c>
      <c r="Q204" s="275">
        <f t="shared" si="25"/>
        <v>7.008596993191234</v>
      </c>
      <c r="R204" s="171"/>
    </row>
    <row r="205" spans="2:18">
      <c r="B205" s="94">
        <f t="shared" si="21"/>
        <v>2038</v>
      </c>
      <c r="C205" s="1">
        <f t="shared" si="22"/>
        <v>8</v>
      </c>
      <c r="D205" s="213">
        <v>50618</v>
      </c>
      <c r="E205" s="1" t="str">
        <f t="shared" si="23"/>
        <v>8-2038</v>
      </c>
      <c r="F205" s="296">
        <v>4.9122181333957329</v>
      </c>
      <c r="G205" s="297">
        <v>1.5993835069959674</v>
      </c>
      <c r="H205" s="298">
        <v>6.5116016403917003</v>
      </c>
      <c r="I205" s="297">
        <v>5.1552789415807894</v>
      </c>
      <c r="J205" s="297">
        <v>2.6409689586746454</v>
      </c>
      <c r="K205" s="297">
        <v>7.7962479002554348</v>
      </c>
      <c r="L205" s="296">
        <v>5.350478106344454</v>
      </c>
      <c r="M205" s="297">
        <v>1.2472083851269944</v>
      </c>
      <c r="N205" s="298">
        <v>6.5976864914714479</v>
      </c>
      <c r="O205" s="1"/>
      <c r="P205" s="274">
        <f t="shared" si="24"/>
        <v>5.1393250604403251</v>
      </c>
      <c r="Q205" s="275">
        <f t="shared" si="25"/>
        <v>6.9685120107061946</v>
      </c>
      <c r="R205" s="171"/>
    </row>
    <row r="206" spans="2:18">
      <c r="B206" s="94">
        <f t="shared" si="21"/>
        <v>2038</v>
      </c>
      <c r="C206" s="1">
        <f t="shared" si="22"/>
        <v>9</v>
      </c>
      <c r="D206" s="213">
        <v>50649</v>
      </c>
      <c r="E206" s="1" t="str">
        <f t="shared" si="23"/>
        <v>9-2038</v>
      </c>
      <c r="F206" s="296">
        <v>4.9814209344649178</v>
      </c>
      <c r="G206" s="297">
        <v>1.5993835069959674</v>
      </c>
      <c r="H206" s="298">
        <v>6.5808044414608853</v>
      </c>
      <c r="I206" s="297">
        <v>5.2278572330218642</v>
      </c>
      <c r="J206" s="297">
        <v>2.6409689586746454</v>
      </c>
      <c r="K206" s="297">
        <v>7.8688261916965097</v>
      </c>
      <c r="L206" s="296">
        <v>5.4253247864227339</v>
      </c>
      <c r="M206" s="297">
        <v>1.2472083851269944</v>
      </c>
      <c r="N206" s="298">
        <v>6.6725331715497287</v>
      </c>
      <c r="O206" s="1"/>
      <c r="P206" s="274">
        <f t="shared" si="24"/>
        <v>5.2115343179698392</v>
      </c>
      <c r="Q206" s="275">
        <f t="shared" si="25"/>
        <v>7.040721268235707</v>
      </c>
      <c r="R206" s="171"/>
    </row>
    <row r="207" spans="2:18">
      <c r="B207" s="94">
        <f t="shared" si="21"/>
        <v>2038</v>
      </c>
      <c r="C207" s="1">
        <f t="shared" si="22"/>
        <v>10</v>
      </c>
      <c r="D207" s="213">
        <v>50679</v>
      </c>
      <c r="E207" s="1" t="str">
        <f t="shared" si="23"/>
        <v>10-2038</v>
      </c>
      <c r="F207" s="296">
        <v>4.952823010556453</v>
      </c>
      <c r="G207" s="297">
        <v>1.5993835069959674</v>
      </c>
      <c r="H207" s="298">
        <v>6.5522065175524205</v>
      </c>
      <c r="I207" s="297">
        <v>5.1977960923946656</v>
      </c>
      <c r="J207" s="297">
        <v>2.6409689586746454</v>
      </c>
      <c r="K207" s="297">
        <v>7.838765051069311</v>
      </c>
      <c r="L207" s="296">
        <v>5.3936511900873123</v>
      </c>
      <c r="M207" s="297">
        <v>1.2472083851269944</v>
      </c>
      <c r="N207" s="298">
        <v>6.6408595752143071</v>
      </c>
      <c r="O207" s="1"/>
      <c r="P207" s="274">
        <f t="shared" si="24"/>
        <v>5.18142343101281</v>
      </c>
      <c r="Q207" s="275">
        <f t="shared" si="25"/>
        <v>7.0106103812786786</v>
      </c>
      <c r="R207" s="171"/>
    </row>
    <row r="208" spans="2:18">
      <c r="B208" s="94">
        <f t="shared" si="21"/>
        <v>2038</v>
      </c>
      <c r="C208" s="1">
        <f t="shared" si="22"/>
        <v>11</v>
      </c>
      <c r="D208" s="213">
        <v>50710</v>
      </c>
      <c r="E208" s="1" t="str">
        <f t="shared" si="23"/>
        <v>11-2038</v>
      </c>
      <c r="F208" s="296">
        <v>5.1977382912127901</v>
      </c>
      <c r="G208" s="297">
        <v>1.5993835069959674</v>
      </c>
      <c r="H208" s="298">
        <v>6.7971217982087575</v>
      </c>
      <c r="I208" s="297">
        <v>5.4547743579726014</v>
      </c>
      <c r="J208" s="297">
        <v>2.6409689586746454</v>
      </c>
      <c r="K208" s="297">
        <v>8.0957433166472477</v>
      </c>
      <c r="L208" s="296">
        <v>5.6598119102861038</v>
      </c>
      <c r="M208" s="297">
        <v>1.2472083851269944</v>
      </c>
      <c r="N208" s="298">
        <v>6.9070202954130977</v>
      </c>
      <c r="O208" s="1"/>
      <c r="P208" s="274">
        <f t="shared" si="24"/>
        <v>5.4374415198238317</v>
      </c>
      <c r="Q208" s="275">
        <f t="shared" si="25"/>
        <v>7.2666284700897004</v>
      </c>
      <c r="R208" s="171"/>
    </row>
    <row r="209" spans="2:18">
      <c r="B209" s="94">
        <f t="shared" si="21"/>
        <v>2038</v>
      </c>
      <c r="C209" s="1">
        <f t="shared" si="22"/>
        <v>12</v>
      </c>
      <c r="D209" s="213">
        <v>50740</v>
      </c>
      <c r="E209" s="1" t="str">
        <f t="shared" si="23"/>
        <v>12-2038</v>
      </c>
      <c r="F209" s="296">
        <v>5.2396599535128905</v>
      </c>
      <c r="G209" s="297">
        <v>1.5993835069959674</v>
      </c>
      <c r="H209" s="298">
        <v>6.8390434605088579</v>
      </c>
      <c r="I209" s="297">
        <v>5.4987178540268546</v>
      </c>
      <c r="J209" s="297">
        <v>2.6409689586746454</v>
      </c>
      <c r="K209" s="297">
        <v>8.1396868127015001</v>
      </c>
      <c r="L209" s="296">
        <v>5.7049025278970635</v>
      </c>
      <c r="M209" s="297">
        <v>1.2472083851269944</v>
      </c>
      <c r="N209" s="298">
        <v>6.9521109130240575</v>
      </c>
      <c r="O209" s="1"/>
      <c r="P209" s="274">
        <f t="shared" si="24"/>
        <v>5.4810934451456035</v>
      </c>
      <c r="Q209" s="275">
        <f t="shared" si="25"/>
        <v>7.3102803954114721</v>
      </c>
      <c r="R209" s="171"/>
    </row>
    <row r="210" spans="2:18">
      <c r="B210" s="94">
        <f t="shared" si="21"/>
        <v>2039</v>
      </c>
      <c r="C210" s="1">
        <f t="shared" si="22"/>
        <v>1</v>
      </c>
      <c r="D210" s="213">
        <v>50771</v>
      </c>
      <c r="E210" s="1" t="str">
        <f t="shared" si="23"/>
        <v>1-2039</v>
      </c>
      <c r="F210" s="296">
        <v>5.240078087577932</v>
      </c>
      <c r="G210" s="297">
        <v>1.6633588472758065</v>
      </c>
      <c r="H210" s="298">
        <v>6.9034369348537385</v>
      </c>
      <c r="I210" s="297">
        <v>5.4991019502432614</v>
      </c>
      <c r="J210" s="297">
        <v>2.7466077170216305</v>
      </c>
      <c r="K210" s="297">
        <v>8.245709667264892</v>
      </c>
      <c r="L210" s="296">
        <v>5.704895314314701</v>
      </c>
      <c r="M210" s="297">
        <v>1.2970967205320743</v>
      </c>
      <c r="N210" s="298">
        <v>7.0019920348467757</v>
      </c>
      <c r="O210" s="1"/>
      <c r="P210" s="274">
        <f t="shared" si="24"/>
        <v>5.4813584507119648</v>
      </c>
      <c r="Q210" s="275">
        <f t="shared" si="25"/>
        <v>7.3837128789884687</v>
      </c>
      <c r="R210" s="171"/>
    </row>
    <row r="211" spans="2:18">
      <c r="B211" s="94">
        <f t="shared" si="21"/>
        <v>2039</v>
      </c>
      <c r="C211" s="1">
        <f t="shared" si="22"/>
        <v>2</v>
      </c>
      <c r="D211" s="213">
        <v>50802</v>
      </c>
      <c r="E211" s="1" t="str">
        <f t="shared" si="23"/>
        <v>2-2039</v>
      </c>
      <c r="F211" s="296">
        <v>5.1252987661787213</v>
      </c>
      <c r="G211" s="297">
        <v>1.6633588472758065</v>
      </c>
      <c r="H211" s="298">
        <v>6.7886576134545278</v>
      </c>
      <c r="I211" s="297">
        <v>5.3785954230835822</v>
      </c>
      <c r="J211" s="297">
        <v>2.7466077170216305</v>
      </c>
      <c r="K211" s="297">
        <v>8.1252031401052136</v>
      </c>
      <c r="L211" s="296">
        <v>5.5794822155812005</v>
      </c>
      <c r="M211" s="297">
        <v>1.2970967205320743</v>
      </c>
      <c r="N211" s="298">
        <v>6.8765789361132743</v>
      </c>
      <c r="O211" s="1"/>
      <c r="P211" s="274">
        <f t="shared" si="24"/>
        <v>5.3611254682811689</v>
      </c>
      <c r="Q211" s="275">
        <f t="shared" si="25"/>
        <v>7.2634798965576719</v>
      </c>
      <c r="R211" s="171"/>
    </row>
    <row r="212" spans="2:18">
      <c r="B212" s="94">
        <f t="shared" si="21"/>
        <v>2039</v>
      </c>
      <c r="C212" s="1">
        <f t="shared" si="22"/>
        <v>3</v>
      </c>
      <c r="D212" s="213">
        <v>50830</v>
      </c>
      <c r="E212" s="1" t="str">
        <f t="shared" si="23"/>
        <v>3-2039</v>
      </c>
      <c r="F212" s="296">
        <v>4.7051382555262844</v>
      </c>
      <c r="G212" s="297">
        <v>1.6633588472758065</v>
      </c>
      <c r="H212" s="298">
        <v>6.3684971028020909</v>
      </c>
      <c r="I212" s="297">
        <v>4.9376210901030131</v>
      </c>
      <c r="J212" s="297">
        <v>2.7466077170216305</v>
      </c>
      <c r="K212" s="297">
        <v>7.6842288071246436</v>
      </c>
      <c r="L212" s="296">
        <v>5.1216734670691899</v>
      </c>
      <c r="M212" s="297">
        <v>1.2970967205320743</v>
      </c>
      <c r="N212" s="298">
        <v>6.4187701876012646</v>
      </c>
      <c r="O212" s="1"/>
      <c r="P212" s="274">
        <f t="shared" si="24"/>
        <v>4.9214776042328294</v>
      </c>
      <c r="Q212" s="275">
        <f t="shared" si="25"/>
        <v>6.8238320325093333</v>
      </c>
      <c r="R212" s="171"/>
    </row>
    <row r="213" spans="2:18">
      <c r="B213" s="94">
        <f t="shared" si="21"/>
        <v>2039</v>
      </c>
      <c r="C213" s="1">
        <f t="shared" si="22"/>
        <v>4</v>
      </c>
      <c r="D213" s="213">
        <v>50861</v>
      </c>
      <c r="E213" s="1" t="str">
        <f t="shared" si="23"/>
        <v>4-2039</v>
      </c>
      <c r="F213" s="296">
        <v>4.625176808970668</v>
      </c>
      <c r="G213" s="297">
        <v>1.6633588472758065</v>
      </c>
      <c r="H213" s="298">
        <v>6.2885356562464745</v>
      </c>
      <c r="I213" s="297">
        <v>4.8536604184002083</v>
      </c>
      <c r="J213" s="297">
        <v>2.7466077170216305</v>
      </c>
      <c r="K213" s="297">
        <v>7.6002681354218389</v>
      </c>
      <c r="L213" s="296">
        <v>5.0342249601329723</v>
      </c>
      <c r="M213" s="297">
        <v>1.2970967205320743</v>
      </c>
      <c r="N213" s="298">
        <v>6.331321680665047</v>
      </c>
      <c r="O213" s="1"/>
      <c r="P213" s="274">
        <f t="shared" si="24"/>
        <v>4.8376873958346165</v>
      </c>
      <c r="Q213" s="275">
        <f t="shared" si="25"/>
        <v>6.7400418241111195</v>
      </c>
      <c r="R213" s="171"/>
    </row>
    <row r="214" spans="2:18">
      <c r="B214" s="94">
        <f t="shared" si="21"/>
        <v>2039</v>
      </c>
      <c r="C214" s="1">
        <f t="shared" si="22"/>
        <v>5</v>
      </c>
      <c r="D214" s="213">
        <v>50891</v>
      </c>
      <c r="E214" s="1" t="str">
        <f t="shared" si="23"/>
        <v>5-2039</v>
      </c>
      <c r="F214" s="296">
        <v>4.786248653296898</v>
      </c>
      <c r="G214" s="297">
        <v>1.6633588472758065</v>
      </c>
      <c r="H214" s="298">
        <v>6.4496075005727045</v>
      </c>
      <c r="I214" s="297">
        <v>5.0226392266431459</v>
      </c>
      <c r="J214" s="297">
        <v>2.7466077170216305</v>
      </c>
      <c r="K214" s="297">
        <v>7.7692469436647764</v>
      </c>
      <c r="L214" s="296">
        <v>5.209119422199044</v>
      </c>
      <c r="M214" s="297">
        <v>1.2970967205320743</v>
      </c>
      <c r="N214" s="298">
        <v>6.5062161427311178</v>
      </c>
      <c r="O214" s="1"/>
      <c r="P214" s="274">
        <f t="shared" si="24"/>
        <v>5.0060024340463629</v>
      </c>
      <c r="Q214" s="275">
        <f t="shared" si="25"/>
        <v>6.9083568623228659</v>
      </c>
      <c r="R214" s="171"/>
    </row>
    <row r="215" spans="2:18">
      <c r="B215" s="94">
        <f t="shared" si="21"/>
        <v>2039</v>
      </c>
      <c r="C215" s="1">
        <f t="shared" si="22"/>
        <v>6</v>
      </c>
      <c r="D215" s="213">
        <v>50922</v>
      </c>
      <c r="E215" s="1" t="str">
        <f t="shared" si="23"/>
        <v>6-2039</v>
      </c>
      <c r="F215" s="296">
        <v>4.9100884008254759</v>
      </c>
      <c r="G215" s="297">
        <v>1.6633588472758065</v>
      </c>
      <c r="H215" s="298">
        <v>6.5734472481012824</v>
      </c>
      <c r="I215" s="297">
        <v>5.1525440850173281</v>
      </c>
      <c r="J215" s="297">
        <v>2.7466077170216305</v>
      </c>
      <c r="K215" s="297">
        <v>7.8991518020389586</v>
      </c>
      <c r="L215" s="296">
        <v>5.3434671202090165</v>
      </c>
      <c r="M215" s="297">
        <v>1.2970967205320743</v>
      </c>
      <c r="N215" s="298">
        <v>6.6405638407410912</v>
      </c>
      <c r="O215" s="1"/>
      <c r="P215" s="274">
        <f t="shared" si="24"/>
        <v>5.1353665353506068</v>
      </c>
      <c r="Q215" s="275">
        <f t="shared" si="25"/>
        <v>7.0377209636271116</v>
      </c>
      <c r="R215" s="171"/>
    </row>
    <row r="216" spans="2:18">
      <c r="B216" s="94">
        <f t="shared" si="21"/>
        <v>2039</v>
      </c>
      <c r="C216" s="1">
        <f t="shared" si="22"/>
        <v>7</v>
      </c>
      <c r="D216" s="213">
        <v>50952</v>
      </c>
      <c r="E216" s="1" t="str">
        <f t="shared" si="23"/>
        <v>7-2039</v>
      </c>
      <c r="F216" s="296">
        <v>4.9491487128711</v>
      </c>
      <c r="G216" s="297">
        <v>1.6633588472758065</v>
      </c>
      <c r="H216" s="298">
        <v>6.6125075601469065</v>
      </c>
      <c r="I216" s="297">
        <v>5.1934814734921622</v>
      </c>
      <c r="J216" s="297">
        <v>2.7466077170216305</v>
      </c>
      <c r="K216" s="297">
        <v>7.9400891905137927</v>
      </c>
      <c r="L216" s="296">
        <v>5.3855381048156987</v>
      </c>
      <c r="M216" s="297">
        <v>1.2970967205320743</v>
      </c>
      <c r="N216" s="298">
        <v>6.6826348253477725</v>
      </c>
      <c r="O216" s="1"/>
      <c r="P216" s="274">
        <f t="shared" si="24"/>
        <v>5.1760560970596536</v>
      </c>
      <c r="Q216" s="275">
        <f t="shared" si="25"/>
        <v>7.0784105253361576</v>
      </c>
      <c r="R216" s="171"/>
    </row>
    <row r="217" spans="2:18">
      <c r="B217" s="94">
        <f t="shared" si="21"/>
        <v>2039</v>
      </c>
      <c r="C217" s="1">
        <f t="shared" si="22"/>
        <v>8</v>
      </c>
      <c r="D217" s="213">
        <v>50983</v>
      </c>
      <c r="E217" s="1" t="str">
        <f t="shared" si="23"/>
        <v>8-2039</v>
      </c>
      <c r="F217" s="296">
        <v>4.9110267518976638</v>
      </c>
      <c r="G217" s="297">
        <v>1.6633588472758065</v>
      </c>
      <c r="H217" s="298">
        <v>6.5743855991734703</v>
      </c>
      <c r="I217" s="297">
        <v>5.1534261929133018</v>
      </c>
      <c r="J217" s="297">
        <v>2.7466077170216305</v>
      </c>
      <c r="K217" s="297">
        <v>7.9000339099349324</v>
      </c>
      <c r="L217" s="296">
        <v>5.3436211970692984</v>
      </c>
      <c r="M217" s="297">
        <v>1.2970967205320743</v>
      </c>
      <c r="N217" s="298">
        <v>6.6407179176013731</v>
      </c>
      <c r="O217" s="1"/>
      <c r="P217" s="274">
        <f t="shared" si="24"/>
        <v>5.1360247139600883</v>
      </c>
      <c r="Q217" s="275">
        <f t="shared" si="25"/>
        <v>7.0383791422365922</v>
      </c>
      <c r="R217" s="171"/>
    </row>
    <row r="218" spans="2:18">
      <c r="B218" s="94">
        <f t="shared" si="21"/>
        <v>2039</v>
      </c>
      <c r="C218" s="1">
        <f t="shared" si="22"/>
        <v>9</v>
      </c>
      <c r="D218" s="213">
        <v>51014</v>
      </c>
      <c r="E218" s="1" t="str">
        <f t="shared" si="23"/>
        <v>9-2039</v>
      </c>
      <c r="F218" s="296">
        <v>4.9802118655515066</v>
      </c>
      <c r="G218" s="297">
        <v>1.6633588472758065</v>
      </c>
      <c r="H218" s="298">
        <v>6.6435707128273132</v>
      </c>
      <c r="I218" s="297">
        <v>5.2259741444926684</v>
      </c>
      <c r="J218" s="297">
        <v>2.7466077170216305</v>
      </c>
      <c r="K218" s="297">
        <v>7.9725818615142989</v>
      </c>
      <c r="L218" s="296">
        <v>5.4184608928492715</v>
      </c>
      <c r="M218" s="297">
        <v>1.2970967205320743</v>
      </c>
      <c r="N218" s="298">
        <v>6.7155576133813462</v>
      </c>
      <c r="O218" s="1"/>
      <c r="P218" s="274">
        <f t="shared" si="24"/>
        <v>5.2082156342978152</v>
      </c>
      <c r="Q218" s="275">
        <f t="shared" si="25"/>
        <v>7.1105700625743191</v>
      </c>
      <c r="R218" s="171"/>
    </row>
    <row r="219" spans="2:18">
      <c r="B219" s="94">
        <f t="shared" si="21"/>
        <v>2039</v>
      </c>
      <c r="C219" s="1">
        <f t="shared" si="22"/>
        <v>10</v>
      </c>
      <c r="D219" s="213">
        <v>51044</v>
      </c>
      <c r="E219" s="1" t="str">
        <f t="shared" si="23"/>
        <v>10-2039</v>
      </c>
      <c r="F219" s="296">
        <v>4.9516199845964355</v>
      </c>
      <c r="G219" s="297">
        <v>1.6633588472758065</v>
      </c>
      <c r="H219" s="298">
        <v>6.614978831872242</v>
      </c>
      <c r="I219" s="297">
        <v>5.1959196001464427</v>
      </c>
      <c r="J219" s="297">
        <v>2.7466077170216305</v>
      </c>
      <c r="K219" s="297">
        <v>7.9425273171680733</v>
      </c>
      <c r="L219" s="296">
        <v>5.3869158057673703</v>
      </c>
      <c r="M219" s="297">
        <v>1.2970967205320743</v>
      </c>
      <c r="N219" s="298">
        <v>6.6840125262994441</v>
      </c>
      <c r="O219" s="1"/>
      <c r="P219" s="274">
        <f t="shared" si="24"/>
        <v>5.1781517968367501</v>
      </c>
      <c r="Q219" s="275">
        <f t="shared" si="25"/>
        <v>7.0805062251132531</v>
      </c>
      <c r="R219" s="171"/>
    </row>
    <row r="220" spans="2:18">
      <c r="B220" s="94">
        <f t="shared" si="21"/>
        <v>2039</v>
      </c>
      <c r="C220" s="1">
        <f t="shared" si="22"/>
        <v>11</v>
      </c>
      <c r="D220" s="213">
        <v>51075</v>
      </c>
      <c r="E220" s="1" t="str">
        <f t="shared" si="23"/>
        <v>11-2039</v>
      </c>
      <c r="F220" s="296">
        <v>5.1964748333955342</v>
      </c>
      <c r="G220" s="297">
        <v>1.6633588472758065</v>
      </c>
      <c r="H220" s="298">
        <v>6.8598336806713407</v>
      </c>
      <c r="I220" s="297">
        <v>5.4528006509203131</v>
      </c>
      <c r="J220" s="297">
        <v>2.7466077170216305</v>
      </c>
      <c r="K220" s="297">
        <v>8.1994083679419436</v>
      </c>
      <c r="L220" s="296">
        <v>5.65283697782196</v>
      </c>
      <c r="M220" s="297">
        <v>1.2970967205320743</v>
      </c>
      <c r="N220" s="298">
        <v>6.9499336983540339</v>
      </c>
      <c r="O220" s="1"/>
      <c r="P220" s="274">
        <f t="shared" si="24"/>
        <v>5.4340374873792685</v>
      </c>
      <c r="Q220" s="275">
        <f t="shared" si="25"/>
        <v>7.3363919156557733</v>
      </c>
      <c r="R220" s="171"/>
    </row>
    <row r="221" spans="2:18">
      <c r="B221" s="94">
        <f t="shared" si="21"/>
        <v>2039</v>
      </c>
      <c r="C221" s="1">
        <f t="shared" si="22"/>
        <v>12</v>
      </c>
      <c r="D221" s="213">
        <v>51105</v>
      </c>
      <c r="E221" s="1" t="str">
        <f t="shared" si="23"/>
        <v>12-2039</v>
      </c>
      <c r="F221" s="296">
        <v>5.2383853551397266</v>
      </c>
      <c r="G221" s="297">
        <v>1.6633588472758065</v>
      </c>
      <c r="H221" s="298">
        <v>6.9017442024155331</v>
      </c>
      <c r="I221" s="297">
        <v>5.4967237695017825</v>
      </c>
      <c r="J221" s="297">
        <v>2.7466077170216305</v>
      </c>
      <c r="K221" s="297">
        <v>8.2433314865234131</v>
      </c>
      <c r="L221" s="296">
        <v>5.6979656122025739</v>
      </c>
      <c r="M221" s="297">
        <v>1.2970967205320743</v>
      </c>
      <c r="N221" s="298">
        <v>6.9950623327346477</v>
      </c>
      <c r="O221" s="1"/>
      <c r="P221" s="274">
        <f t="shared" si="24"/>
        <v>5.4776915789480283</v>
      </c>
      <c r="Q221" s="275">
        <f t="shared" si="25"/>
        <v>7.3800460072245313</v>
      </c>
      <c r="R221" s="171"/>
    </row>
    <row r="222" spans="2:18">
      <c r="B222" s="94">
        <f t="shared" si="21"/>
        <v>2040</v>
      </c>
      <c r="C222" s="1">
        <f t="shared" si="22"/>
        <v>1</v>
      </c>
      <c r="D222" s="213">
        <v>51136</v>
      </c>
      <c r="E222" s="1" t="str">
        <f t="shared" si="23"/>
        <v>1-2040</v>
      </c>
      <c r="F222" s="296">
        <v>5.2385772367395109</v>
      </c>
      <c r="G222" s="297">
        <v>1.7298932011668384</v>
      </c>
      <c r="H222" s="298">
        <v>6.9684704379063493</v>
      </c>
      <c r="I222" s="297">
        <v>5.4968535339868758</v>
      </c>
      <c r="J222" s="297">
        <v>2.8564720257024967</v>
      </c>
      <c r="K222" s="297">
        <v>8.3533255596893721</v>
      </c>
      <c r="L222" s="296">
        <v>5.6981018980023252</v>
      </c>
      <c r="M222" s="297">
        <v>1.3489805893533571</v>
      </c>
      <c r="N222" s="298">
        <v>7.0470824873556825</v>
      </c>
      <c r="O222" s="1"/>
      <c r="P222" s="274">
        <f t="shared" si="24"/>
        <v>5.477844222909571</v>
      </c>
      <c r="Q222" s="275">
        <f t="shared" si="25"/>
        <v>7.4562928283171344</v>
      </c>
      <c r="R222" s="171"/>
    </row>
    <row r="223" spans="2:18">
      <c r="B223" s="94">
        <f t="shared" si="21"/>
        <v>2040</v>
      </c>
      <c r="C223" s="1">
        <f t="shared" si="22"/>
        <v>2</v>
      </c>
      <c r="D223" s="213">
        <v>51167</v>
      </c>
      <c r="E223" s="1" t="str">
        <f t="shared" si="23"/>
        <v>2-2040</v>
      </c>
      <c r="F223" s="296">
        <v>5.1236095840791478</v>
      </c>
      <c r="G223" s="297">
        <v>1.7298932011668384</v>
      </c>
      <c r="H223" s="298">
        <v>6.8535027852459862</v>
      </c>
      <c r="I223" s="297">
        <v>5.3761476411648497</v>
      </c>
      <c r="J223" s="297">
        <v>2.8564720257024967</v>
      </c>
      <c r="K223" s="297">
        <v>8.2326196668673468</v>
      </c>
      <c r="L223" s="296">
        <v>5.5729785064225874</v>
      </c>
      <c r="M223" s="297">
        <v>1.3489805893533571</v>
      </c>
      <c r="N223" s="298">
        <v>6.9219590957759447</v>
      </c>
      <c r="O223" s="1"/>
      <c r="P223" s="274">
        <f t="shared" si="24"/>
        <v>5.3575785772221947</v>
      </c>
      <c r="Q223" s="275">
        <f t="shared" si="25"/>
        <v>7.3360271826297589</v>
      </c>
      <c r="R223" s="171"/>
    </row>
    <row r="224" spans="2:18">
      <c r="B224" s="94">
        <f t="shared" si="21"/>
        <v>2040</v>
      </c>
      <c r="C224" s="1">
        <f t="shared" si="22"/>
        <v>3</v>
      </c>
      <c r="D224" s="213">
        <v>51196</v>
      </c>
      <c r="E224" s="1" t="str">
        <f t="shared" si="23"/>
        <v>3-2040</v>
      </c>
      <c r="F224" s="296">
        <v>4.7033844684521124</v>
      </c>
      <c r="G224" s="297">
        <v>1.7298932011668384</v>
      </c>
      <c r="H224" s="298">
        <v>6.4332776696189509</v>
      </c>
      <c r="I224" s="297">
        <v>4.93514572827827</v>
      </c>
      <c r="J224" s="297">
        <v>2.8564720257024967</v>
      </c>
      <c r="K224" s="297">
        <v>7.7916177539807663</v>
      </c>
      <c r="L224" s="296">
        <v>5.1158322750423393</v>
      </c>
      <c r="M224" s="297">
        <v>1.3489805893533571</v>
      </c>
      <c r="N224" s="298">
        <v>6.4648128643956966</v>
      </c>
      <c r="O224" s="1"/>
      <c r="P224" s="274">
        <f t="shared" si="24"/>
        <v>4.9181208239242409</v>
      </c>
      <c r="Q224" s="275">
        <f t="shared" si="25"/>
        <v>6.8965694293318052</v>
      </c>
      <c r="R224" s="171"/>
    </row>
    <row r="225" spans="2:18">
      <c r="B225" s="94">
        <f t="shared" si="21"/>
        <v>2040</v>
      </c>
      <c r="C225" s="1">
        <f t="shared" si="22"/>
        <v>4</v>
      </c>
      <c r="D225" s="213">
        <v>51227</v>
      </c>
      <c r="E225" s="1" t="str">
        <f t="shared" si="23"/>
        <v>4-2040</v>
      </c>
      <c r="F225" s="296">
        <v>4.6232531894360012</v>
      </c>
      <c r="G225" s="297">
        <v>1.7298932011668384</v>
      </c>
      <c r="H225" s="298">
        <v>6.3531463906028396</v>
      </c>
      <c r="I225" s="297">
        <v>4.851002750301749</v>
      </c>
      <c r="J225" s="297">
        <v>2.8564720257024967</v>
      </c>
      <c r="K225" s="297">
        <v>7.7074747760042452</v>
      </c>
      <c r="L225" s="296">
        <v>5.0286102006259323</v>
      </c>
      <c r="M225" s="297">
        <v>1.3489805893533571</v>
      </c>
      <c r="N225" s="298">
        <v>6.3775907899792896</v>
      </c>
      <c r="O225" s="1"/>
      <c r="P225" s="274">
        <f t="shared" si="24"/>
        <v>4.8342887134545611</v>
      </c>
      <c r="Q225" s="275">
        <f t="shared" si="25"/>
        <v>6.8127373188621254</v>
      </c>
      <c r="R225" s="171"/>
    </row>
    <row r="226" spans="2:18">
      <c r="B226" s="94">
        <f t="shared" si="21"/>
        <v>2040</v>
      </c>
      <c r="C226" s="1">
        <f t="shared" si="22"/>
        <v>5</v>
      </c>
      <c r="D226" s="213">
        <v>51257</v>
      </c>
      <c r="E226" s="1" t="str">
        <f t="shared" si="23"/>
        <v>5-2040</v>
      </c>
      <c r="F226" s="296">
        <v>4.7840514457564343</v>
      </c>
      <c r="G226" s="297">
        <v>1.7298932011668384</v>
      </c>
      <c r="H226" s="298">
        <v>6.5139446469232727</v>
      </c>
      <c r="I226" s="297">
        <v>5.0196568081856565</v>
      </c>
      <c r="J226" s="297">
        <v>2.8564720257024967</v>
      </c>
      <c r="K226" s="297">
        <v>7.8761288338881528</v>
      </c>
      <c r="L226" s="296">
        <v>5.2034407268687222</v>
      </c>
      <c r="M226" s="297">
        <v>1.3489805893533571</v>
      </c>
      <c r="N226" s="298">
        <v>6.5524213162220795</v>
      </c>
      <c r="O226" s="1"/>
      <c r="P226" s="274">
        <f t="shared" si="24"/>
        <v>5.0023829936036046</v>
      </c>
      <c r="Q226" s="275">
        <f t="shared" si="25"/>
        <v>6.980831599011168</v>
      </c>
      <c r="R226" s="171"/>
    </row>
    <row r="227" spans="2:18">
      <c r="B227" s="94">
        <f t="shared" si="21"/>
        <v>2040</v>
      </c>
      <c r="C227" s="1">
        <f t="shared" si="22"/>
        <v>6</v>
      </c>
      <c r="D227" s="213">
        <v>51288</v>
      </c>
      <c r="E227" s="1" t="str">
        <f t="shared" si="23"/>
        <v>6-2040</v>
      </c>
      <c r="F227" s="296">
        <v>4.9076223905228931</v>
      </c>
      <c r="G227" s="297">
        <v>1.7298932011668384</v>
      </c>
      <c r="H227" s="298">
        <v>6.6375155916897315</v>
      </c>
      <c r="I227" s="297">
        <v>5.1492462846729898</v>
      </c>
      <c r="J227" s="297">
        <v>2.8564720257024967</v>
      </c>
      <c r="K227" s="297">
        <v>8.005718310375487</v>
      </c>
      <c r="L227" s="296">
        <v>5.3377765026092945</v>
      </c>
      <c r="M227" s="297">
        <v>1.3489805893533571</v>
      </c>
      <c r="N227" s="298">
        <v>6.6867570919626518</v>
      </c>
      <c r="O227" s="1"/>
      <c r="P227" s="274">
        <f t="shared" si="24"/>
        <v>5.1315483926017258</v>
      </c>
      <c r="Q227" s="275">
        <f t="shared" si="25"/>
        <v>7.1099969980092901</v>
      </c>
      <c r="R227" s="171"/>
    </row>
    <row r="228" spans="2:18">
      <c r="B228" s="94">
        <f t="shared" si="21"/>
        <v>2040</v>
      </c>
      <c r="C228" s="1">
        <f t="shared" si="22"/>
        <v>7</v>
      </c>
      <c r="D228" s="213">
        <v>51318</v>
      </c>
      <c r="E228" s="1" t="str">
        <f t="shared" si="23"/>
        <v>7-2040</v>
      </c>
      <c r="F228" s="296">
        <v>4.9464494383567681</v>
      </c>
      <c r="G228" s="297">
        <v>1.7298932011668384</v>
      </c>
      <c r="H228" s="298">
        <v>6.6763426395236065</v>
      </c>
      <c r="I228" s="297">
        <v>5.1899173194368373</v>
      </c>
      <c r="J228" s="297">
        <v>2.8564720257024967</v>
      </c>
      <c r="K228" s="297">
        <v>8.0463893451393336</v>
      </c>
      <c r="L228" s="296">
        <v>5.3799383059416765</v>
      </c>
      <c r="M228" s="297">
        <v>1.3489805893533571</v>
      </c>
      <c r="N228" s="298">
        <v>6.7289188952950338</v>
      </c>
      <c r="O228" s="1"/>
      <c r="P228" s="274">
        <f t="shared" si="24"/>
        <v>5.1721016879117609</v>
      </c>
      <c r="Q228" s="275">
        <f t="shared" si="25"/>
        <v>7.1505502933193243</v>
      </c>
      <c r="R228" s="171"/>
    </row>
    <row r="229" spans="2:18">
      <c r="B229" s="94">
        <f t="shared" si="21"/>
        <v>2040</v>
      </c>
      <c r="C229" s="1">
        <f t="shared" si="22"/>
        <v>8</v>
      </c>
      <c r="D229" s="213">
        <v>51349</v>
      </c>
      <c r="E229" s="1" t="str">
        <f t="shared" si="23"/>
        <v>8-2040</v>
      </c>
      <c r="F229" s="296">
        <v>4.9081362594168931</v>
      </c>
      <c r="G229" s="297">
        <v>1.7298932011668384</v>
      </c>
      <c r="H229" s="298">
        <v>6.6380294605837316</v>
      </c>
      <c r="I229" s="297">
        <v>5.1496512131566279</v>
      </c>
      <c r="J229" s="297">
        <v>2.8564720257024967</v>
      </c>
      <c r="K229" s="297">
        <v>8.006123238859125</v>
      </c>
      <c r="L229" s="296">
        <v>5.3381995774005215</v>
      </c>
      <c r="M229" s="297">
        <v>1.3489805893533571</v>
      </c>
      <c r="N229" s="298">
        <v>6.6871801667538788</v>
      </c>
      <c r="O229" s="1"/>
      <c r="P229" s="274">
        <f t="shared" si="24"/>
        <v>5.1319956833246811</v>
      </c>
      <c r="Q229" s="275">
        <f t="shared" si="25"/>
        <v>7.1104442887322454</v>
      </c>
      <c r="R229" s="171"/>
    </row>
    <row r="230" spans="2:18">
      <c r="B230" s="94">
        <f t="shared" si="21"/>
        <v>2040</v>
      </c>
      <c r="C230" s="1">
        <f t="shared" si="22"/>
        <v>9</v>
      </c>
      <c r="D230" s="213">
        <v>51380</v>
      </c>
      <c r="E230" s="1" t="str">
        <f t="shared" si="23"/>
        <v>9-2040</v>
      </c>
      <c r="F230" s="296">
        <v>4.977065647453407</v>
      </c>
      <c r="G230" s="297">
        <v>1.7298932011668384</v>
      </c>
      <c r="H230" s="298">
        <v>6.7069588486202454</v>
      </c>
      <c r="I230" s="297">
        <v>5.221904337890666</v>
      </c>
      <c r="J230" s="297">
        <v>2.8564720257024967</v>
      </c>
      <c r="K230" s="297">
        <v>8.0783763635931631</v>
      </c>
      <c r="L230" s="296">
        <v>5.4130998484782022</v>
      </c>
      <c r="M230" s="297">
        <v>1.3489805893533571</v>
      </c>
      <c r="N230" s="298">
        <v>6.7620804378315595</v>
      </c>
      <c r="O230" s="1"/>
      <c r="P230" s="274">
        <f t="shared" si="24"/>
        <v>5.2040232779407587</v>
      </c>
      <c r="Q230" s="275">
        <f t="shared" si="25"/>
        <v>7.182471883348323</v>
      </c>
      <c r="R230" s="171"/>
    </row>
    <row r="231" spans="2:18">
      <c r="B231" s="94">
        <f t="shared" si="21"/>
        <v>2040</v>
      </c>
      <c r="C231" s="1">
        <f t="shared" si="22"/>
        <v>10</v>
      </c>
      <c r="D231" s="213">
        <v>51410</v>
      </c>
      <c r="E231" s="1" t="str">
        <f t="shared" si="23"/>
        <v>10-2040</v>
      </c>
      <c r="F231" s="296">
        <v>4.9482780497380165</v>
      </c>
      <c r="G231" s="297">
        <v>1.7298932011668384</v>
      </c>
      <c r="H231" s="298">
        <v>6.678171250904855</v>
      </c>
      <c r="I231" s="297">
        <v>5.191632890240041</v>
      </c>
      <c r="J231" s="297">
        <v>2.8564720257024967</v>
      </c>
      <c r="K231" s="297">
        <v>8.0481049159425382</v>
      </c>
      <c r="L231" s="296">
        <v>5.3817217124277432</v>
      </c>
      <c r="M231" s="297">
        <v>1.3489805893533571</v>
      </c>
      <c r="N231" s="298">
        <v>6.7307023017811005</v>
      </c>
      <c r="O231" s="1"/>
      <c r="P231" s="274">
        <f t="shared" si="24"/>
        <v>5.1738775508019339</v>
      </c>
      <c r="Q231" s="275">
        <f t="shared" si="25"/>
        <v>7.1523261562094973</v>
      </c>
      <c r="R231" s="171"/>
    </row>
    <row r="232" spans="2:18">
      <c r="B232" s="94">
        <f t="shared" si="21"/>
        <v>2040</v>
      </c>
      <c r="C232" s="1">
        <f t="shared" si="22"/>
        <v>11</v>
      </c>
      <c r="D232" s="213">
        <v>51441</v>
      </c>
      <c r="E232" s="1" t="str">
        <f t="shared" si="23"/>
        <v>11-2040</v>
      </c>
      <c r="F232" s="296">
        <v>5.1927432818408619</v>
      </c>
      <c r="G232" s="297">
        <v>1.7298932011668384</v>
      </c>
      <c r="H232" s="298">
        <v>6.9226364830077003</v>
      </c>
      <c r="I232" s="297">
        <v>5.4480498057710838</v>
      </c>
      <c r="J232" s="297">
        <v>2.8564720257024967</v>
      </c>
      <c r="K232" s="297">
        <v>8.3045218314735809</v>
      </c>
      <c r="L232" s="296">
        <v>5.6475289516772555</v>
      </c>
      <c r="M232" s="297">
        <v>1.3489805893533571</v>
      </c>
      <c r="N232" s="298">
        <v>6.9965095410306128</v>
      </c>
      <c r="O232" s="1"/>
      <c r="P232" s="274">
        <f t="shared" si="24"/>
        <v>5.4294406797630677</v>
      </c>
      <c r="Q232" s="275">
        <f t="shared" si="25"/>
        <v>7.4078892851706319</v>
      </c>
      <c r="R232" s="171"/>
    </row>
    <row r="233" spans="2:18">
      <c r="B233" s="94">
        <f t="shared" si="21"/>
        <v>2040</v>
      </c>
      <c r="C233" s="1">
        <f t="shared" si="22"/>
        <v>12</v>
      </c>
      <c r="D233" s="213">
        <v>51471</v>
      </c>
      <c r="E233" s="1" t="str">
        <f t="shared" si="23"/>
        <v>12-2040</v>
      </c>
      <c r="F233" s="296">
        <v>5.2343975293826599</v>
      </c>
      <c r="G233" s="297">
        <v>1.7298932011668384</v>
      </c>
      <c r="H233" s="298">
        <v>6.9642907305494983</v>
      </c>
      <c r="I233" s="297">
        <v>5.4916804040654545</v>
      </c>
      <c r="J233" s="297">
        <v>2.8564720257024967</v>
      </c>
      <c r="K233" s="297">
        <v>8.3481524297679517</v>
      </c>
      <c r="L233" s="296">
        <v>5.6927588465258525</v>
      </c>
      <c r="M233" s="297">
        <v>1.3489805893533571</v>
      </c>
      <c r="N233" s="298">
        <v>7.0417394358792098</v>
      </c>
      <c r="O233" s="1"/>
      <c r="P233" s="274">
        <f t="shared" si="24"/>
        <v>5.4729455933246554</v>
      </c>
      <c r="Q233" s="275">
        <f t="shared" si="25"/>
        <v>7.4513941987322196</v>
      </c>
      <c r="R233" s="171"/>
    </row>
    <row r="234" spans="2:18">
      <c r="B234" s="94">
        <f t="shared" si="21"/>
        <v>2041</v>
      </c>
      <c r="C234" s="1">
        <f t="shared" si="22"/>
        <v>1</v>
      </c>
      <c r="D234" s="213">
        <v>51502</v>
      </c>
      <c r="E234" s="1" t="str">
        <f t="shared" si="23"/>
        <v>1-2041</v>
      </c>
      <c r="F234" s="296">
        <v>5.2346170297281276</v>
      </c>
      <c r="G234" s="297">
        <v>1.7990889292135124</v>
      </c>
      <c r="H234" s="298">
        <v>7.0337059589416402</v>
      </c>
      <c r="I234" s="297">
        <v>5.4918432815001577</v>
      </c>
      <c r="J234" s="297">
        <v>2.9707309067305956</v>
      </c>
      <c r="K234" s="297">
        <v>8.4625741882307537</v>
      </c>
      <c r="L234" s="296">
        <v>5.6929302541873943</v>
      </c>
      <c r="M234" s="297">
        <v>1.4029398129274913</v>
      </c>
      <c r="N234" s="298">
        <v>7.0958700671148858</v>
      </c>
      <c r="O234" s="1"/>
      <c r="P234" s="274">
        <f t="shared" si="24"/>
        <v>5.4731301884718926</v>
      </c>
      <c r="Q234" s="275">
        <f t="shared" si="25"/>
        <v>7.5307167380957596</v>
      </c>
      <c r="R234" s="171"/>
    </row>
    <row r="235" spans="2:18">
      <c r="B235" s="94">
        <f t="shared" si="21"/>
        <v>2041</v>
      </c>
      <c r="C235" s="1">
        <f t="shared" si="22"/>
        <v>2</v>
      </c>
      <c r="D235" s="213">
        <v>51533</v>
      </c>
      <c r="E235" s="1" t="str">
        <f t="shared" si="23"/>
        <v>2-2041</v>
      </c>
      <c r="F235" s="296">
        <v>5.1197634480880794</v>
      </c>
      <c r="G235" s="297">
        <v>1.7990889292135124</v>
      </c>
      <c r="H235" s="298">
        <v>6.918852377301592</v>
      </c>
      <c r="I235" s="297">
        <v>5.3712799164932594</v>
      </c>
      <c r="J235" s="297">
        <v>2.9707309067305956</v>
      </c>
      <c r="K235" s="297">
        <v>8.3420108232238555</v>
      </c>
      <c r="L235" s="296">
        <v>5.5679549033013931</v>
      </c>
      <c r="M235" s="297">
        <v>1.4029398129274913</v>
      </c>
      <c r="N235" s="298">
        <v>6.9708947162288846</v>
      </c>
      <c r="O235" s="1"/>
      <c r="P235" s="274">
        <f t="shared" si="24"/>
        <v>5.352999422627577</v>
      </c>
      <c r="Q235" s="275">
        <f t="shared" si="25"/>
        <v>7.410585972251444</v>
      </c>
      <c r="R235" s="171"/>
    </row>
    <row r="236" spans="2:18">
      <c r="B236" s="94">
        <f t="shared" si="21"/>
        <v>2041</v>
      </c>
      <c r="C236" s="1">
        <f t="shared" si="22"/>
        <v>3</v>
      </c>
      <c r="D236" s="213">
        <v>51561</v>
      </c>
      <c r="E236" s="1" t="str">
        <f t="shared" si="23"/>
        <v>3-2041</v>
      </c>
      <c r="F236" s="296">
        <v>4.699878717107314</v>
      </c>
      <c r="G236" s="297">
        <v>1.7990889292135124</v>
      </c>
      <c r="H236" s="298">
        <v>6.4989676463208266</v>
      </c>
      <c r="I236" s="297">
        <v>4.9307071451666449</v>
      </c>
      <c r="J236" s="297">
        <v>2.9707309067305956</v>
      </c>
      <c r="K236" s="297">
        <v>7.9014380518972409</v>
      </c>
      <c r="L236" s="296">
        <v>5.111252407732783</v>
      </c>
      <c r="M236" s="297">
        <v>1.4029398129274913</v>
      </c>
      <c r="N236" s="298">
        <v>6.5141922206602745</v>
      </c>
      <c r="O236" s="1"/>
      <c r="P236" s="274">
        <f t="shared" si="24"/>
        <v>4.9139460900022476</v>
      </c>
      <c r="Q236" s="275">
        <f t="shared" si="25"/>
        <v>6.9715326396261146</v>
      </c>
      <c r="R236" s="171"/>
    </row>
    <row r="237" spans="2:18">
      <c r="B237" s="94">
        <f t="shared" si="21"/>
        <v>2041</v>
      </c>
      <c r="C237" s="1">
        <f t="shared" si="22"/>
        <v>4</v>
      </c>
      <c r="D237" s="213">
        <v>51592</v>
      </c>
      <c r="E237" s="1" t="str">
        <f t="shared" si="23"/>
        <v>4-2041</v>
      </c>
      <c r="F237" s="296">
        <v>4.619831678256066</v>
      </c>
      <c r="G237" s="297">
        <v>1.7990889292135124</v>
      </c>
      <c r="H237" s="298">
        <v>6.4189206074695786</v>
      </c>
      <c r="I237" s="297">
        <v>4.8466691847897962</v>
      </c>
      <c r="J237" s="297">
        <v>2.9707309067305956</v>
      </c>
      <c r="K237" s="297">
        <v>7.8174000915203923</v>
      </c>
      <c r="L237" s="296">
        <v>5.0241395368708837</v>
      </c>
      <c r="M237" s="297">
        <v>1.4029398129274913</v>
      </c>
      <c r="N237" s="298">
        <v>6.4270793497983751</v>
      </c>
      <c r="O237" s="1"/>
      <c r="P237" s="274">
        <f t="shared" si="24"/>
        <v>4.8302134666389156</v>
      </c>
      <c r="Q237" s="275">
        <f t="shared" si="25"/>
        <v>6.8878000162627826</v>
      </c>
      <c r="R237" s="171"/>
    </row>
    <row r="238" spans="2:18">
      <c r="B238" s="94">
        <f t="shared" si="21"/>
        <v>2041</v>
      </c>
      <c r="C238" s="1">
        <f t="shared" si="22"/>
        <v>5</v>
      </c>
      <c r="D238" s="213">
        <v>51622</v>
      </c>
      <c r="E238" s="1" t="str">
        <f t="shared" si="23"/>
        <v>5-2041</v>
      </c>
      <c r="F238" s="296">
        <v>4.7805363019750491</v>
      </c>
      <c r="G238" s="297">
        <v>1.7990889292135124</v>
      </c>
      <c r="H238" s="298">
        <v>6.5796252311885617</v>
      </c>
      <c r="I238" s="297">
        <v>5.0152029438983163</v>
      </c>
      <c r="J238" s="297">
        <v>2.9707309067305956</v>
      </c>
      <c r="K238" s="297">
        <v>7.9859338506289124</v>
      </c>
      <c r="L238" s="296">
        <v>5.1988468370255383</v>
      </c>
      <c r="M238" s="297">
        <v>1.4029398129274913</v>
      </c>
      <c r="N238" s="298">
        <v>6.6017866499530298</v>
      </c>
      <c r="O238" s="1"/>
      <c r="P238" s="274">
        <f t="shared" si="24"/>
        <v>4.9981953609663012</v>
      </c>
      <c r="Q238" s="275">
        <f t="shared" si="25"/>
        <v>7.0557819105901673</v>
      </c>
      <c r="R238" s="171"/>
    </row>
    <row r="239" spans="2:18">
      <c r="B239" s="94">
        <f t="shared" si="21"/>
        <v>2041</v>
      </c>
      <c r="C239" s="1">
        <f t="shared" si="22"/>
        <v>6</v>
      </c>
      <c r="D239" s="213">
        <v>51653</v>
      </c>
      <c r="E239" s="1" t="str">
        <f t="shared" si="23"/>
        <v>6-2041</v>
      </c>
      <c r="F239" s="296">
        <v>4.9040424786342047</v>
      </c>
      <c r="G239" s="297">
        <v>1.7990889292135124</v>
      </c>
      <c r="H239" s="298">
        <v>6.7031314078477173</v>
      </c>
      <c r="I239" s="297">
        <v>5.144708591955383</v>
      </c>
      <c r="J239" s="297">
        <v>2.9707309067305956</v>
      </c>
      <c r="K239" s="297">
        <v>8.1154394986859781</v>
      </c>
      <c r="L239" s="296">
        <v>5.3330970563095317</v>
      </c>
      <c r="M239" s="297">
        <v>1.4029398129274913</v>
      </c>
      <c r="N239" s="298">
        <v>6.7360368692370232</v>
      </c>
      <c r="O239" s="1"/>
      <c r="P239" s="274">
        <f t="shared" si="24"/>
        <v>5.1272827089663737</v>
      </c>
      <c r="Q239" s="275">
        <f t="shared" si="25"/>
        <v>7.1848692585902398</v>
      </c>
      <c r="R239" s="171"/>
    </row>
    <row r="240" spans="2:18">
      <c r="B240" s="94">
        <f t="shared" si="21"/>
        <v>2041</v>
      </c>
      <c r="C240" s="1">
        <f t="shared" si="22"/>
        <v>7</v>
      </c>
      <c r="D240" s="213">
        <v>51683</v>
      </c>
      <c r="E240" s="1" t="str">
        <f t="shared" si="23"/>
        <v>7-2041</v>
      </c>
      <c r="F240" s="296">
        <v>4.9428674402001533</v>
      </c>
      <c r="G240" s="297">
        <v>1.7990889292135124</v>
      </c>
      <c r="H240" s="298">
        <v>6.7419563694136659</v>
      </c>
      <c r="I240" s="297">
        <v>5.1853751912004427</v>
      </c>
      <c r="J240" s="297">
        <v>2.9707309067305956</v>
      </c>
      <c r="K240" s="297">
        <v>8.1561060979310387</v>
      </c>
      <c r="L240" s="296">
        <v>5.3752552066148382</v>
      </c>
      <c r="M240" s="297">
        <v>1.4029398129274913</v>
      </c>
      <c r="N240" s="298">
        <v>6.7781950195423297</v>
      </c>
      <c r="O240" s="1"/>
      <c r="P240" s="274">
        <f t="shared" si="24"/>
        <v>5.1678326126718117</v>
      </c>
      <c r="Q240" s="275">
        <f t="shared" si="25"/>
        <v>7.2254191622956787</v>
      </c>
      <c r="R240" s="171"/>
    </row>
    <row r="241" spans="2:18">
      <c r="B241" s="94">
        <f t="shared" si="21"/>
        <v>2041</v>
      </c>
      <c r="C241" s="1">
        <f t="shared" si="22"/>
        <v>8</v>
      </c>
      <c r="D241" s="213">
        <v>51714</v>
      </c>
      <c r="E241" s="1" t="str">
        <f t="shared" si="23"/>
        <v>8-2041</v>
      </c>
      <c r="F241" s="296">
        <v>4.9046080425358038</v>
      </c>
      <c r="G241" s="297">
        <v>1.7990889292135124</v>
      </c>
      <c r="H241" s="298">
        <v>6.7036969717493164</v>
      </c>
      <c r="I241" s="297">
        <v>5.1451754914427044</v>
      </c>
      <c r="J241" s="297">
        <v>2.9707309067305956</v>
      </c>
      <c r="K241" s="297">
        <v>8.1159063981732995</v>
      </c>
      <c r="L241" s="296">
        <v>5.3335858659795559</v>
      </c>
      <c r="M241" s="297">
        <v>1.4029398129274913</v>
      </c>
      <c r="N241" s="298">
        <v>6.7365256789070473</v>
      </c>
      <c r="O241" s="1"/>
      <c r="P241" s="274">
        <f t="shared" si="24"/>
        <v>5.1277897999860214</v>
      </c>
      <c r="Q241" s="275">
        <f t="shared" si="25"/>
        <v>7.1853763496098884</v>
      </c>
      <c r="R241" s="171"/>
    </row>
    <row r="242" spans="2:18">
      <c r="B242" s="94">
        <f t="shared" si="21"/>
        <v>2041</v>
      </c>
      <c r="C242" s="1">
        <f t="shared" si="22"/>
        <v>9</v>
      </c>
      <c r="D242" s="213">
        <v>51745</v>
      </c>
      <c r="E242" s="1" t="str">
        <f t="shared" si="23"/>
        <v>9-2041</v>
      </c>
      <c r="F242" s="296">
        <v>4.9735142862241766</v>
      </c>
      <c r="G242" s="297">
        <v>1.7990889292135124</v>
      </c>
      <c r="H242" s="298">
        <v>6.7726032154376892</v>
      </c>
      <c r="I242" s="297">
        <v>5.2173974271683718</v>
      </c>
      <c r="J242" s="297">
        <v>2.9707309067305956</v>
      </c>
      <c r="K242" s="297">
        <v>8.1881283338989679</v>
      </c>
      <c r="L242" s="296">
        <v>5.4084549263926025</v>
      </c>
      <c r="M242" s="297">
        <v>1.4029398129274913</v>
      </c>
      <c r="N242" s="298">
        <v>6.811394739320094</v>
      </c>
      <c r="O242" s="1"/>
      <c r="P242" s="274">
        <f t="shared" si="24"/>
        <v>5.1997888799283833</v>
      </c>
      <c r="Q242" s="275">
        <f t="shared" si="25"/>
        <v>7.2573754295522503</v>
      </c>
      <c r="R242" s="171"/>
    </row>
    <row r="243" spans="2:18">
      <c r="B243" s="94">
        <f t="shared" si="21"/>
        <v>2041</v>
      </c>
      <c r="C243" s="1">
        <f t="shared" si="22"/>
        <v>10</v>
      </c>
      <c r="D243" s="213">
        <v>51775</v>
      </c>
      <c r="E243" s="1" t="str">
        <f t="shared" si="23"/>
        <v>10-2041</v>
      </c>
      <c r="F243" s="296">
        <v>4.944773485948744</v>
      </c>
      <c r="G243" s="297">
        <v>1.7990889292135124</v>
      </c>
      <c r="H243" s="298">
        <v>6.7438624151622566</v>
      </c>
      <c r="I243" s="297">
        <v>5.1871835361379084</v>
      </c>
      <c r="J243" s="297">
        <v>2.9707309067305956</v>
      </c>
      <c r="K243" s="297">
        <v>8.1579144428685044</v>
      </c>
      <c r="L243" s="296">
        <v>5.3771370506428671</v>
      </c>
      <c r="M243" s="297">
        <v>1.4029398129274913</v>
      </c>
      <c r="N243" s="298">
        <v>6.7800768635703585</v>
      </c>
      <c r="O243" s="1"/>
      <c r="P243" s="274">
        <f t="shared" si="24"/>
        <v>5.1696980242431732</v>
      </c>
      <c r="Q243" s="275">
        <f t="shared" si="25"/>
        <v>7.2272845738670393</v>
      </c>
      <c r="R243" s="171"/>
    </row>
    <row r="244" spans="2:18">
      <c r="B244" s="94">
        <f t="shared" si="21"/>
        <v>2041</v>
      </c>
      <c r="C244" s="1">
        <f t="shared" si="22"/>
        <v>11</v>
      </c>
      <c r="D244" s="213">
        <v>51806</v>
      </c>
      <c r="E244" s="1" t="str">
        <f t="shared" si="23"/>
        <v>11-2041</v>
      </c>
      <c r="F244" s="296">
        <v>5.1890931350756366</v>
      </c>
      <c r="G244" s="297">
        <v>1.7990889292135124</v>
      </c>
      <c r="H244" s="298">
        <v>6.9881820642891492</v>
      </c>
      <c r="I244" s="297">
        <v>5.4434136836011717</v>
      </c>
      <c r="J244" s="297">
        <v>2.9707309067305956</v>
      </c>
      <c r="K244" s="297">
        <v>8.4141445903317678</v>
      </c>
      <c r="L244" s="296">
        <v>5.6427528368752204</v>
      </c>
      <c r="M244" s="297">
        <v>1.4029398129274913</v>
      </c>
      <c r="N244" s="298">
        <v>7.0456926498027119</v>
      </c>
      <c r="O244" s="1"/>
      <c r="P244" s="274">
        <f t="shared" si="24"/>
        <v>5.4250865518506766</v>
      </c>
      <c r="Q244" s="275">
        <f t="shared" si="25"/>
        <v>7.4826731014745436</v>
      </c>
      <c r="R244" s="171"/>
    </row>
    <row r="245" spans="2:18">
      <c r="B245" s="94">
        <f t="shared" si="21"/>
        <v>2041</v>
      </c>
      <c r="C245" s="1">
        <f t="shared" si="22"/>
        <v>12</v>
      </c>
      <c r="D245" s="213">
        <v>51836</v>
      </c>
      <c r="E245" s="1" t="str">
        <f t="shared" si="23"/>
        <v>12-2041</v>
      </c>
      <c r="F245" s="296">
        <v>5.2307458839309486</v>
      </c>
      <c r="G245" s="297">
        <v>1.7990889292135124</v>
      </c>
      <c r="H245" s="298">
        <v>7.0298348131444612</v>
      </c>
      <c r="I245" s="297">
        <v>5.4870404102604624</v>
      </c>
      <c r="J245" s="297">
        <v>2.9707309067305956</v>
      </c>
      <c r="K245" s="297">
        <v>8.4577713169910584</v>
      </c>
      <c r="L245" s="296">
        <v>5.6879797532229111</v>
      </c>
      <c r="M245" s="297">
        <v>1.4029398129274913</v>
      </c>
      <c r="N245" s="298">
        <v>7.0909195661504025</v>
      </c>
      <c r="O245" s="1"/>
      <c r="P245" s="274">
        <f t="shared" si="24"/>
        <v>5.4685886824714407</v>
      </c>
      <c r="Q245" s="275">
        <f t="shared" si="25"/>
        <v>7.5261752320953077</v>
      </c>
      <c r="R245" s="171"/>
    </row>
    <row r="246" spans="2:18">
      <c r="B246" s="94">
        <f t="shared" ref="B246:B309" si="26">YEAR(D246)</f>
        <v>2042</v>
      </c>
      <c r="C246" s="1">
        <f t="shared" ref="C246:C309" si="27">MONTH(D246)</f>
        <v>1</v>
      </c>
      <c r="D246" s="213">
        <v>51867</v>
      </c>
      <c r="E246" s="1" t="str">
        <f t="shared" si="23"/>
        <v>1-2042</v>
      </c>
      <c r="F246" s="296">
        <v>5.2309743601469689</v>
      </c>
      <c r="G246" s="297">
        <v>1.8710524863820528</v>
      </c>
      <c r="H246" s="298">
        <v>7.1020268465290215</v>
      </c>
      <c r="I246" s="297">
        <v>5.4872150943795424</v>
      </c>
      <c r="J246" s="297">
        <v>3.0895601429998201</v>
      </c>
      <c r="K246" s="297">
        <v>8.576775237379362</v>
      </c>
      <c r="L246" s="296">
        <v>5.6881632225517107</v>
      </c>
      <c r="M246" s="297">
        <v>1.4590574054445911</v>
      </c>
      <c r="N246" s="298">
        <v>7.147220627996302</v>
      </c>
      <c r="O246" s="1"/>
      <c r="P246" s="274">
        <f t="shared" si="24"/>
        <v>5.4687842256927404</v>
      </c>
      <c r="Q246" s="275">
        <f t="shared" si="25"/>
        <v>7.6086742373015612</v>
      </c>
      <c r="R246" s="171"/>
    </row>
    <row r="247" spans="2:18">
      <c r="B247" s="94">
        <f t="shared" si="26"/>
        <v>2042</v>
      </c>
      <c r="C247" s="1">
        <f t="shared" si="27"/>
        <v>2</v>
      </c>
      <c r="D247" s="213">
        <v>51898</v>
      </c>
      <c r="E247" s="1" t="str">
        <f t="shared" si="23"/>
        <v>2-2042</v>
      </c>
      <c r="F247" s="296">
        <v>5.1162096326481201</v>
      </c>
      <c r="G247" s="297">
        <v>1.8710524863820528</v>
      </c>
      <c r="H247" s="298">
        <v>6.9872621190301727</v>
      </c>
      <c r="I247" s="297">
        <v>5.3667650164794853</v>
      </c>
      <c r="J247" s="297">
        <v>3.0895601429998201</v>
      </c>
      <c r="K247" s="297">
        <v>8.4563251594793059</v>
      </c>
      <c r="L247" s="296">
        <v>5.5633044603055533</v>
      </c>
      <c r="M247" s="297">
        <v>1.4590574054445911</v>
      </c>
      <c r="N247" s="298">
        <v>7.0223618657501445</v>
      </c>
      <c r="O247" s="1"/>
      <c r="P247" s="274">
        <f t="shared" si="24"/>
        <v>5.3487597031443856</v>
      </c>
      <c r="Q247" s="275">
        <f t="shared" si="25"/>
        <v>7.4886497147532083</v>
      </c>
      <c r="R247" s="171"/>
    </row>
    <row r="248" spans="2:18">
      <c r="B248" s="94">
        <f t="shared" si="26"/>
        <v>2042</v>
      </c>
      <c r="C248" s="1">
        <f t="shared" si="27"/>
        <v>3</v>
      </c>
      <c r="D248" s="213">
        <v>51926</v>
      </c>
      <c r="E248" s="1" t="str">
        <f t="shared" si="23"/>
        <v>3-2042</v>
      </c>
      <c r="F248" s="296">
        <v>4.6966245573870475</v>
      </c>
      <c r="G248" s="297">
        <v>1.8710524863820528</v>
      </c>
      <c r="H248" s="298">
        <v>6.5676770437691001</v>
      </c>
      <c r="I248" s="297">
        <v>4.9265733012915742</v>
      </c>
      <c r="J248" s="297">
        <v>3.0895601429998201</v>
      </c>
      <c r="K248" s="297">
        <v>8.0161334442913947</v>
      </c>
      <c r="L248" s="296">
        <v>5.1069943713248618</v>
      </c>
      <c r="M248" s="297">
        <v>1.4590574054445911</v>
      </c>
      <c r="N248" s="298">
        <v>6.5660517767694531</v>
      </c>
      <c r="O248" s="1"/>
      <c r="P248" s="274">
        <f t="shared" si="24"/>
        <v>4.9100640766678287</v>
      </c>
      <c r="Q248" s="275">
        <f t="shared" si="25"/>
        <v>7.0499540882766496</v>
      </c>
      <c r="R248" s="171"/>
    </row>
    <row r="249" spans="2:18">
      <c r="B249" s="94">
        <f t="shared" si="26"/>
        <v>2042</v>
      </c>
      <c r="C249" s="1">
        <f t="shared" si="27"/>
        <v>4</v>
      </c>
      <c r="D249" s="213">
        <v>51957</v>
      </c>
      <c r="E249" s="1" t="str">
        <f t="shared" si="23"/>
        <v>4-2042</v>
      </c>
      <c r="F249" s="296">
        <v>4.6166410021323916</v>
      </c>
      <c r="G249" s="297">
        <v>1.8710524863820528</v>
      </c>
      <c r="H249" s="298">
        <v>6.4876934885144442</v>
      </c>
      <c r="I249" s="297">
        <v>4.8426163428576059</v>
      </c>
      <c r="J249" s="297">
        <v>3.0895601429998201</v>
      </c>
      <c r="K249" s="297">
        <v>7.9321764858574255</v>
      </c>
      <c r="L249" s="296">
        <v>5.0199648478832426</v>
      </c>
      <c r="M249" s="297">
        <v>1.4590574054445911</v>
      </c>
      <c r="N249" s="298">
        <v>6.4790222533278339</v>
      </c>
      <c r="O249" s="1"/>
      <c r="P249" s="274">
        <f t="shared" si="24"/>
        <v>4.8264073976244131</v>
      </c>
      <c r="Q249" s="275">
        <f t="shared" si="25"/>
        <v>6.9662974092332348</v>
      </c>
      <c r="R249" s="171"/>
    </row>
    <row r="250" spans="2:18">
      <c r="B250" s="94">
        <f t="shared" si="26"/>
        <v>2042</v>
      </c>
      <c r="C250" s="1">
        <f t="shared" si="27"/>
        <v>5</v>
      </c>
      <c r="D250" s="213">
        <v>51987</v>
      </c>
      <c r="E250" s="1" t="str">
        <f t="shared" si="23"/>
        <v>5-2042</v>
      </c>
      <c r="F250" s="296">
        <v>4.7772429765491324</v>
      </c>
      <c r="G250" s="297">
        <v>1.8710524863820528</v>
      </c>
      <c r="H250" s="298">
        <v>6.648295462931185</v>
      </c>
      <c r="I250" s="297">
        <v>5.0110200858446126</v>
      </c>
      <c r="J250" s="297">
        <v>3.0895601429998201</v>
      </c>
      <c r="K250" s="297">
        <v>8.1005802288444322</v>
      </c>
      <c r="L250" s="296">
        <v>5.1945381316689563</v>
      </c>
      <c r="M250" s="297">
        <v>1.4590574054445911</v>
      </c>
      <c r="N250" s="298">
        <v>6.6535955371135476</v>
      </c>
      <c r="O250" s="1"/>
      <c r="P250" s="274">
        <f t="shared" si="24"/>
        <v>4.9942670646875671</v>
      </c>
      <c r="Q250" s="275">
        <f t="shared" si="25"/>
        <v>7.1341570762963871</v>
      </c>
      <c r="R250" s="171"/>
    </row>
    <row r="251" spans="2:18">
      <c r="B251" s="94">
        <f t="shared" si="26"/>
        <v>2042</v>
      </c>
      <c r="C251" s="1">
        <f t="shared" si="27"/>
        <v>6</v>
      </c>
      <c r="D251" s="213">
        <v>52018</v>
      </c>
      <c r="E251" s="1" t="str">
        <f t="shared" si="23"/>
        <v>6-2042</v>
      </c>
      <c r="F251" s="296">
        <v>4.9006726269049938</v>
      </c>
      <c r="G251" s="297">
        <v>1.8710524863820528</v>
      </c>
      <c r="H251" s="298">
        <v>6.7717251132870464</v>
      </c>
      <c r="I251" s="297">
        <v>5.1404289187695804</v>
      </c>
      <c r="J251" s="297">
        <v>3.0895601429998201</v>
      </c>
      <c r="K251" s="297">
        <v>8.2299890617694</v>
      </c>
      <c r="L251" s="296">
        <v>5.3286885290159747</v>
      </c>
      <c r="M251" s="297">
        <v>1.4590574054445911</v>
      </c>
      <c r="N251" s="298">
        <v>6.787745934460566</v>
      </c>
      <c r="O251" s="1"/>
      <c r="P251" s="274">
        <f t="shared" si="24"/>
        <v>5.123263358230183</v>
      </c>
      <c r="Q251" s="275">
        <f t="shared" si="25"/>
        <v>7.2631533698390038</v>
      </c>
      <c r="R251" s="171"/>
    </row>
    <row r="252" spans="2:18">
      <c r="B252" s="94">
        <f t="shared" si="26"/>
        <v>2042</v>
      </c>
      <c r="C252" s="1">
        <f t="shared" si="27"/>
        <v>7</v>
      </c>
      <c r="D252" s="213">
        <v>52048</v>
      </c>
      <c r="E252" s="1" t="str">
        <f t="shared" si="23"/>
        <v>7-2042</v>
      </c>
      <c r="F252" s="296">
        <v>4.9394795358050771</v>
      </c>
      <c r="G252" s="297">
        <v>1.8710524863820528</v>
      </c>
      <c r="H252" s="298">
        <v>6.8105320221871297</v>
      </c>
      <c r="I252" s="297">
        <v>5.181072976424054</v>
      </c>
      <c r="J252" s="297">
        <v>3.0895601429998201</v>
      </c>
      <c r="K252" s="297">
        <v>8.2706331194238736</v>
      </c>
      <c r="L252" s="296">
        <v>5.3708233640530576</v>
      </c>
      <c r="M252" s="297">
        <v>1.4590574054445911</v>
      </c>
      <c r="N252" s="298">
        <v>6.8298807694976489</v>
      </c>
      <c r="O252" s="1"/>
      <c r="P252" s="274">
        <f t="shared" si="24"/>
        <v>5.1637919587607302</v>
      </c>
      <c r="Q252" s="275">
        <f t="shared" si="25"/>
        <v>7.3036819703695501</v>
      </c>
      <c r="R252" s="171"/>
    </row>
    <row r="253" spans="2:18">
      <c r="B253" s="94">
        <f t="shared" si="26"/>
        <v>2042</v>
      </c>
      <c r="C253" s="1">
        <f t="shared" si="27"/>
        <v>8</v>
      </c>
      <c r="D253" s="213">
        <v>52079</v>
      </c>
      <c r="E253" s="1" t="str">
        <f t="shared" si="23"/>
        <v>8-2042</v>
      </c>
      <c r="F253" s="296">
        <v>4.9012549220606623</v>
      </c>
      <c r="G253" s="297">
        <v>1.8710524863820528</v>
      </c>
      <c r="H253" s="298">
        <v>6.7723074084427148</v>
      </c>
      <c r="I253" s="297">
        <v>5.1409178310189079</v>
      </c>
      <c r="J253" s="297">
        <v>3.0895601429998201</v>
      </c>
      <c r="K253" s="297">
        <v>8.2304779740187275</v>
      </c>
      <c r="L253" s="296">
        <v>5.3291998257036468</v>
      </c>
      <c r="M253" s="297">
        <v>1.4590574054445911</v>
      </c>
      <c r="N253" s="298">
        <v>6.7882572311482381</v>
      </c>
      <c r="O253" s="1"/>
      <c r="P253" s="274">
        <f t="shared" si="24"/>
        <v>5.1237908595944051</v>
      </c>
      <c r="Q253" s="275">
        <f t="shared" si="25"/>
        <v>7.2636808712032277</v>
      </c>
      <c r="R253" s="171"/>
    </row>
    <row r="254" spans="2:18">
      <c r="B254" s="94">
        <f t="shared" si="26"/>
        <v>2042</v>
      </c>
      <c r="C254" s="1">
        <f t="shared" si="27"/>
        <v>9</v>
      </c>
      <c r="D254" s="213">
        <v>52110</v>
      </c>
      <c r="E254" s="1" t="str">
        <f t="shared" si="23"/>
        <v>9-2042</v>
      </c>
      <c r="F254" s="296">
        <v>4.9701227385173858</v>
      </c>
      <c r="G254" s="297">
        <v>1.8710524863820528</v>
      </c>
      <c r="H254" s="298">
        <v>6.8411752248994384</v>
      </c>
      <c r="I254" s="297">
        <v>5.2130913629033824</v>
      </c>
      <c r="J254" s="297">
        <v>3.0895601429998201</v>
      </c>
      <c r="K254" s="297">
        <v>8.3026515059032029</v>
      </c>
      <c r="L254" s="296">
        <v>5.404018926667252</v>
      </c>
      <c r="M254" s="297">
        <v>1.4590574054445911</v>
      </c>
      <c r="N254" s="298">
        <v>6.8630763321118433</v>
      </c>
      <c r="O254" s="1"/>
      <c r="P254" s="274">
        <f t="shared" si="24"/>
        <v>5.195744342696007</v>
      </c>
      <c r="Q254" s="275">
        <f t="shared" si="25"/>
        <v>7.335634354304827</v>
      </c>
      <c r="R254" s="171"/>
    </row>
    <row r="255" spans="2:18">
      <c r="B255" s="94">
        <f t="shared" si="26"/>
        <v>2042</v>
      </c>
      <c r="C255" s="1">
        <f t="shared" si="27"/>
        <v>10</v>
      </c>
      <c r="D255" s="213">
        <v>52140</v>
      </c>
      <c r="E255" s="1" t="str">
        <f t="shared" si="23"/>
        <v>10-2042</v>
      </c>
      <c r="F255" s="296">
        <v>4.9414101697727677</v>
      </c>
      <c r="G255" s="297">
        <v>1.8710524863820528</v>
      </c>
      <c r="H255" s="298">
        <v>6.8124626561548203</v>
      </c>
      <c r="I255" s="297">
        <v>5.1829137042479489</v>
      </c>
      <c r="J255" s="297">
        <v>3.0895601429998201</v>
      </c>
      <c r="K255" s="297">
        <v>8.2724738472477686</v>
      </c>
      <c r="L255" s="296">
        <v>5.3727382807922375</v>
      </c>
      <c r="M255" s="297">
        <v>1.4590574054445911</v>
      </c>
      <c r="N255" s="298">
        <v>6.8317956862368288</v>
      </c>
      <c r="O255" s="1"/>
      <c r="P255" s="274">
        <f t="shared" si="24"/>
        <v>5.1656873849376517</v>
      </c>
      <c r="Q255" s="275">
        <f t="shared" si="25"/>
        <v>7.3055773965464725</v>
      </c>
      <c r="R255" s="171"/>
    </row>
    <row r="256" spans="2:18">
      <c r="B256" s="94">
        <f t="shared" si="26"/>
        <v>2042</v>
      </c>
      <c r="C256" s="1">
        <f t="shared" si="27"/>
        <v>11</v>
      </c>
      <c r="D256" s="213">
        <v>52171</v>
      </c>
      <c r="E256" s="1" t="str">
        <f t="shared" si="23"/>
        <v>11-2042</v>
      </c>
      <c r="F256" s="296">
        <v>5.1855726986804855</v>
      </c>
      <c r="G256" s="297">
        <v>1.8710524863820528</v>
      </c>
      <c r="H256" s="298">
        <v>7.0566251850625381</v>
      </c>
      <c r="I256" s="297">
        <v>5.4389447914393472</v>
      </c>
      <c r="J256" s="297">
        <v>3.0895601429998201</v>
      </c>
      <c r="K256" s="297">
        <v>8.5285049344391677</v>
      </c>
      <c r="L256" s="296">
        <v>5.6381488948185989</v>
      </c>
      <c r="M256" s="297">
        <v>1.4590574054445911</v>
      </c>
      <c r="N256" s="298">
        <v>7.0972063002631902</v>
      </c>
      <c r="O256" s="1"/>
      <c r="P256" s="274">
        <f t="shared" si="24"/>
        <v>5.4208887949794766</v>
      </c>
      <c r="Q256" s="275">
        <f t="shared" si="25"/>
        <v>7.5607788065882984</v>
      </c>
      <c r="R256" s="171"/>
    </row>
    <row r="257" spans="2:18">
      <c r="B257" s="94">
        <f t="shared" si="26"/>
        <v>2042</v>
      </c>
      <c r="C257" s="1">
        <f t="shared" si="27"/>
        <v>12</v>
      </c>
      <c r="D257" s="213">
        <v>52201</v>
      </c>
      <c r="E257" s="1" t="str">
        <f t="shared" si="23"/>
        <v>12-2042</v>
      </c>
      <c r="F257" s="296">
        <v>5.2272063229888648</v>
      </c>
      <c r="G257" s="297">
        <v>1.8710524863820528</v>
      </c>
      <c r="H257" s="298">
        <v>7.0982588093709174</v>
      </c>
      <c r="I257" s="297">
        <v>5.4825476541256526</v>
      </c>
      <c r="J257" s="297">
        <v>3.0895601429998201</v>
      </c>
      <c r="K257" s="297">
        <v>8.5721077971254722</v>
      </c>
      <c r="L257" s="296">
        <v>5.6833511241071362</v>
      </c>
      <c r="M257" s="297">
        <v>1.4590574054445911</v>
      </c>
      <c r="N257" s="298">
        <v>7.1424085295517274</v>
      </c>
      <c r="O257" s="1"/>
      <c r="P257" s="274">
        <f t="shared" si="24"/>
        <v>5.4643683670738845</v>
      </c>
      <c r="Q257" s="275">
        <f t="shared" si="25"/>
        <v>7.6042583786827054</v>
      </c>
      <c r="R257" s="171"/>
    </row>
    <row r="258" spans="2:18">
      <c r="B258" s="94">
        <f t="shared" si="26"/>
        <v>2043</v>
      </c>
      <c r="C258" s="1">
        <f t="shared" si="27"/>
        <v>1</v>
      </c>
      <c r="D258" s="213">
        <v>52232</v>
      </c>
      <c r="E258" s="1" t="str">
        <f t="shared" si="23"/>
        <v>1-2043</v>
      </c>
      <c r="F258" s="296">
        <v>5.2274505581919826</v>
      </c>
      <c r="G258" s="297">
        <v>1.9456414748133524</v>
      </c>
      <c r="H258" s="298">
        <v>7.1730920330053349</v>
      </c>
      <c r="I258" s="297">
        <v>5.4827418554528888</v>
      </c>
      <c r="J258" s="297">
        <v>3.2131425487198126</v>
      </c>
      <c r="K258" s="297">
        <v>8.6958844041727019</v>
      </c>
      <c r="L258" s="296">
        <v>5.6835549984420535</v>
      </c>
      <c r="M258" s="297">
        <v>1.5174197016623749</v>
      </c>
      <c r="N258" s="298">
        <v>7.2009747001044282</v>
      </c>
      <c r="O258" s="1"/>
      <c r="P258" s="274">
        <f t="shared" si="24"/>
        <v>5.4645824706956416</v>
      </c>
      <c r="Q258" s="275">
        <f t="shared" si="25"/>
        <v>7.6899837124274883</v>
      </c>
      <c r="R258" s="171"/>
    </row>
    <row r="259" spans="2:18">
      <c r="B259" s="94">
        <f t="shared" si="26"/>
        <v>2043</v>
      </c>
      <c r="C259" s="1">
        <f t="shared" si="27"/>
        <v>2</v>
      </c>
      <c r="D259" s="213">
        <v>52263</v>
      </c>
      <c r="E259" s="1" t="str">
        <f t="shared" si="23"/>
        <v>2-2043</v>
      </c>
      <c r="F259" s="296">
        <v>5.1127787072014232</v>
      </c>
      <c r="G259" s="297">
        <v>1.9456414748133524</v>
      </c>
      <c r="H259" s="298">
        <v>7.0584201820147756</v>
      </c>
      <c r="I259" s="297">
        <v>5.3624092010995472</v>
      </c>
      <c r="J259" s="297">
        <v>3.2131425487198126</v>
      </c>
      <c r="K259" s="297">
        <v>8.5755517498193594</v>
      </c>
      <c r="L259" s="296">
        <v>5.5588174954673892</v>
      </c>
      <c r="M259" s="297">
        <v>1.5174197016623749</v>
      </c>
      <c r="N259" s="298">
        <v>7.076237197129764</v>
      </c>
      <c r="O259" s="1"/>
      <c r="P259" s="274">
        <f t="shared" si="24"/>
        <v>5.3446684679227872</v>
      </c>
      <c r="Q259" s="275">
        <f t="shared" si="25"/>
        <v>7.570069709654633</v>
      </c>
      <c r="R259" s="171"/>
    </row>
    <row r="260" spans="2:18">
      <c r="B260" s="94">
        <f t="shared" si="26"/>
        <v>2043</v>
      </c>
      <c r="C260" s="1">
        <f t="shared" si="27"/>
        <v>3</v>
      </c>
      <c r="D260" s="213">
        <v>52291</v>
      </c>
      <c r="E260" s="1" t="str">
        <f t="shared" si="23"/>
        <v>3-2043</v>
      </c>
      <c r="F260" s="296">
        <v>4.6934892965292612</v>
      </c>
      <c r="G260" s="297">
        <v>1.9456414748133524</v>
      </c>
      <c r="H260" s="298">
        <v>6.6391307713426135</v>
      </c>
      <c r="I260" s="297">
        <v>4.9225924140441544</v>
      </c>
      <c r="J260" s="297">
        <v>3.2131425487198126</v>
      </c>
      <c r="K260" s="297">
        <v>8.1357349627639675</v>
      </c>
      <c r="L260" s="296">
        <v>5.1028938929254259</v>
      </c>
      <c r="M260" s="297">
        <v>1.5174197016623749</v>
      </c>
      <c r="N260" s="298">
        <v>6.6203135945878007</v>
      </c>
      <c r="O260" s="1"/>
      <c r="P260" s="274">
        <f t="shared" si="24"/>
        <v>4.9063252011662799</v>
      </c>
      <c r="Q260" s="275">
        <f t="shared" si="25"/>
        <v>7.1317264428981275</v>
      </c>
      <c r="R260" s="171"/>
    </row>
    <row r="261" spans="2:18">
      <c r="B261" s="94">
        <f t="shared" si="26"/>
        <v>2043</v>
      </c>
      <c r="C261" s="1">
        <f t="shared" si="27"/>
        <v>4</v>
      </c>
      <c r="D261" s="213">
        <v>52322</v>
      </c>
      <c r="E261" s="1" t="str">
        <f t="shared" si="23"/>
        <v>4-2043</v>
      </c>
      <c r="F261" s="296">
        <v>4.6135731842236627</v>
      </c>
      <c r="G261" s="297">
        <v>1.9456414748133524</v>
      </c>
      <c r="H261" s="298">
        <v>6.5592146590370151</v>
      </c>
      <c r="I261" s="297">
        <v>4.8387206543140753</v>
      </c>
      <c r="J261" s="297">
        <v>3.2131425487198126</v>
      </c>
      <c r="K261" s="297">
        <v>8.0518632030338875</v>
      </c>
      <c r="L261" s="296">
        <v>5.0159523938644774</v>
      </c>
      <c r="M261" s="297">
        <v>1.5174197016623749</v>
      </c>
      <c r="N261" s="298">
        <v>6.5333720955268522</v>
      </c>
      <c r="O261" s="1"/>
      <c r="P261" s="274">
        <f t="shared" si="24"/>
        <v>4.8227487441340715</v>
      </c>
      <c r="Q261" s="275">
        <f t="shared" si="25"/>
        <v>7.0481499858659191</v>
      </c>
      <c r="R261" s="171"/>
    </row>
    <row r="262" spans="2:18">
      <c r="B262" s="94">
        <f t="shared" si="26"/>
        <v>2043</v>
      </c>
      <c r="C262" s="1">
        <f t="shared" si="27"/>
        <v>5</v>
      </c>
      <c r="D262" s="213">
        <v>52352</v>
      </c>
      <c r="E262" s="1" t="str">
        <f t="shared" si="23"/>
        <v>5-2043</v>
      </c>
      <c r="F262" s="296">
        <v>4.7740829763594324</v>
      </c>
      <c r="G262" s="297">
        <v>1.9456414748133524</v>
      </c>
      <c r="H262" s="298">
        <v>6.7197244511727847</v>
      </c>
      <c r="I262" s="297">
        <v>5.0070068871923015</v>
      </c>
      <c r="J262" s="297">
        <v>3.2131425487198126</v>
      </c>
      <c r="K262" s="297">
        <v>8.2201494359121146</v>
      </c>
      <c r="L262" s="296">
        <v>5.190404922127235</v>
      </c>
      <c r="M262" s="297">
        <v>1.5174197016623749</v>
      </c>
      <c r="N262" s="298">
        <v>6.7078246237896098</v>
      </c>
      <c r="O262" s="1"/>
      <c r="P262" s="274">
        <f t="shared" si="24"/>
        <v>4.9904982618929905</v>
      </c>
      <c r="Q262" s="275">
        <f t="shared" si="25"/>
        <v>7.2158995036248363</v>
      </c>
      <c r="R262" s="171"/>
    </row>
    <row r="263" spans="2:18">
      <c r="B263" s="94">
        <f t="shared" si="26"/>
        <v>2043</v>
      </c>
      <c r="C263" s="1">
        <f t="shared" si="27"/>
        <v>6</v>
      </c>
      <c r="D263" s="213">
        <v>52383</v>
      </c>
      <c r="E263" s="1" t="str">
        <f t="shared" ref="E263:E326" si="28">C263&amp;"-"&amp;B263</f>
        <v>6-2043</v>
      </c>
      <c r="F263" s="296">
        <v>4.8974458989398624</v>
      </c>
      <c r="G263" s="297">
        <v>1.9456414748133524</v>
      </c>
      <c r="H263" s="298">
        <v>6.8430873737532147</v>
      </c>
      <c r="I263" s="297">
        <v>5.1363305101774275</v>
      </c>
      <c r="J263" s="297">
        <v>3.2131425487198126</v>
      </c>
      <c r="K263" s="297">
        <v>8.3494730588972406</v>
      </c>
      <c r="L263" s="296">
        <v>5.3244678465842936</v>
      </c>
      <c r="M263" s="297">
        <v>1.5174197016623749</v>
      </c>
      <c r="N263" s="298">
        <v>6.8418875482466683</v>
      </c>
      <c r="O263" s="1"/>
      <c r="P263" s="274">
        <f t="shared" ref="P263:P326" si="29">AVERAGE(F263,I263,L263)</f>
        <v>5.1194147519005284</v>
      </c>
      <c r="Q263" s="275">
        <f t="shared" ref="Q263:Q326" si="30">AVERAGE(H263,K263,N263)</f>
        <v>7.3448159936323743</v>
      </c>
      <c r="R263" s="171"/>
    </row>
    <row r="264" spans="2:18">
      <c r="B264" s="94">
        <f t="shared" si="26"/>
        <v>2043</v>
      </c>
      <c r="C264" s="1">
        <f t="shared" si="27"/>
        <v>7</v>
      </c>
      <c r="D264" s="213">
        <v>52413</v>
      </c>
      <c r="E264" s="1" t="str">
        <f t="shared" si="28"/>
        <v>7-2043</v>
      </c>
      <c r="F264" s="296">
        <v>4.93624229336627</v>
      </c>
      <c r="G264" s="297">
        <v>1.9456414748133524</v>
      </c>
      <c r="H264" s="298">
        <v>6.8818837681796223</v>
      </c>
      <c r="I264" s="297">
        <v>5.1769607413286245</v>
      </c>
      <c r="J264" s="297">
        <v>3.2131425487198126</v>
      </c>
      <c r="K264" s="297">
        <v>8.3901032900484367</v>
      </c>
      <c r="L264" s="296">
        <v>5.3665887313705785</v>
      </c>
      <c r="M264" s="297">
        <v>1.5174197016623749</v>
      </c>
      <c r="N264" s="298">
        <v>6.8840084330329532</v>
      </c>
      <c r="O264" s="1"/>
      <c r="P264" s="274">
        <f t="shared" si="29"/>
        <v>5.159930588688491</v>
      </c>
      <c r="Q264" s="275">
        <f t="shared" si="30"/>
        <v>7.3853318304203377</v>
      </c>
      <c r="R264" s="171"/>
    </row>
    <row r="265" spans="2:18">
      <c r="B265" s="94">
        <f t="shared" si="26"/>
        <v>2043</v>
      </c>
      <c r="C265" s="1">
        <f t="shared" si="27"/>
        <v>8</v>
      </c>
      <c r="D265" s="213">
        <v>52444</v>
      </c>
      <c r="E265" s="1" t="str">
        <f t="shared" si="28"/>
        <v>8-2043</v>
      </c>
      <c r="F265" s="296">
        <v>4.8980576536225389</v>
      </c>
      <c r="G265" s="297">
        <v>1.9456414748133524</v>
      </c>
      <c r="H265" s="298">
        <v>6.8436991284358912</v>
      </c>
      <c r="I265" s="297">
        <v>5.1368559042904067</v>
      </c>
      <c r="J265" s="297">
        <v>3.2131425487198126</v>
      </c>
      <c r="K265" s="297">
        <v>8.3499984530102189</v>
      </c>
      <c r="L265" s="296">
        <v>5.3250172866334564</v>
      </c>
      <c r="M265" s="297">
        <v>1.5174197016623749</v>
      </c>
      <c r="N265" s="298">
        <v>6.8424369882958311</v>
      </c>
      <c r="O265" s="1"/>
      <c r="P265" s="274">
        <f t="shared" si="29"/>
        <v>5.119976948182134</v>
      </c>
      <c r="Q265" s="275">
        <f t="shared" si="30"/>
        <v>7.3453781899139798</v>
      </c>
      <c r="R265" s="171"/>
    </row>
    <row r="266" spans="2:18">
      <c r="B266" s="94">
        <f t="shared" si="26"/>
        <v>2043</v>
      </c>
      <c r="C266" s="1">
        <f t="shared" si="27"/>
        <v>9</v>
      </c>
      <c r="D266" s="213">
        <v>52475</v>
      </c>
      <c r="E266" s="1" t="str">
        <f t="shared" si="28"/>
        <v>9-2043</v>
      </c>
      <c r="F266" s="296">
        <v>4.9668956787613503</v>
      </c>
      <c r="G266" s="297">
        <v>1.9456414748133524</v>
      </c>
      <c r="H266" s="298">
        <v>6.9125371535747027</v>
      </c>
      <c r="I266" s="297">
        <v>5.208991109122743</v>
      </c>
      <c r="J266" s="297">
        <v>3.2131425487198126</v>
      </c>
      <c r="K266" s="297">
        <v>8.4221336578425561</v>
      </c>
      <c r="L266" s="296">
        <v>5.3997972157459104</v>
      </c>
      <c r="M266" s="297">
        <v>1.5174197016623749</v>
      </c>
      <c r="N266" s="298">
        <v>6.9172169174082851</v>
      </c>
      <c r="O266" s="1"/>
      <c r="P266" s="274">
        <f t="shared" si="29"/>
        <v>5.1918946678766673</v>
      </c>
      <c r="Q266" s="275">
        <f t="shared" si="30"/>
        <v>7.4172959096085149</v>
      </c>
      <c r="R266" s="171"/>
    </row>
    <row r="267" spans="2:18">
      <c r="B267" s="94">
        <f t="shared" si="26"/>
        <v>2043</v>
      </c>
      <c r="C267" s="1">
        <f t="shared" si="27"/>
        <v>10</v>
      </c>
      <c r="D267" s="213">
        <v>52505</v>
      </c>
      <c r="E267" s="1" t="str">
        <f t="shared" si="28"/>
        <v>10-2043</v>
      </c>
      <c r="F267" s="296">
        <v>4.938216800807063</v>
      </c>
      <c r="G267" s="297">
        <v>1.9456414748133524</v>
      </c>
      <c r="H267" s="298">
        <v>6.8838582756204154</v>
      </c>
      <c r="I267" s="297">
        <v>5.1788557788881242</v>
      </c>
      <c r="J267" s="297">
        <v>3.2131425487198126</v>
      </c>
      <c r="K267" s="297">
        <v>8.3919983276079364</v>
      </c>
      <c r="L267" s="296">
        <v>5.368560445071008</v>
      </c>
      <c r="M267" s="297">
        <v>1.5174197016623749</v>
      </c>
      <c r="N267" s="298">
        <v>6.8859801467333828</v>
      </c>
      <c r="O267" s="1"/>
      <c r="P267" s="274">
        <f t="shared" si="29"/>
        <v>5.1618776749220645</v>
      </c>
      <c r="Q267" s="275">
        <f t="shared" si="30"/>
        <v>7.3872789166539121</v>
      </c>
      <c r="R267" s="171"/>
    </row>
    <row r="268" spans="2:18">
      <c r="B268" s="94">
        <f t="shared" si="26"/>
        <v>2043</v>
      </c>
      <c r="C268" s="1">
        <f t="shared" si="27"/>
        <v>11</v>
      </c>
      <c r="D268" s="213">
        <v>52536</v>
      </c>
      <c r="E268" s="1" t="str">
        <f t="shared" si="28"/>
        <v>11-2043</v>
      </c>
      <c r="F268" s="296">
        <v>5.1822373338183088</v>
      </c>
      <c r="G268" s="297">
        <v>1.9456414748133524</v>
      </c>
      <c r="H268" s="298">
        <v>7.1278788086316611</v>
      </c>
      <c r="I268" s="297">
        <v>5.4347059222754437</v>
      </c>
      <c r="J268" s="297">
        <v>3.2131425487198126</v>
      </c>
      <c r="K268" s="297">
        <v>8.6478484709952568</v>
      </c>
      <c r="L268" s="296">
        <v>5.6337850773173406</v>
      </c>
      <c r="M268" s="297">
        <v>1.5174197016623749</v>
      </c>
      <c r="N268" s="298">
        <v>7.1512047789797153</v>
      </c>
      <c r="O268" s="1"/>
      <c r="P268" s="274">
        <f t="shared" si="29"/>
        <v>5.416909444470364</v>
      </c>
      <c r="Q268" s="275">
        <f t="shared" si="30"/>
        <v>7.6423106862022108</v>
      </c>
      <c r="R268" s="171"/>
    </row>
    <row r="269" spans="2:18">
      <c r="B269" s="94">
        <f t="shared" si="26"/>
        <v>2043</v>
      </c>
      <c r="C269" s="1">
        <f t="shared" si="27"/>
        <v>12</v>
      </c>
      <c r="D269" s="213">
        <v>52566</v>
      </c>
      <c r="E269" s="1" t="str">
        <f t="shared" si="28"/>
        <v>12-2043</v>
      </c>
      <c r="F269" s="296">
        <v>5.2238601012204677</v>
      </c>
      <c r="G269" s="297">
        <v>1.9456414748133524</v>
      </c>
      <c r="H269" s="298">
        <v>7.1695015760338201</v>
      </c>
      <c r="I269" s="297">
        <v>5.4782944758869121</v>
      </c>
      <c r="J269" s="297">
        <v>3.2131425487198126</v>
      </c>
      <c r="K269" s="297">
        <v>8.6914370246067243</v>
      </c>
      <c r="L269" s="296">
        <v>5.6789728885511561</v>
      </c>
      <c r="M269" s="297">
        <v>1.5174197016623749</v>
      </c>
      <c r="N269" s="298">
        <v>7.1963925902135308</v>
      </c>
      <c r="O269" s="1"/>
      <c r="P269" s="274">
        <f t="shared" si="29"/>
        <v>5.4603758218861786</v>
      </c>
      <c r="Q269" s="275">
        <f t="shared" si="30"/>
        <v>7.6857770636180254</v>
      </c>
      <c r="R269" s="171"/>
    </row>
    <row r="270" spans="2:18">
      <c r="B270" s="94">
        <f t="shared" si="26"/>
        <v>2044</v>
      </c>
      <c r="C270" s="1">
        <f t="shared" si="27"/>
        <v>1</v>
      </c>
      <c r="D270" s="213">
        <v>52597</v>
      </c>
      <c r="E270" s="1" t="str">
        <f t="shared" si="28"/>
        <v>1-2044</v>
      </c>
      <c r="F270" s="296">
        <v>5.2241090310979308</v>
      </c>
      <c r="G270" s="297">
        <v>2.0232039737248892</v>
      </c>
      <c r="H270" s="298">
        <v>7.2473130048228196</v>
      </c>
      <c r="I270" s="297">
        <v>5.4784945802754335</v>
      </c>
      <c r="J270" s="297">
        <v>3.3416682506686057</v>
      </c>
      <c r="K270" s="297">
        <v>8.8201628309440387</v>
      </c>
      <c r="L270" s="296">
        <v>5.6791824274582421</v>
      </c>
      <c r="M270" s="297">
        <v>1.5781164897288698</v>
      </c>
      <c r="N270" s="298">
        <v>7.2572989171871116</v>
      </c>
      <c r="P270" s="274">
        <f t="shared" si="29"/>
        <v>5.4605953462772021</v>
      </c>
      <c r="Q270" s="275">
        <f t="shared" si="30"/>
        <v>7.7749249176513224</v>
      </c>
      <c r="R270" s="171"/>
    </row>
    <row r="271" spans="2:18">
      <c r="B271" s="94">
        <f t="shared" si="26"/>
        <v>2044</v>
      </c>
      <c r="C271" s="1">
        <f t="shared" si="27"/>
        <v>2</v>
      </c>
      <c r="D271" s="213">
        <v>52628</v>
      </c>
      <c r="E271" s="1" t="str">
        <f t="shared" si="28"/>
        <v>2-2044</v>
      </c>
      <c r="F271" s="296">
        <v>5.1095152265555539</v>
      </c>
      <c r="G271" s="297">
        <v>2.0232039737248892</v>
      </c>
      <c r="H271" s="298">
        <v>7.1327192002804427</v>
      </c>
      <c r="I271" s="297">
        <v>5.3582610647492546</v>
      </c>
      <c r="J271" s="297">
        <v>3.3416682506686057</v>
      </c>
      <c r="K271" s="297">
        <v>8.6999293154178599</v>
      </c>
      <c r="L271" s="296">
        <v>5.554546584292563</v>
      </c>
      <c r="M271" s="297">
        <v>1.5781164897288698</v>
      </c>
      <c r="N271" s="298">
        <v>7.1326630740214325</v>
      </c>
      <c r="P271" s="274">
        <f t="shared" si="29"/>
        <v>5.3407742918657908</v>
      </c>
      <c r="Q271" s="275">
        <f t="shared" si="30"/>
        <v>7.655103863239912</v>
      </c>
      <c r="R271" s="171"/>
    </row>
    <row r="272" spans="2:18">
      <c r="B272" s="94">
        <f t="shared" si="26"/>
        <v>2044</v>
      </c>
      <c r="C272" s="1">
        <f t="shared" si="27"/>
        <v>3</v>
      </c>
      <c r="D272" s="213">
        <v>52657</v>
      </c>
      <c r="E272" s="1" t="str">
        <f t="shared" si="28"/>
        <v>3-2044</v>
      </c>
      <c r="F272" s="296">
        <v>4.6904978042634164</v>
      </c>
      <c r="G272" s="297">
        <v>2.0232039737248892</v>
      </c>
      <c r="H272" s="298">
        <v>6.7137017779883053</v>
      </c>
      <c r="I272" s="297">
        <v>4.9187899382752232</v>
      </c>
      <c r="J272" s="297">
        <v>3.3416682506686057</v>
      </c>
      <c r="K272" s="297">
        <v>8.2604581889438293</v>
      </c>
      <c r="L272" s="296">
        <v>5.098978501938717</v>
      </c>
      <c r="M272" s="297">
        <v>1.5781164897288698</v>
      </c>
      <c r="N272" s="298">
        <v>6.6770949916675866</v>
      </c>
      <c r="P272" s="274">
        <f t="shared" si="29"/>
        <v>4.9027554148257861</v>
      </c>
      <c r="Q272" s="275">
        <f t="shared" si="30"/>
        <v>7.2170849861999073</v>
      </c>
      <c r="R272" s="171"/>
    </row>
    <row r="273" spans="2:18">
      <c r="B273" s="94">
        <f t="shared" si="26"/>
        <v>2044</v>
      </c>
      <c r="C273" s="1">
        <f t="shared" si="27"/>
        <v>4</v>
      </c>
      <c r="D273" s="213">
        <v>52688</v>
      </c>
      <c r="E273" s="1" t="str">
        <f t="shared" si="28"/>
        <v>4-2044</v>
      </c>
      <c r="F273" s="296">
        <v>4.6106369108625511</v>
      </c>
      <c r="G273" s="297">
        <v>2.0232039737248892</v>
      </c>
      <c r="H273" s="298">
        <v>6.6338408845874408</v>
      </c>
      <c r="I273" s="297">
        <v>4.8349883103135252</v>
      </c>
      <c r="J273" s="297">
        <v>3.3416682506686057</v>
      </c>
      <c r="K273" s="297">
        <v>8.1766565609821313</v>
      </c>
      <c r="L273" s="296">
        <v>5.0121088518639638</v>
      </c>
      <c r="M273" s="297">
        <v>1.5781164897288698</v>
      </c>
      <c r="N273" s="298">
        <v>6.5902253415928334</v>
      </c>
      <c r="P273" s="274">
        <f t="shared" si="29"/>
        <v>4.8192446910133464</v>
      </c>
      <c r="Q273" s="275">
        <f t="shared" si="30"/>
        <v>7.1335742623874685</v>
      </c>
      <c r="R273" s="171"/>
    </row>
    <row r="274" spans="2:18">
      <c r="B274" s="94">
        <f t="shared" si="26"/>
        <v>2044</v>
      </c>
      <c r="C274" s="1">
        <f t="shared" si="27"/>
        <v>5</v>
      </c>
      <c r="D274" s="213">
        <v>52718</v>
      </c>
      <c r="E274" s="1" t="str">
        <f t="shared" si="28"/>
        <v>5-2044</v>
      </c>
      <c r="F274" s="296">
        <v>4.7710489799623792</v>
      </c>
      <c r="G274" s="297">
        <v>2.0232039737248892</v>
      </c>
      <c r="H274" s="298">
        <v>6.794252953687268</v>
      </c>
      <c r="I274" s="297">
        <v>5.0031502670149415</v>
      </c>
      <c r="J274" s="297">
        <v>3.3416682506686057</v>
      </c>
      <c r="K274" s="297">
        <v>8.3448185176835477</v>
      </c>
      <c r="L274" s="296">
        <v>5.1864330227254918</v>
      </c>
      <c r="M274" s="297">
        <v>1.5781164897288698</v>
      </c>
      <c r="N274" s="298">
        <v>6.7645495124543613</v>
      </c>
      <c r="P274" s="274">
        <f t="shared" si="29"/>
        <v>4.9868774232342714</v>
      </c>
      <c r="Q274" s="275">
        <f t="shared" si="30"/>
        <v>7.3012069946083926</v>
      </c>
      <c r="R274" s="171"/>
    </row>
    <row r="275" spans="2:18">
      <c r="B275" s="94">
        <f t="shared" si="26"/>
        <v>2044</v>
      </c>
      <c r="C275" s="1">
        <f t="shared" si="27"/>
        <v>6</v>
      </c>
      <c r="D275" s="213">
        <v>52749</v>
      </c>
      <c r="E275" s="1" t="str">
        <f t="shared" si="28"/>
        <v>6-2044</v>
      </c>
      <c r="F275" s="296">
        <v>4.8943380508899974</v>
      </c>
      <c r="G275" s="297">
        <v>2.0232039737248892</v>
      </c>
      <c r="H275" s="298">
        <v>6.9175420246148871</v>
      </c>
      <c r="I275" s="297">
        <v>5.1323799540713546</v>
      </c>
      <c r="J275" s="297">
        <v>3.3416682506686057</v>
      </c>
      <c r="K275" s="297">
        <v>8.4740482047399599</v>
      </c>
      <c r="L275" s="296">
        <v>5.3203988143482137</v>
      </c>
      <c r="M275" s="297">
        <v>1.5781164897288698</v>
      </c>
      <c r="N275" s="298">
        <v>6.8985153040770832</v>
      </c>
      <c r="P275" s="274">
        <f t="shared" si="29"/>
        <v>5.1157056064365216</v>
      </c>
      <c r="Q275" s="275">
        <f t="shared" si="30"/>
        <v>7.4300351778106437</v>
      </c>
      <c r="R275" s="171"/>
    </row>
    <row r="276" spans="2:18">
      <c r="B276" s="94">
        <f t="shared" si="26"/>
        <v>2044</v>
      </c>
      <c r="C276" s="1">
        <f t="shared" si="27"/>
        <v>7</v>
      </c>
      <c r="D276" s="213">
        <v>52779</v>
      </c>
      <c r="E276" s="1" t="str">
        <f t="shared" si="28"/>
        <v>7-2044</v>
      </c>
      <c r="F276" s="296">
        <v>4.9331144094060795</v>
      </c>
      <c r="G276" s="297">
        <v>2.0232039737248892</v>
      </c>
      <c r="H276" s="298">
        <v>6.9563183831309683</v>
      </c>
      <c r="I276" s="297">
        <v>5.1729846554236483</v>
      </c>
      <c r="J276" s="297">
        <v>3.3416682506686057</v>
      </c>
      <c r="K276" s="297">
        <v>8.5146529060922536</v>
      </c>
      <c r="L276" s="296">
        <v>5.362493010969513</v>
      </c>
      <c r="M276" s="297">
        <v>1.5781164897288698</v>
      </c>
      <c r="N276" s="298">
        <v>6.9406095006983826</v>
      </c>
      <c r="P276" s="274">
        <f t="shared" si="29"/>
        <v>5.1561973585997469</v>
      </c>
      <c r="Q276" s="275">
        <f t="shared" si="30"/>
        <v>7.4705269299738681</v>
      </c>
      <c r="R276" s="171"/>
    </row>
    <row r="277" spans="2:18">
      <c r="B277" s="94">
        <f t="shared" si="26"/>
        <v>2044</v>
      </c>
      <c r="C277" s="1">
        <f t="shared" si="27"/>
        <v>8</v>
      </c>
      <c r="D277" s="213">
        <v>52810</v>
      </c>
      <c r="E277" s="1" t="str">
        <f t="shared" si="28"/>
        <v>8-2044</v>
      </c>
      <c r="F277" s="296">
        <v>4.8949585143685788</v>
      </c>
      <c r="G277" s="297">
        <v>2.0232039737248892</v>
      </c>
      <c r="H277" s="298">
        <v>6.9181624880934685</v>
      </c>
      <c r="I277" s="297">
        <v>5.1329162972417199</v>
      </c>
      <c r="J277" s="297">
        <v>3.3416682506686057</v>
      </c>
      <c r="K277" s="297">
        <v>8.4745845479103252</v>
      </c>
      <c r="L277" s="296">
        <v>5.3209587523801716</v>
      </c>
      <c r="M277" s="297">
        <v>1.5781164897288698</v>
      </c>
      <c r="N277" s="298">
        <v>6.8990752421090411</v>
      </c>
      <c r="P277" s="274">
        <f t="shared" si="29"/>
        <v>5.1162778546634904</v>
      </c>
      <c r="Q277" s="275">
        <f t="shared" si="30"/>
        <v>7.4306074260376116</v>
      </c>
      <c r="R277" s="171"/>
    </row>
    <row r="278" spans="2:18">
      <c r="B278" s="94">
        <f t="shared" si="26"/>
        <v>2044</v>
      </c>
      <c r="C278" s="1">
        <f t="shared" si="27"/>
        <v>9</v>
      </c>
      <c r="D278" s="213">
        <v>52841</v>
      </c>
      <c r="E278" s="1" t="str">
        <f t="shared" si="28"/>
        <v>9-2044</v>
      </c>
      <c r="F278" s="296">
        <v>4.9637575969140615</v>
      </c>
      <c r="G278" s="297">
        <v>2.0232039737248892</v>
      </c>
      <c r="H278" s="298">
        <v>6.9869615706389503</v>
      </c>
      <c r="I278" s="297">
        <v>5.2050019368582454</v>
      </c>
      <c r="J278" s="297">
        <v>3.3416682506686057</v>
      </c>
      <c r="K278" s="297">
        <v>8.5466701875268516</v>
      </c>
      <c r="L278" s="296">
        <v>5.3956872236174807</v>
      </c>
      <c r="M278" s="297">
        <v>1.5781164897288698</v>
      </c>
      <c r="N278" s="298">
        <v>6.9738037133463502</v>
      </c>
      <c r="P278" s="274">
        <f t="shared" si="29"/>
        <v>5.1881489191299286</v>
      </c>
      <c r="Q278" s="275">
        <f t="shared" si="30"/>
        <v>7.5024784905040507</v>
      </c>
      <c r="R278" s="171"/>
    </row>
    <row r="279" spans="2:18">
      <c r="B279" s="94">
        <f t="shared" si="26"/>
        <v>2044</v>
      </c>
      <c r="C279" s="1">
        <f t="shared" si="27"/>
        <v>10</v>
      </c>
      <c r="D279" s="213">
        <v>52871</v>
      </c>
      <c r="E279" s="1" t="str">
        <f t="shared" si="28"/>
        <v>10-2044</v>
      </c>
      <c r="F279" s="296">
        <v>4.9351014252787442</v>
      </c>
      <c r="G279" s="297">
        <v>2.0232039737248892</v>
      </c>
      <c r="H279" s="298">
        <v>6.958305399003633</v>
      </c>
      <c r="I279" s="297">
        <v>5.1748954098368616</v>
      </c>
      <c r="J279" s="297">
        <v>3.3416682506686057</v>
      </c>
      <c r="K279" s="297">
        <v>8.5165636605054669</v>
      </c>
      <c r="L279" s="296">
        <v>5.3644797337853536</v>
      </c>
      <c r="M279" s="297">
        <v>1.5781164897288698</v>
      </c>
      <c r="N279" s="298">
        <v>6.9425962235142231</v>
      </c>
      <c r="P279" s="274">
        <f t="shared" si="29"/>
        <v>5.1581588563003198</v>
      </c>
      <c r="Q279" s="275">
        <f t="shared" si="30"/>
        <v>7.472488427674441</v>
      </c>
      <c r="R279" s="171"/>
    </row>
    <row r="280" spans="2:18">
      <c r="B280" s="94">
        <f t="shared" si="26"/>
        <v>2044</v>
      </c>
      <c r="C280" s="1">
        <f t="shared" si="27"/>
        <v>11</v>
      </c>
      <c r="D280" s="213">
        <v>52902</v>
      </c>
      <c r="E280" s="1" t="str">
        <f t="shared" si="28"/>
        <v>11-2044</v>
      </c>
      <c r="F280" s="296">
        <v>5.1789728271235838</v>
      </c>
      <c r="G280" s="297">
        <v>2.0232039737248892</v>
      </c>
      <c r="H280" s="298">
        <v>7.2021768008484734</v>
      </c>
      <c r="I280" s="297">
        <v>5.4305559082203558</v>
      </c>
      <c r="J280" s="297">
        <v>3.3416682506686057</v>
      </c>
      <c r="K280" s="297">
        <v>8.772224158888962</v>
      </c>
      <c r="L280" s="296">
        <v>5.6295085434716601</v>
      </c>
      <c r="M280" s="297">
        <v>1.5781164897288698</v>
      </c>
      <c r="N280" s="298">
        <v>7.2076250332005296</v>
      </c>
      <c r="P280" s="274">
        <f t="shared" si="29"/>
        <v>5.4130124262718669</v>
      </c>
      <c r="Q280" s="275">
        <f t="shared" si="30"/>
        <v>7.7273419976459889</v>
      </c>
      <c r="R280" s="171"/>
    </row>
    <row r="281" spans="2:18">
      <c r="B281" s="94">
        <f t="shared" si="26"/>
        <v>2044</v>
      </c>
      <c r="C281" s="1">
        <f t="shared" si="27"/>
        <v>12</v>
      </c>
      <c r="D281" s="213">
        <v>52932</v>
      </c>
      <c r="E281" s="1" t="str">
        <f t="shared" si="28"/>
        <v>12-2044</v>
      </c>
      <c r="F281" s="296">
        <v>5.2205742279998173</v>
      </c>
      <c r="G281" s="297">
        <v>2.0232039737248892</v>
      </c>
      <c r="H281" s="298">
        <v>7.243778201724707</v>
      </c>
      <c r="I281" s="297">
        <v>5.4741172344479017</v>
      </c>
      <c r="J281" s="297">
        <v>3.3416682506686057</v>
      </c>
      <c r="K281" s="297">
        <v>8.8157854851165069</v>
      </c>
      <c r="L281" s="296">
        <v>5.6746678783788411</v>
      </c>
      <c r="M281" s="297">
        <v>1.5781164897288698</v>
      </c>
      <c r="N281" s="298">
        <v>7.2527843681077107</v>
      </c>
      <c r="P281" s="274">
        <f t="shared" si="29"/>
        <v>5.4564531136088528</v>
      </c>
      <c r="Q281" s="275">
        <f t="shared" si="30"/>
        <v>7.7707826849829758</v>
      </c>
      <c r="R281" s="171"/>
    </row>
    <row r="282" spans="2:18">
      <c r="B282" s="94">
        <f t="shared" si="26"/>
        <v>2045</v>
      </c>
      <c r="C282" s="1">
        <f t="shared" si="27"/>
        <v>1</v>
      </c>
      <c r="D282" s="213">
        <v>52963</v>
      </c>
      <c r="E282" s="1" t="str">
        <f t="shared" si="28"/>
        <v>1-2045</v>
      </c>
      <c r="F282" s="296">
        <v>5.2208413205704627</v>
      </c>
      <c r="G282" s="297">
        <v>2.1038585245552777</v>
      </c>
      <c r="H282" s="298">
        <v>7.3246998451257408</v>
      </c>
      <c r="I282" s="297">
        <v>5.4743403002000077</v>
      </c>
      <c r="J282" s="297">
        <v>3.4753349806953504</v>
      </c>
      <c r="K282" s="297">
        <v>8.9496752808953577</v>
      </c>
      <c r="L282" s="296">
        <v>5.6749015961690192</v>
      </c>
      <c r="M282" s="297">
        <v>1.6412411493180241</v>
      </c>
      <c r="N282" s="298">
        <v>7.3161427454870438</v>
      </c>
      <c r="P282" s="274">
        <f t="shared" si="29"/>
        <v>5.4566944056464957</v>
      </c>
      <c r="Q282" s="275">
        <f t="shared" si="30"/>
        <v>7.8635059571693802</v>
      </c>
      <c r="R282" s="171"/>
    </row>
    <row r="283" spans="2:18">
      <c r="B283" s="94">
        <f t="shared" si="26"/>
        <v>2045</v>
      </c>
      <c r="C283" s="1">
        <f t="shared" si="27"/>
        <v>2</v>
      </c>
      <c r="D283" s="213">
        <v>52994</v>
      </c>
      <c r="E283" s="1" t="str">
        <f t="shared" si="28"/>
        <v>2-2045</v>
      </c>
      <c r="F283" s="296">
        <v>5.1063371144261795</v>
      </c>
      <c r="G283" s="297">
        <v>2.1038585245552777</v>
      </c>
      <c r="H283" s="298">
        <v>7.2101956389814568</v>
      </c>
      <c r="I283" s="297">
        <v>5.354220565928939</v>
      </c>
      <c r="J283" s="297">
        <v>3.4753349806953504</v>
      </c>
      <c r="K283" s="297">
        <v>8.8295555466242899</v>
      </c>
      <c r="L283" s="296">
        <v>5.5503835071242822</v>
      </c>
      <c r="M283" s="297">
        <v>1.6412411493180241</v>
      </c>
      <c r="N283" s="298">
        <v>7.1916246564423059</v>
      </c>
      <c r="P283" s="274">
        <f t="shared" si="29"/>
        <v>5.3369803958264681</v>
      </c>
      <c r="Q283" s="275">
        <f t="shared" si="30"/>
        <v>7.7437919473493508</v>
      </c>
      <c r="R283" s="171"/>
    </row>
    <row r="284" spans="2:18">
      <c r="B284" s="94">
        <f t="shared" si="26"/>
        <v>2045</v>
      </c>
      <c r="C284" s="1">
        <f t="shared" si="27"/>
        <v>3</v>
      </c>
      <c r="D284" s="213">
        <v>53022</v>
      </c>
      <c r="E284" s="1" t="str">
        <f t="shared" si="28"/>
        <v>3-2045</v>
      </c>
      <c r="F284" s="296">
        <v>4.6875967719698943</v>
      </c>
      <c r="G284" s="297">
        <v>2.1038585245552777</v>
      </c>
      <c r="H284" s="298">
        <v>6.7914552965251715</v>
      </c>
      <c r="I284" s="297">
        <v>4.9151015888375609</v>
      </c>
      <c r="J284" s="297">
        <v>3.4753349806953504</v>
      </c>
      <c r="K284" s="297">
        <v>8.3904365695329108</v>
      </c>
      <c r="L284" s="296">
        <v>5.0951787253236471</v>
      </c>
      <c r="M284" s="297">
        <v>1.6412411493180241</v>
      </c>
      <c r="N284" s="298">
        <v>6.7364198746416708</v>
      </c>
      <c r="P284" s="274">
        <f t="shared" si="29"/>
        <v>4.8992923620437008</v>
      </c>
      <c r="Q284" s="275">
        <f t="shared" si="30"/>
        <v>7.3061039135665844</v>
      </c>
      <c r="R284" s="171"/>
    </row>
    <row r="285" spans="2:18">
      <c r="B285" s="94">
        <f t="shared" si="26"/>
        <v>2045</v>
      </c>
      <c r="C285" s="1">
        <f t="shared" si="27"/>
        <v>4</v>
      </c>
      <c r="D285" s="213">
        <v>53053</v>
      </c>
      <c r="E285" s="1" t="str">
        <f t="shared" si="28"/>
        <v>4-2045</v>
      </c>
      <c r="F285" s="296">
        <v>4.6078014449500531</v>
      </c>
      <c r="G285" s="297">
        <v>2.1038585245552777</v>
      </c>
      <c r="H285" s="298">
        <v>6.7116599695053303</v>
      </c>
      <c r="I285" s="297">
        <v>4.8313832061887734</v>
      </c>
      <c r="J285" s="297">
        <v>3.4753349806953504</v>
      </c>
      <c r="K285" s="297">
        <v>8.3067181868841242</v>
      </c>
      <c r="L285" s="296">
        <v>5.0083952979905515</v>
      </c>
      <c r="M285" s="297">
        <v>1.6412411493180241</v>
      </c>
      <c r="N285" s="298">
        <v>6.6496364473085752</v>
      </c>
      <c r="P285" s="274">
        <f t="shared" si="29"/>
        <v>4.8158599830431266</v>
      </c>
      <c r="Q285" s="275">
        <f t="shared" si="30"/>
        <v>7.2226715345660102</v>
      </c>
      <c r="R285" s="171"/>
    </row>
    <row r="286" spans="2:18">
      <c r="B286" s="94">
        <f t="shared" si="26"/>
        <v>2045</v>
      </c>
      <c r="C286" s="1">
        <f t="shared" si="27"/>
        <v>5</v>
      </c>
      <c r="D286" s="213">
        <v>53083</v>
      </c>
      <c r="E286" s="1" t="str">
        <f t="shared" si="28"/>
        <v>5-2045</v>
      </c>
      <c r="F286" s="296">
        <v>4.7681316008194097</v>
      </c>
      <c r="G286" s="297">
        <v>2.1038585245552777</v>
      </c>
      <c r="H286" s="298">
        <v>6.8719901253746869</v>
      </c>
      <c r="I286" s="297">
        <v>4.9994408957623762</v>
      </c>
      <c r="J286" s="297">
        <v>3.4753349806953504</v>
      </c>
      <c r="K286" s="297">
        <v>8.474775876457727</v>
      </c>
      <c r="L286" s="296">
        <v>5.1826125465286355</v>
      </c>
      <c r="M286" s="297">
        <v>1.6412411493180241</v>
      </c>
      <c r="N286" s="298">
        <v>6.82385369584666</v>
      </c>
      <c r="P286" s="274">
        <f t="shared" si="29"/>
        <v>4.9833950143701395</v>
      </c>
      <c r="Q286" s="275">
        <f t="shared" si="30"/>
        <v>7.390206565893024</v>
      </c>
      <c r="R286" s="171"/>
    </row>
    <row r="287" spans="2:18">
      <c r="B287" s="94">
        <f t="shared" si="26"/>
        <v>2045</v>
      </c>
      <c r="C287" s="1">
        <f t="shared" si="27"/>
        <v>6</v>
      </c>
      <c r="D287" s="213">
        <v>53114</v>
      </c>
      <c r="E287" s="1" t="str">
        <f t="shared" si="28"/>
        <v>6-2045</v>
      </c>
      <c r="F287" s="296">
        <v>4.8913624553839146</v>
      </c>
      <c r="G287" s="297">
        <v>2.1038585245552777</v>
      </c>
      <c r="H287" s="298">
        <v>6.9952209799391927</v>
      </c>
      <c r="I287" s="297">
        <v>5.1285964384503391</v>
      </c>
      <c r="J287" s="297">
        <v>3.4753349806953504</v>
      </c>
      <c r="K287" s="297">
        <v>8.6039314191456899</v>
      </c>
      <c r="L287" s="296">
        <v>5.3165024696799721</v>
      </c>
      <c r="M287" s="297">
        <v>1.6412411493180241</v>
      </c>
      <c r="N287" s="298">
        <v>6.9577436189979966</v>
      </c>
      <c r="P287" s="274">
        <f t="shared" si="29"/>
        <v>5.1121537878380749</v>
      </c>
      <c r="Q287" s="275">
        <f t="shared" si="30"/>
        <v>7.5189653393609603</v>
      </c>
      <c r="R287" s="171"/>
    </row>
    <row r="288" spans="2:18">
      <c r="B288" s="94">
        <f t="shared" si="26"/>
        <v>2045</v>
      </c>
      <c r="C288" s="1">
        <f t="shared" si="27"/>
        <v>7</v>
      </c>
      <c r="D288" s="213">
        <v>53144</v>
      </c>
      <c r="E288" s="1" t="str">
        <f t="shared" si="28"/>
        <v>7-2045</v>
      </c>
      <c r="F288" s="296">
        <v>4.9301325488928063</v>
      </c>
      <c r="G288" s="297">
        <v>2.1038585245552777</v>
      </c>
      <c r="H288" s="298">
        <v>7.0339910734480835</v>
      </c>
      <c r="I288" s="297">
        <v>5.1691930482495083</v>
      </c>
      <c r="J288" s="297">
        <v>3.4753349806953504</v>
      </c>
      <c r="K288" s="297">
        <v>8.6445280289448583</v>
      </c>
      <c r="L288" s="296">
        <v>5.3585888370152084</v>
      </c>
      <c r="M288" s="297">
        <v>1.6412411493180241</v>
      </c>
      <c r="N288" s="298">
        <v>6.9998299863332321</v>
      </c>
      <c r="P288" s="274">
        <f t="shared" si="29"/>
        <v>5.152638144719174</v>
      </c>
      <c r="Q288" s="275">
        <f t="shared" si="30"/>
        <v>7.5594496962420576</v>
      </c>
      <c r="R288" s="171"/>
    </row>
    <row r="289" spans="2:18">
      <c r="B289" s="94">
        <f t="shared" si="26"/>
        <v>2045</v>
      </c>
      <c r="C289" s="1">
        <f t="shared" si="27"/>
        <v>8</v>
      </c>
      <c r="D289" s="213">
        <v>53175</v>
      </c>
      <c r="E289" s="1" t="str">
        <f t="shared" si="28"/>
        <v>8-2045</v>
      </c>
      <c r="F289" s="296">
        <v>4.8920168951434411</v>
      </c>
      <c r="G289" s="297">
        <v>2.1038585245552777</v>
      </c>
      <c r="H289" s="298">
        <v>6.9958754196987183</v>
      </c>
      <c r="I289" s="297">
        <v>5.1291757339152255</v>
      </c>
      <c r="J289" s="297">
        <v>3.4753349806953504</v>
      </c>
      <c r="K289" s="297">
        <v>8.6045107146105764</v>
      </c>
      <c r="L289" s="296">
        <v>5.3171076402928774</v>
      </c>
      <c r="M289" s="297">
        <v>1.6412411493180241</v>
      </c>
      <c r="N289" s="298">
        <v>6.958348789610902</v>
      </c>
      <c r="P289" s="274">
        <f t="shared" si="29"/>
        <v>5.1127667564505153</v>
      </c>
      <c r="Q289" s="275">
        <f t="shared" si="30"/>
        <v>7.5195783079733998</v>
      </c>
      <c r="R289" s="171"/>
    </row>
    <row r="290" spans="2:18">
      <c r="B290" s="94">
        <f t="shared" si="26"/>
        <v>2045</v>
      </c>
      <c r="C290" s="1">
        <f t="shared" si="27"/>
        <v>9</v>
      </c>
      <c r="D290" s="213">
        <v>53206</v>
      </c>
      <c r="E290" s="1" t="str">
        <f t="shared" si="28"/>
        <v>9-2045</v>
      </c>
      <c r="F290" s="296">
        <v>4.9607920538781567</v>
      </c>
      <c r="G290" s="297">
        <v>2.1038585245552777</v>
      </c>
      <c r="H290" s="298">
        <v>7.0646505784334348</v>
      </c>
      <c r="I290" s="297">
        <v>5.2012308242304961</v>
      </c>
      <c r="J290" s="297">
        <v>3.4753349806953504</v>
      </c>
      <c r="K290" s="297">
        <v>8.6765658049258469</v>
      </c>
      <c r="L290" s="296">
        <v>5.3918051720594979</v>
      </c>
      <c r="M290" s="297">
        <v>1.6412411493180241</v>
      </c>
      <c r="N290" s="298">
        <v>7.0330463213775225</v>
      </c>
      <c r="P290" s="274">
        <f t="shared" si="29"/>
        <v>5.1846093500560499</v>
      </c>
      <c r="Q290" s="275">
        <f t="shared" si="30"/>
        <v>7.5914209015789353</v>
      </c>
      <c r="R290" s="171"/>
    </row>
    <row r="291" spans="2:18">
      <c r="B291" s="94">
        <f t="shared" si="26"/>
        <v>2045</v>
      </c>
      <c r="C291" s="1">
        <f t="shared" si="27"/>
        <v>10</v>
      </c>
      <c r="D291" s="213">
        <v>53236</v>
      </c>
      <c r="E291" s="1" t="str">
        <f t="shared" si="28"/>
        <v>10-2045</v>
      </c>
      <c r="F291" s="296">
        <v>4.9321703247178288</v>
      </c>
      <c r="G291" s="297">
        <v>2.1038585245552777</v>
      </c>
      <c r="H291" s="298">
        <v>7.0360288492731069</v>
      </c>
      <c r="I291" s="297">
        <v>5.171167967945224</v>
      </c>
      <c r="J291" s="297">
        <v>3.4753349806953504</v>
      </c>
      <c r="K291" s="297">
        <v>8.646502948640574</v>
      </c>
      <c r="L291" s="296">
        <v>5.360643150429965</v>
      </c>
      <c r="M291" s="297">
        <v>1.6412411493180241</v>
      </c>
      <c r="N291" s="298">
        <v>7.0018842997479886</v>
      </c>
      <c r="P291" s="274">
        <f t="shared" si="29"/>
        <v>5.1546604810310059</v>
      </c>
      <c r="Q291" s="275">
        <f t="shared" si="30"/>
        <v>7.5614720325538896</v>
      </c>
      <c r="R291" s="171"/>
    </row>
    <row r="292" spans="2:18">
      <c r="B292" s="94">
        <f t="shared" si="26"/>
        <v>2045</v>
      </c>
      <c r="C292" s="1">
        <f t="shared" si="27"/>
        <v>11</v>
      </c>
      <c r="D292" s="213">
        <v>53267</v>
      </c>
      <c r="E292" s="1" t="str">
        <f t="shared" si="28"/>
        <v>11-2045</v>
      </c>
      <c r="F292" s="296">
        <v>5.1759150642795708</v>
      </c>
      <c r="G292" s="297">
        <v>2.1038585245552777</v>
      </c>
      <c r="H292" s="298">
        <v>7.279773588834848</v>
      </c>
      <c r="I292" s="297">
        <v>5.4266672566501635</v>
      </c>
      <c r="J292" s="297">
        <v>3.4753349806953504</v>
      </c>
      <c r="K292" s="297">
        <v>8.9020022373455134</v>
      </c>
      <c r="L292" s="296">
        <v>5.6255065714466452</v>
      </c>
      <c r="M292" s="297">
        <v>1.6412411493180241</v>
      </c>
      <c r="N292" s="298">
        <v>7.2667477207646698</v>
      </c>
      <c r="P292" s="274">
        <f t="shared" si="29"/>
        <v>5.4093629641254601</v>
      </c>
      <c r="Q292" s="275">
        <f t="shared" si="30"/>
        <v>7.8161745156483446</v>
      </c>
      <c r="R292" s="171"/>
    </row>
    <row r="293" spans="2:18">
      <c r="B293" s="94">
        <f t="shared" si="26"/>
        <v>2045</v>
      </c>
      <c r="C293" s="1">
        <f t="shared" si="27"/>
        <v>12</v>
      </c>
      <c r="D293" s="213">
        <v>53297</v>
      </c>
      <c r="E293" s="1" t="str">
        <f t="shared" si="28"/>
        <v>12-2045</v>
      </c>
      <c r="F293" s="296">
        <v>5.2175102309151367</v>
      </c>
      <c r="G293" s="297">
        <v>2.1038585245552777</v>
      </c>
      <c r="H293" s="298">
        <v>7.3213687554704148</v>
      </c>
      <c r="I293" s="297">
        <v>5.4702205177691052</v>
      </c>
      <c r="J293" s="297">
        <v>3.4753349806953504</v>
      </c>
      <c r="K293" s="297">
        <v>8.9455554984644561</v>
      </c>
      <c r="L293" s="296">
        <v>5.6706581551616129</v>
      </c>
      <c r="M293" s="297">
        <v>1.6412411493180241</v>
      </c>
      <c r="N293" s="298">
        <v>7.3118993044796365</v>
      </c>
      <c r="P293" s="274">
        <f t="shared" si="29"/>
        <v>5.4527963012819525</v>
      </c>
      <c r="Q293" s="275">
        <f t="shared" si="30"/>
        <v>7.8596078528048352</v>
      </c>
      <c r="R293" s="171"/>
    </row>
    <row r="294" spans="2:18">
      <c r="B294" s="94">
        <f t="shared" si="26"/>
        <v>2046</v>
      </c>
      <c r="C294" s="1">
        <f t="shared" si="27"/>
        <v>1</v>
      </c>
      <c r="D294" s="213">
        <v>53328</v>
      </c>
      <c r="E294" s="1" t="str">
        <f t="shared" si="28"/>
        <v>1-2046</v>
      </c>
      <c r="F294" s="296">
        <v>5.2177799210499121</v>
      </c>
      <c r="G294" s="297">
        <v>2.1877283945593935</v>
      </c>
      <c r="H294" s="298">
        <v>7.4055083156093051</v>
      </c>
      <c r="I294" s="297">
        <v>5.470447662514462</v>
      </c>
      <c r="J294" s="297">
        <v>3.6143483799231637</v>
      </c>
      <c r="K294" s="297">
        <v>9.0847960424376257</v>
      </c>
      <c r="L294" s="296">
        <v>5.6708956146542118</v>
      </c>
      <c r="M294" s="297">
        <v>1.7068907952907455</v>
      </c>
      <c r="N294" s="298">
        <v>7.3777864099449575</v>
      </c>
      <c r="P294" s="274">
        <f t="shared" si="29"/>
        <v>5.4530410660728608</v>
      </c>
      <c r="Q294" s="275">
        <f t="shared" si="30"/>
        <v>7.9560302559972955</v>
      </c>
      <c r="R294" s="171"/>
    </row>
    <row r="295" spans="2:18">
      <c r="B295" s="94">
        <f t="shared" si="26"/>
        <v>2046</v>
      </c>
      <c r="C295" s="1">
        <f t="shared" si="27"/>
        <v>2</v>
      </c>
      <c r="D295" s="213">
        <v>53359</v>
      </c>
      <c r="E295" s="1" t="str">
        <f t="shared" si="28"/>
        <v>2-2046</v>
      </c>
      <c r="F295" s="296">
        <v>5.1033455521170303</v>
      </c>
      <c r="G295" s="297">
        <v>2.1877283945593935</v>
      </c>
      <c r="H295" s="298">
        <v>7.2910739466764234</v>
      </c>
      <c r="I295" s="297">
        <v>5.3504174870368235</v>
      </c>
      <c r="J295" s="297">
        <v>3.6143483799231637</v>
      </c>
      <c r="K295" s="297">
        <v>8.9647658669599863</v>
      </c>
      <c r="L295" s="296">
        <v>5.5464692460050209</v>
      </c>
      <c r="M295" s="297">
        <v>1.7068907952907455</v>
      </c>
      <c r="N295" s="298">
        <v>7.2533600412957666</v>
      </c>
      <c r="P295" s="274">
        <f t="shared" si="29"/>
        <v>5.333410761719624</v>
      </c>
      <c r="Q295" s="275">
        <f t="shared" si="30"/>
        <v>7.8363999516440588</v>
      </c>
      <c r="R295" s="171"/>
    </row>
    <row r="296" spans="2:18">
      <c r="B296" s="94">
        <f t="shared" si="26"/>
        <v>2046</v>
      </c>
      <c r="C296" s="1">
        <f t="shared" si="27"/>
        <v>3</v>
      </c>
      <c r="D296" s="213">
        <v>53387</v>
      </c>
      <c r="E296" s="1" t="str">
        <f t="shared" si="28"/>
        <v>3-2046</v>
      </c>
      <c r="F296" s="296">
        <v>4.6848530033833979</v>
      </c>
      <c r="G296" s="297">
        <v>2.1877283945593935</v>
      </c>
      <c r="H296" s="298">
        <v>6.8725813979427919</v>
      </c>
      <c r="I296" s="297">
        <v>4.9116142199564399</v>
      </c>
      <c r="J296" s="297">
        <v>3.6143483799231637</v>
      </c>
      <c r="K296" s="297">
        <v>8.5259625998796036</v>
      </c>
      <c r="L296" s="296">
        <v>5.0915889939007917</v>
      </c>
      <c r="M296" s="297">
        <v>1.7068907952907455</v>
      </c>
      <c r="N296" s="298">
        <v>6.7984797891915374</v>
      </c>
      <c r="P296" s="274">
        <f t="shared" si="29"/>
        <v>4.8960187390802092</v>
      </c>
      <c r="Q296" s="275">
        <f t="shared" si="30"/>
        <v>7.399007929004644</v>
      </c>
      <c r="R296" s="171"/>
    </row>
    <row r="297" spans="2:18">
      <c r="B297" s="94">
        <f t="shared" si="26"/>
        <v>2046</v>
      </c>
      <c r="C297" s="1">
        <f t="shared" si="27"/>
        <v>4</v>
      </c>
      <c r="D297" s="213">
        <v>53418</v>
      </c>
      <c r="E297" s="1" t="str">
        <f t="shared" si="28"/>
        <v>4-2046</v>
      </c>
      <c r="F297" s="296">
        <v>4.6051068141997344</v>
      </c>
      <c r="G297" s="297">
        <v>2.1877283945593935</v>
      </c>
      <c r="H297" s="298">
        <v>6.7928352087591275</v>
      </c>
      <c r="I297" s="297">
        <v>4.8279589786653601</v>
      </c>
      <c r="J297" s="297">
        <v>3.6143483799231637</v>
      </c>
      <c r="K297" s="297">
        <v>8.4423073585885238</v>
      </c>
      <c r="L297" s="296">
        <v>5.004870157738539</v>
      </c>
      <c r="M297" s="297">
        <v>1.7068907952907455</v>
      </c>
      <c r="N297" s="298">
        <v>6.7117609530292848</v>
      </c>
      <c r="P297" s="274">
        <f t="shared" si="29"/>
        <v>4.8126453168678776</v>
      </c>
      <c r="Q297" s="275">
        <f t="shared" si="30"/>
        <v>7.3156345067923114</v>
      </c>
      <c r="R297" s="171"/>
    </row>
    <row r="298" spans="2:18">
      <c r="B298" s="94">
        <f t="shared" si="26"/>
        <v>2046</v>
      </c>
      <c r="C298" s="1">
        <f t="shared" si="27"/>
        <v>5</v>
      </c>
      <c r="D298" s="213">
        <v>53448</v>
      </c>
      <c r="E298" s="1" t="str">
        <f t="shared" si="28"/>
        <v>5-2046</v>
      </c>
      <c r="F298" s="296">
        <v>4.7653457258698442</v>
      </c>
      <c r="G298" s="297">
        <v>2.1877283945593935</v>
      </c>
      <c r="H298" s="298">
        <v>6.9530741204292372</v>
      </c>
      <c r="I298" s="297">
        <v>4.9959014298752678</v>
      </c>
      <c r="J298" s="297">
        <v>3.6143483799231637</v>
      </c>
      <c r="K298" s="297">
        <v>8.6102498097984324</v>
      </c>
      <c r="L298" s="296">
        <v>5.1789683537353017</v>
      </c>
      <c r="M298" s="297">
        <v>1.7068907952907455</v>
      </c>
      <c r="N298" s="298">
        <v>6.8858591490260475</v>
      </c>
      <c r="P298" s="274">
        <f t="shared" si="29"/>
        <v>4.9800718364934715</v>
      </c>
      <c r="Q298" s="275">
        <f t="shared" si="30"/>
        <v>7.4830610264179063</v>
      </c>
      <c r="R298" s="171"/>
    </row>
    <row r="299" spans="2:18">
      <c r="B299" s="94">
        <f t="shared" si="26"/>
        <v>2046</v>
      </c>
      <c r="C299" s="1">
        <f t="shared" si="27"/>
        <v>6</v>
      </c>
      <c r="D299" s="213">
        <v>53479</v>
      </c>
      <c r="E299" s="1" t="str">
        <f t="shared" si="28"/>
        <v>6-2046</v>
      </c>
      <c r="F299" s="296">
        <v>4.888507162141206</v>
      </c>
      <c r="G299" s="297">
        <v>2.1877283945593935</v>
      </c>
      <c r="H299" s="298">
        <v>7.076235556700599</v>
      </c>
      <c r="I299" s="297">
        <v>5.1249695065021612</v>
      </c>
      <c r="J299" s="297">
        <v>3.6143483799231637</v>
      </c>
      <c r="K299" s="297">
        <v>8.7393178864253258</v>
      </c>
      <c r="L299" s="296">
        <v>5.3127677934515756</v>
      </c>
      <c r="M299" s="297">
        <v>1.7068907952907455</v>
      </c>
      <c r="N299" s="298">
        <v>7.0196585887423213</v>
      </c>
      <c r="P299" s="274">
        <f t="shared" si="29"/>
        <v>5.1087481540316473</v>
      </c>
      <c r="Q299" s="275">
        <f t="shared" si="30"/>
        <v>7.611737343956082</v>
      </c>
      <c r="R299" s="171"/>
    </row>
    <row r="300" spans="2:18">
      <c r="B300" s="94">
        <f t="shared" si="26"/>
        <v>2046</v>
      </c>
      <c r="C300" s="1">
        <f t="shared" si="27"/>
        <v>7</v>
      </c>
      <c r="D300" s="213">
        <v>53509</v>
      </c>
      <c r="E300" s="1" t="str">
        <f t="shared" si="28"/>
        <v>7-2046</v>
      </c>
      <c r="F300" s="296">
        <v>4.9272572264047572</v>
      </c>
      <c r="G300" s="297">
        <v>2.1877283945593935</v>
      </c>
      <c r="H300" s="298">
        <v>7.1149856209641502</v>
      </c>
      <c r="I300" s="297">
        <v>5.1655414108811177</v>
      </c>
      <c r="J300" s="297">
        <v>3.6143483799231637</v>
      </c>
      <c r="K300" s="297">
        <v>8.7798897908042814</v>
      </c>
      <c r="L300" s="296">
        <v>5.3548282881261553</v>
      </c>
      <c r="M300" s="297">
        <v>1.7068907952907455</v>
      </c>
      <c r="N300" s="298">
        <v>7.061719083416901</v>
      </c>
      <c r="P300" s="274">
        <f t="shared" si="29"/>
        <v>5.1492089751373431</v>
      </c>
      <c r="Q300" s="275">
        <f t="shared" si="30"/>
        <v>7.652198165061777</v>
      </c>
      <c r="R300" s="171"/>
    </row>
    <row r="301" spans="2:18">
      <c r="B301" s="94">
        <f t="shared" si="26"/>
        <v>2046</v>
      </c>
      <c r="C301" s="1">
        <f t="shared" si="27"/>
        <v>8</v>
      </c>
      <c r="D301" s="213">
        <v>53540</v>
      </c>
      <c r="E301" s="1" t="str">
        <f t="shared" si="28"/>
        <v>8-2046</v>
      </c>
      <c r="F301" s="296">
        <v>4.8891663848549678</v>
      </c>
      <c r="G301" s="297">
        <v>2.1877283945593935</v>
      </c>
      <c r="H301" s="298">
        <v>7.0768947794143617</v>
      </c>
      <c r="I301" s="297">
        <v>5.1255563395850592</v>
      </c>
      <c r="J301" s="297">
        <v>3.6143483799231637</v>
      </c>
      <c r="K301" s="297">
        <v>8.7399047195082229</v>
      </c>
      <c r="L301" s="296">
        <v>5.3133798656120712</v>
      </c>
      <c r="M301" s="297">
        <v>1.7068907952907455</v>
      </c>
      <c r="N301" s="298">
        <v>7.0202706609028169</v>
      </c>
      <c r="P301" s="274">
        <f t="shared" si="29"/>
        <v>5.1093675300173658</v>
      </c>
      <c r="Q301" s="275">
        <f t="shared" si="30"/>
        <v>7.6123567199418005</v>
      </c>
      <c r="R301" s="171"/>
    </row>
    <row r="302" spans="2:18">
      <c r="B302" s="94">
        <f t="shared" si="26"/>
        <v>2046</v>
      </c>
      <c r="C302" s="1">
        <f t="shared" si="27"/>
        <v>9</v>
      </c>
      <c r="D302" s="213">
        <v>53571</v>
      </c>
      <c r="E302" s="1" t="str">
        <f t="shared" si="28"/>
        <v>9-2046</v>
      </c>
      <c r="F302" s="296">
        <v>4.957904088439868</v>
      </c>
      <c r="G302" s="297">
        <v>2.1877283945593935</v>
      </c>
      <c r="H302" s="298">
        <v>7.145632482999261</v>
      </c>
      <c r="I302" s="297">
        <v>5.1975646145324665</v>
      </c>
      <c r="J302" s="297">
        <v>3.6143483799231637</v>
      </c>
      <c r="K302" s="297">
        <v>8.8119129944556303</v>
      </c>
      <c r="L302" s="296">
        <v>5.3880287430858207</v>
      </c>
      <c r="M302" s="297">
        <v>1.7068907952907455</v>
      </c>
      <c r="N302" s="298">
        <v>7.0949195383765664</v>
      </c>
      <c r="P302" s="274">
        <f t="shared" si="29"/>
        <v>5.1811658153527187</v>
      </c>
      <c r="Q302" s="275">
        <f t="shared" si="30"/>
        <v>7.6841550052771526</v>
      </c>
      <c r="R302" s="171"/>
    </row>
    <row r="303" spans="2:18">
      <c r="B303" s="94">
        <f t="shared" si="26"/>
        <v>2046</v>
      </c>
      <c r="C303" s="1">
        <f t="shared" si="27"/>
        <v>10</v>
      </c>
      <c r="D303" s="213">
        <v>53601</v>
      </c>
      <c r="E303" s="1" t="str">
        <f t="shared" si="28"/>
        <v>10-2046</v>
      </c>
      <c r="F303" s="296">
        <v>4.9293016259750022</v>
      </c>
      <c r="G303" s="297">
        <v>2.1877283945593935</v>
      </c>
      <c r="H303" s="298">
        <v>7.1170300205343953</v>
      </c>
      <c r="I303" s="297">
        <v>5.1675269561256956</v>
      </c>
      <c r="J303" s="297">
        <v>3.6143483799231637</v>
      </c>
      <c r="K303" s="297">
        <v>8.7818753360488593</v>
      </c>
      <c r="L303" s="296">
        <v>5.3568922417993443</v>
      </c>
      <c r="M303" s="297">
        <v>1.7068907952907455</v>
      </c>
      <c r="N303" s="298">
        <v>7.06378303709009</v>
      </c>
      <c r="P303" s="274">
        <f t="shared" si="29"/>
        <v>5.1512402746333477</v>
      </c>
      <c r="Q303" s="275">
        <f t="shared" si="30"/>
        <v>7.6542294645577824</v>
      </c>
      <c r="R303" s="171"/>
    </row>
    <row r="304" spans="2:18">
      <c r="B304" s="94">
        <f t="shared" si="26"/>
        <v>2046</v>
      </c>
      <c r="C304" s="1">
        <f t="shared" si="27"/>
        <v>11</v>
      </c>
      <c r="D304" s="213">
        <v>53632</v>
      </c>
      <c r="E304" s="1" t="str">
        <f t="shared" si="28"/>
        <v>11-2046</v>
      </c>
      <c r="F304" s="296">
        <v>5.1729073295528778</v>
      </c>
      <c r="G304" s="297">
        <v>2.1877283945593935</v>
      </c>
      <c r="H304" s="298">
        <v>7.3606357241122709</v>
      </c>
      <c r="I304" s="297">
        <v>5.4228505540195693</v>
      </c>
      <c r="J304" s="297">
        <v>3.6143483799231637</v>
      </c>
      <c r="K304" s="297">
        <v>9.037198933942733</v>
      </c>
      <c r="L304" s="296">
        <v>5.6215742119957506</v>
      </c>
      <c r="M304" s="297">
        <v>1.7068907952907455</v>
      </c>
      <c r="N304" s="298">
        <v>7.3284650072864963</v>
      </c>
      <c r="P304" s="274">
        <f t="shared" si="29"/>
        <v>5.4057773651893983</v>
      </c>
      <c r="Q304" s="275">
        <f t="shared" si="30"/>
        <v>7.9087665551138331</v>
      </c>
      <c r="R304" s="171"/>
    </row>
    <row r="305" spans="2:18">
      <c r="B305" s="94">
        <f t="shared" si="26"/>
        <v>2046</v>
      </c>
      <c r="C305" s="1">
        <f t="shared" si="27"/>
        <v>12</v>
      </c>
      <c r="D305" s="213">
        <v>53662</v>
      </c>
      <c r="E305" s="1" t="str">
        <f t="shared" si="28"/>
        <v>12-2046</v>
      </c>
      <c r="F305" s="296">
        <v>5.2144810806826403</v>
      </c>
      <c r="G305" s="297">
        <v>2.1877283945593935</v>
      </c>
      <c r="H305" s="298">
        <v>7.4022094752420333</v>
      </c>
      <c r="I305" s="297">
        <v>5.4663774232302451</v>
      </c>
      <c r="J305" s="297">
        <v>3.6143483799231637</v>
      </c>
      <c r="K305" s="297">
        <v>9.0807258031534097</v>
      </c>
      <c r="L305" s="296">
        <v>5.6666981426959326</v>
      </c>
      <c r="M305" s="297">
        <v>1.7068907952907455</v>
      </c>
      <c r="N305" s="298">
        <v>7.3735889379866784</v>
      </c>
      <c r="P305" s="274">
        <f t="shared" si="29"/>
        <v>5.4491855488696066</v>
      </c>
      <c r="Q305" s="275">
        <f t="shared" si="30"/>
        <v>7.9521747387940414</v>
      </c>
      <c r="R305" s="171"/>
    </row>
    <row r="306" spans="2:18">
      <c r="B306" s="94">
        <f t="shared" si="26"/>
        <v>2047</v>
      </c>
      <c r="C306" s="1">
        <f t="shared" si="27"/>
        <v>1</v>
      </c>
      <c r="D306" s="213">
        <v>53693</v>
      </c>
      <c r="E306" s="1" t="str">
        <f t="shared" si="28"/>
        <v>1-2047</v>
      </c>
      <c r="F306" s="296">
        <v>5.2147704597871378</v>
      </c>
      <c r="G306" s="297">
        <v>2.2749417652120383</v>
      </c>
      <c r="H306" s="298">
        <v>7.4897122249991757</v>
      </c>
      <c r="I306" s="297">
        <v>5.4666286863340092</v>
      </c>
      <c r="J306" s="297">
        <v>3.758922315120091</v>
      </c>
      <c r="K306" s="297">
        <v>9.2255510014541002</v>
      </c>
      <c r="L306" s="296">
        <v>5.6669610105126811</v>
      </c>
      <c r="M306" s="297">
        <v>1.7751664271023753</v>
      </c>
      <c r="N306" s="298">
        <v>7.4421274376150564</v>
      </c>
      <c r="P306" s="274">
        <f t="shared" si="29"/>
        <v>5.4494533855446106</v>
      </c>
      <c r="Q306" s="275">
        <f t="shared" si="30"/>
        <v>8.0524635546894441</v>
      </c>
      <c r="R306" s="171"/>
    </row>
    <row r="307" spans="2:18">
      <c r="B307" s="94">
        <f t="shared" si="26"/>
        <v>2047</v>
      </c>
      <c r="C307" s="1">
        <f t="shared" si="27"/>
        <v>2</v>
      </c>
      <c r="D307" s="213">
        <v>53724</v>
      </c>
      <c r="E307" s="1" t="str">
        <f t="shared" si="28"/>
        <v>2-2047</v>
      </c>
      <c r="F307" s="296">
        <v>5.100421505394678</v>
      </c>
      <c r="G307" s="297">
        <v>2.2749417652120383</v>
      </c>
      <c r="H307" s="298">
        <v>7.3753632706067158</v>
      </c>
      <c r="I307" s="297">
        <v>5.3467060531885746</v>
      </c>
      <c r="J307" s="297">
        <v>3.758922315120091</v>
      </c>
      <c r="K307" s="297">
        <v>9.1056283683086647</v>
      </c>
      <c r="L307" s="296">
        <v>5.5426459878124987</v>
      </c>
      <c r="M307" s="297">
        <v>1.7751664271023753</v>
      </c>
      <c r="N307" s="298">
        <v>7.317812414914874</v>
      </c>
      <c r="P307" s="274">
        <f t="shared" si="29"/>
        <v>5.3299245154652501</v>
      </c>
      <c r="Q307" s="275">
        <f t="shared" si="30"/>
        <v>7.9329346846100846</v>
      </c>
      <c r="R307" s="171"/>
    </row>
    <row r="308" spans="2:18">
      <c r="B308" s="94">
        <f t="shared" si="26"/>
        <v>2047</v>
      </c>
      <c r="C308" s="1">
        <f t="shared" si="27"/>
        <v>3</v>
      </c>
      <c r="D308" s="213">
        <v>53752</v>
      </c>
      <c r="E308" s="1" t="str">
        <f t="shared" si="28"/>
        <v>3-2047</v>
      </c>
      <c r="F308" s="296">
        <v>4.6821865609628608</v>
      </c>
      <c r="G308" s="297">
        <v>2.2749417652120383</v>
      </c>
      <c r="H308" s="298">
        <v>6.9571283261748995</v>
      </c>
      <c r="I308" s="297">
        <v>4.9082289745021948</v>
      </c>
      <c r="J308" s="297">
        <v>3.758922315120091</v>
      </c>
      <c r="K308" s="297">
        <v>8.6671512896222858</v>
      </c>
      <c r="L308" s="296">
        <v>5.0881022579618662</v>
      </c>
      <c r="M308" s="297">
        <v>1.7751664271023753</v>
      </c>
      <c r="N308" s="298">
        <v>6.8632686850642415</v>
      </c>
      <c r="P308" s="274">
        <f t="shared" si="29"/>
        <v>4.8928392644756409</v>
      </c>
      <c r="Q308" s="275">
        <f t="shared" si="30"/>
        <v>7.4958494336204753</v>
      </c>
      <c r="R308" s="171"/>
    </row>
    <row r="309" spans="2:18">
      <c r="B309" s="94">
        <f t="shared" si="26"/>
        <v>2047</v>
      </c>
      <c r="C309" s="1">
        <f t="shared" si="27"/>
        <v>4</v>
      </c>
      <c r="D309" s="213">
        <v>53783</v>
      </c>
      <c r="E309" s="1" t="str">
        <f t="shared" si="28"/>
        <v>4-2047</v>
      </c>
      <c r="F309" s="296">
        <v>4.6025032806770456</v>
      </c>
      <c r="G309" s="297">
        <v>2.2749417652120383</v>
      </c>
      <c r="H309" s="298">
        <v>6.8774450458890843</v>
      </c>
      <c r="I309" s="297">
        <v>4.8246528252362744</v>
      </c>
      <c r="J309" s="297">
        <v>3.758922315120091</v>
      </c>
      <c r="K309" s="297">
        <v>8.5835751403563663</v>
      </c>
      <c r="L309" s="296">
        <v>5.0014653855728062</v>
      </c>
      <c r="M309" s="297">
        <v>1.7751664271023753</v>
      </c>
      <c r="N309" s="298">
        <v>6.7766318126751814</v>
      </c>
      <c r="P309" s="274">
        <f t="shared" si="29"/>
        <v>4.8095404971620423</v>
      </c>
      <c r="Q309" s="275">
        <f t="shared" si="30"/>
        <v>7.4125506663068776</v>
      </c>
      <c r="R309" s="171"/>
    </row>
    <row r="310" spans="2:18">
      <c r="B310" s="94">
        <f t="shared" ref="B310:B373" si="31">YEAR(D310)</f>
        <v>2047</v>
      </c>
      <c r="C310" s="1">
        <f t="shared" ref="C310:C373" si="32">MONTH(D310)</f>
        <v>5</v>
      </c>
      <c r="D310" s="213">
        <v>53813</v>
      </c>
      <c r="E310" s="1" t="str">
        <f t="shared" si="28"/>
        <v>5-2047</v>
      </c>
      <c r="F310" s="296">
        <v>4.7626697317654454</v>
      </c>
      <c r="G310" s="297">
        <v>2.2749417652120383</v>
      </c>
      <c r="H310" s="298">
        <v>7.0376114969774832</v>
      </c>
      <c r="I310" s="297">
        <v>4.992502452882257</v>
      </c>
      <c r="J310" s="297">
        <v>3.758922315120091</v>
      </c>
      <c r="K310" s="297">
        <v>8.751424768002348</v>
      </c>
      <c r="L310" s="296">
        <v>5.1754685105666809</v>
      </c>
      <c r="M310" s="297">
        <v>1.7751664271023753</v>
      </c>
      <c r="N310" s="298">
        <v>6.9506349376690562</v>
      </c>
      <c r="P310" s="274">
        <f t="shared" si="29"/>
        <v>4.9768802317381278</v>
      </c>
      <c r="Q310" s="275">
        <f t="shared" si="30"/>
        <v>7.5798904008829622</v>
      </c>
      <c r="R310" s="171"/>
    </row>
    <row r="311" spans="2:18">
      <c r="B311" s="94">
        <f t="shared" si="31"/>
        <v>2047</v>
      </c>
      <c r="C311" s="1">
        <f t="shared" si="32"/>
        <v>6</v>
      </c>
      <c r="D311" s="213">
        <v>53844</v>
      </c>
      <c r="E311" s="1" t="str">
        <f t="shared" si="28"/>
        <v>6-2047</v>
      </c>
      <c r="F311" s="296">
        <v>4.8857806085376083</v>
      </c>
      <c r="G311" s="297">
        <v>2.2749417652120383</v>
      </c>
      <c r="H311" s="298">
        <v>7.1607223737496462</v>
      </c>
      <c r="I311" s="297">
        <v>5.1215054756669423</v>
      </c>
      <c r="J311" s="297">
        <v>3.758922315120091</v>
      </c>
      <c r="K311" s="297">
        <v>8.8804277907870333</v>
      </c>
      <c r="L311" s="296">
        <v>5.3092015043426679</v>
      </c>
      <c r="M311" s="297">
        <v>1.7751664271023753</v>
      </c>
      <c r="N311" s="298">
        <v>7.0843679314450432</v>
      </c>
      <c r="P311" s="274">
        <f t="shared" si="29"/>
        <v>5.1054958628490725</v>
      </c>
      <c r="Q311" s="275">
        <f t="shared" si="30"/>
        <v>7.7085060319939087</v>
      </c>
      <c r="R311" s="171"/>
    </row>
    <row r="312" spans="2:18">
      <c r="B312" s="94">
        <f t="shared" si="31"/>
        <v>2047</v>
      </c>
      <c r="C312" s="1">
        <f t="shared" si="32"/>
        <v>7</v>
      </c>
      <c r="D312" s="213">
        <v>53874</v>
      </c>
      <c r="E312" s="1" t="str">
        <f t="shared" si="28"/>
        <v>7-2047</v>
      </c>
      <c r="F312" s="296">
        <v>4.9245278114847597</v>
      </c>
      <c r="G312" s="297">
        <v>2.2749417652120383</v>
      </c>
      <c r="H312" s="298">
        <v>7.1994695766967975</v>
      </c>
      <c r="I312" s="297">
        <v>5.1620728978637311</v>
      </c>
      <c r="J312" s="297">
        <v>3.758922315120091</v>
      </c>
      <c r="K312" s="297">
        <v>8.9209952129838221</v>
      </c>
      <c r="L312" s="296">
        <v>5.3512579308164741</v>
      </c>
      <c r="M312" s="297">
        <v>1.7751664271023753</v>
      </c>
      <c r="N312" s="298">
        <v>7.1264243579188493</v>
      </c>
      <c r="P312" s="274">
        <f t="shared" si="29"/>
        <v>5.1459528800549883</v>
      </c>
      <c r="Q312" s="275">
        <f t="shared" si="30"/>
        <v>7.7489630491998227</v>
      </c>
      <c r="R312" s="171"/>
    </row>
    <row r="313" spans="2:18">
      <c r="B313" s="94">
        <f t="shared" si="31"/>
        <v>2047</v>
      </c>
      <c r="C313" s="1">
        <f t="shared" si="32"/>
        <v>8</v>
      </c>
      <c r="D313" s="213">
        <v>53905</v>
      </c>
      <c r="E313" s="1" t="str">
        <f t="shared" si="28"/>
        <v>8-2047</v>
      </c>
      <c r="F313" s="296">
        <v>4.8864766783365745</v>
      </c>
      <c r="G313" s="297">
        <v>2.2749417652120383</v>
      </c>
      <c r="H313" s="298">
        <v>7.1614184435486123</v>
      </c>
      <c r="I313" s="297">
        <v>5.1221374413588174</v>
      </c>
      <c r="J313" s="297">
        <v>3.758922315120091</v>
      </c>
      <c r="K313" s="297">
        <v>8.8810597564789084</v>
      </c>
      <c r="L313" s="296">
        <v>5.3098611256249324</v>
      </c>
      <c r="M313" s="297">
        <v>1.7751664271023753</v>
      </c>
      <c r="N313" s="298">
        <v>7.0850275527273077</v>
      </c>
      <c r="P313" s="274">
        <f t="shared" si="29"/>
        <v>5.1061584151067745</v>
      </c>
      <c r="Q313" s="275">
        <f t="shared" si="30"/>
        <v>7.7091685842516098</v>
      </c>
      <c r="R313" s="171"/>
    </row>
    <row r="314" spans="2:18">
      <c r="B314" s="94">
        <f t="shared" si="31"/>
        <v>2047</v>
      </c>
      <c r="C314" s="1">
        <f t="shared" si="32"/>
        <v>9</v>
      </c>
      <c r="D314" s="213">
        <v>53936</v>
      </c>
      <c r="E314" s="1" t="str">
        <f t="shared" si="28"/>
        <v>9-2047</v>
      </c>
      <c r="F314" s="296">
        <v>4.9551954385621979</v>
      </c>
      <c r="G314" s="297">
        <v>2.2749417652120383</v>
      </c>
      <c r="H314" s="298">
        <v>7.2301372037742357</v>
      </c>
      <c r="I314" s="297">
        <v>5.1941207731516492</v>
      </c>
      <c r="J314" s="297">
        <v>3.758922315120091</v>
      </c>
      <c r="K314" s="297">
        <v>8.9530430882717411</v>
      </c>
      <c r="L314" s="296">
        <v>5.3844848886643444</v>
      </c>
      <c r="M314" s="297">
        <v>1.7751664271023753</v>
      </c>
      <c r="N314" s="298">
        <v>7.1596513157667196</v>
      </c>
      <c r="P314" s="274">
        <f t="shared" si="29"/>
        <v>5.1779337001260641</v>
      </c>
      <c r="Q314" s="275">
        <f t="shared" si="30"/>
        <v>7.7809438692708985</v>
      </c>
      <c r="R314" s="171"/>
    </row>
    <row r="315" spans="2:18">
      <c r="B315" s="94">
        <f t="shared" si="31"/>
        <v>2047</v>
      </c>
      <c r="C315" s="1">
        <f t="shared" si="32"/>
        <v>10</v>
      </c>
      <c r="D315" s="213">
        <v>53966</v>
      </c>
      <c r="E315" s="1" t="str">
        <f t="shared" si="28"/>
        <v>10-2047</v>
      </c>
      <c r="F315" s="296">
        <v>4.9266273671412808</v>
      </c>
      <c r="G315" s="297">
        <v>2.2749417652120383</v>
      </c>
      <c r="H315" s="298">
        <v>7.2015691323533186</v>
      </c>
      <c r="I315" s="297">
        <v>5.1641259750812187</v>
      </c>
      <c r="J315" s="297">
        <v>3.758922315120091</v>
      </c>
      <c r="K315" s="297">
        <v>8.9230482902013097</v>
      </c>
      <c r="L315" s="296">
        <v>5.3533930501187186</v>
      </c>
      <c r="M315" s="297">
        <v>1.7751664271023753</v>
      </c>
      <c r="N315" s="298">
        <v>7.1285594772210938</v>
      </c>
      <c r="P315" s="274">
        <f t="shared" si="29"/>
        <v>5.1480487974470721</v>
      </c>
      <c r="Q315" s="275">
        <f t="shared" si="30"/>
        <v>7.7510589665919083</v>
      </c>
      <c r="R315" s="171"/>
    </row>
    <row r="316" spans="2:18">
      <c r="B316" s="94">
        <f t="shared" si="31"/>
        <v>2047</v>
      </c>
      <c r="C316" s="1">
        <f t="shared" si="32"/>
        <v>11</v>
      </c>
      <c r="D316" s="213">
        <v>53997</v>
      </c>
      <c r="E316" s="1" t="str">
        <f t="shared" si="28"/>
        <v>11-2047</v>
      </c>
      <c r="F316" s="296">
        <v>5.1701206029816973</v>
      </c>
      <c r="G316" s="297">
        <v>2.2749417652120383</v>
      </c>
      <c r="H316" s="298">
        <v>7.4450623681937351</v>
      </c>
      <c r="I316" s="297">
        <v>5.4193056279818217</v>
      </c>
      <c r="J316" s="297">
        <v>3.758922315120091</v>
      </c>
      <c r="K316" s="297">
        <v>9.1782279431019127</v>
      </c>
      <c r="L316" s="296">
        <v>5.6179275078676003</v>
      </c>
      <c r="M316" s="297">
        <v>1.7751664271023753</v>
      </c>
      <c r="N316" s="298">
        <v>7.3930939349699756</v>
      </c>
      <c r="P316" s="274">
        <f t="shared" si="29"/>
        <v>5.4024512462770389</v>
      </c>
      <c r="Q316" s="275">
        <f t="shared" si="30"/>
        <v>8.0054614154218751</v>
      </c>
      <c r="R316" s="171"/>
    </row>
    <row r="317" spans="2:18">
      <c r="B317" s="94">
        <f t="shared" si="31"/>
        <v>2047</v>
      </c>
      <c r="C317" s="1">
        <f t="shared" si="32"/>
        <v>12</v>
      </c>
      <c r="D317" s="213">
        <v>54027</v>
      </c>
      <c r="E317" s="1" t="str">
        <f t="shared" si="28"/>
        <v>12-2047</v>
      </c>
      <c r="F317" s="296">
        <v>5.2116918118027282</v>
      </c>
      <c r="G317" s="297">
        <v>2.2749417652120383</v>
      </c>
      <c r="H317" s="298">
        <v>7.4866335770147661</v>
      </c>
      <c r="I317" s="297">
        <v>5.4628283347615856</v>
      </c>
      <c r="J317" s="297">
        <v>3.758922315120091</v>
      </c>
      <c r="K317" s="297">
        <v>9.2217506498816775</v>
      </c>
      <c r="L317" s="296">
        <v>5.6630477547336673</v>
      </c>
      <c r="M317" s="297">
        <v>1.7751664271023753</v>
      </c>
      <c r="N317" s="298">
        <v>7.4382141818360425</v>
      </c>
      <c r="P317" s="274">
        <f t="shared" si="29"/>
        <v>5.4458559670993267</v>
      </c>
      <c r="Q317" s="275">
        <f t="shared" si="30"/>
        <v>8.0488661362441611</v>
      </c>
      <c r="R317" s="171"/>
    </row>
    <row r="318" spans="2:18">
      <c r="B318" s="94">
        <f t="shared" si="31"/>
        <v>2048</v>
      </c>
      <c r="C318" s="1">
        <f t="shared" si="32"/>
        <v>1</v>
      </c>
      <c r="D318" s="213">
        <v>54058</v>
      </c>
      <c r="E318" s="1" t="str">
        <f t="shared" si="28"/>
        <v>1-2048</v>
      </c>
      <c r="F318" s="296">
        <v>5.2120126173746808</v>
      </c>
      <c r="G318" s="297">
        <v>2.3656319281227751</v>
      </c>
      <c r="H318" s="298">
        <v>7.5776445454974564</v>
      </c>
      <c r="I318" s="297">
        <v>5.4630800254171179</v>
      </c>
      <c r="J318" s="297">
        <v>3.9092792077248943</v>
      </c>
      <c r="K318" s="297">
        <v>9.3723592331420118</v>
      </c>
      <c r="L318" s="296">
        <v>5.6633113200038148</v>
      </c>
      <c r="M318" s="297">
        <v>1.8461730841864703</v>
      </c>
      <c r="N318" s="298">
        <v>7.5094844041902853</v>
      </c>
      <c r="P318" s="274">
        <f t="shared" si="29"/>
        <v>5.4461346542652045</v>
      </c>
      <c r="Q318" s="275">
        <f t="shared" si="30"/>
        <v>8.153162727609919</v>
      </c>
      <c r="R318" s="171"/>
    </row>
    <row r="319" spans="2:18">
      <c r="B319" s="94">
        <f t="shared" si="31"/>
        <v>2048</v>
      </c>
      <c r="C319" s="1">
        <f t="shared" si="32"/>
        <v>2</v>
      </c>
      <c r="D319" s="213">
        <v>54089</v>
      </c>
      <c r="E319" s="1" t="str">
        <f t="shared" si="28"/>
        <v>2-2048</v>
      </c>
      <c r="F319" s="296">
        <v>5.0977550281712851</v>
      </c>
      <c r="G319" s="297">
        <v>2.3656319281227751</v>
      </c>
      <c r="H319" s="298">
        <v>7.4633869562940607</v>
      </c>
      <c r="I319" s="297">
        <v>5.3432358178157902</v>
      </c>
      <c r="J319" s="297">
        <v>3.9092792077248943</v>
      </c>
      <c r="K319" s="297">
        <v>9.2525150255406849</v>
      </c>
      <c r="L319" s="296">
        <v>5.5390772077199779</v>
      </c>
      <c r="M319" s="297">
        <v>1.8461730841864703</v>
      </c>
      <c r="N319" s="298">
        <v>7.3852502919064484</v>
      </c>
      <c r="P319" s="274">
        <f t="shared" si="29"/>
        <v>5.326689351235685</v>
      </c>
      <c r="Q319" s="275">
        <f t="shared" si="30"/>
        <v>8.0337174245803986</v>
      </c>
      <c r="R319" s="171"/>
    </row>
    <row r="320" spans="2:18">
      <c r="B320" s="94">
        <f t="shared" si="31"/>
        <v>2048</v>
      </c>
      <c r="C320" s="1">
        <f t="shared" si="32"/>
        <v>3</v>
      </c>
      <c r="D320" s="213">
        <v>54118</v>
      </c>
      <c r="E320" s="1" t="str">
        <f t="shared" si="28"/>
        <v>3-2048</v>
      </c>
      <c r="F320" s="296">
        <v>4.6797670959961337</v>
      </c>
      <c r="G320" s="297">
        <v>2.3656319281227751</v>
      </c>
      <c r="H320" s="298">
        <v>7.0453990241189093</v>
      </c>
      <c r="I320" s="297">
        <v>4.9050438595175523</v>
      </c>
      <c r="J320" s="297">
        <v>3.9092792077248943</v>
      </c>
      <c r="K320" s="297">
        <v>8.8143230672424462</v>
      </c>
      <c r="L320" s="296">
        <v>5.0848269263601003</v>
      </c>
      <c r="M320" s="297">
        <v>1.8461730841864703</v>
      </c>
      <c r="N320" s="298">
        <v>6.9310000105465708</v>
      </c>
      <c r="P320" s="274">
        <f t="shared" si="29"/>
        <v>4.8898792939579288</v>
      </c>
      <c r="Q320" s="275">
        <f t="shared" si="30"/>
        <v>7.5969073673026415</v>
      </c>
      <c r="R320" s="171"/>
    </row>
    <row r="321" spans="2:18">
      <c r="B321" s="94">
        <f t="shared" si="31"/>
        <v>2048</v>
      </c>
      <c r="C321" s="1">
        <f t="shared" si="32"/>
        <v>4</v>
      </c>
      <c r="D321" s="213">
        <v>54149</v>
      </c>
      <c r="E321" s="1" t="str">
        <f t="shared" si="28"/>
        <v>4-2048</v>
      </c>
      <c r="F321" s="296">
        <v>4.6001528718641325</v>
      </c>
      <c r="G321" s="297">
        <v>2.3656319281227751</v>
      </c>
      <c r="H321" s="298">
        <v>6.965784799986908</v>
      </c>
      <c r="I321" s="297">
        <v>4.8215224671160231</v>
      </c>
      <c r="J321" s="297">
        <v>3.9092792077248943</v>
      </c>
      <c r="K321" s="297">
        <v>8.730801674840917</v>
      </c>
      <c r="L321" s="296">
        <v>4.9982465894161594</v>
      </c>
      <c r="M321" s="297">
        <v>1.8461730841864703</v>
      </c>
      <c r="N321" s="298">
        <v>6.8444196736026299</v>
      </c>
      <c r="P321" s="274">
        <f t="shared" si="29"/>
        <v>4.8066406427987713</v>
      </c>
      <c r="Q321" s="275">
        <f t="shared" si="30"/>
        <v>7.513668716143485</v>
      </c>
      <c r="R321" s="171"/>
    </row>
    <row r="322" spans="2:18">
      <c r="B322" s="94">
        <f t="shared" si="31"/>
        <v>2048</v>
      </c>
      <c r="C322" s="1">
        <f t="shared" si="32"/>
        <v>5</v>
      </c>
      <c r="D322" s="213">
        <v>54179</v>
      </c>
      <c r="E322" s="1" t="str">
        <f t="shared" si="28"/>
        <v>5-2048</v>
      </c>
      <c r="F322" s="296">
        <v>4.7602663826370488</v>
      </c>
      <c r="G322" s="297">
        <v>2.3656319281227751</v>
      </c>
      <c r="H322" s="298">
        <v>7.1258983107598244</v>
      </c>
      <c r="I322" s="297">
        <v>4.9892637293207134</v>
      </c>
      <c r="J322" s="297">
        <v>3.9092792077248943</v>
      </c>
      <c r="K322" s="297">
        <v>8.8985429370456082</v>
      </c>
      <c r="L322" s="296">
        <v>5.1721385230640342</v>
      </c>
      <c r="M322" s="297">
        <v>1.8461730841864703</v>
      </c>
      <c r="N322" s="298">
        <v>7.0183116072505047</v>
      </c>
      <c r="P322" s="274">
        <f t="shared" si="29"/>
        <v>4.9738895450072649</v>
      </c>
      <c r="Q322" s="275">
        <f t="shared" si="30"/>
        <v>7.6809176183519794</v>
      </c>
      <c r="R322" s="171"/>
    </row>
    <row r="323" spans="2:18">
      <c r="B323" s="94">
        <f t="shared" si="31"/>
        <v>2048</v>
      </c>
      <c r="C323" s="1">
        <f t="shared" si="32"/>
        <v>6</v>
      </c>
      <c r="D323" s="213">
        <v>54210</v>
      </c>
      <c r="E323" s="1" t="str">
        <f t="shared" si="28"/>
        <v>6-2048</v>
      </c>
      <c r="F323" s="296">
        <v>4.8833447369731715</v>
      </c>
      <c r="G323" s="297">
        <v>2.3656319281227751</v>
      </c>
      <c r="H323" s="298">
        <v>7.2489766650959471</v>
      </c>
      <c r="I323" s="297">
        <v>5.1181836192850128</v>
      </c>
      <c r="J323" s="297">
        <v>3.9092792077248943</v>
      </c>
      <c r="K323" s="297">
        <v>9.0274628270099075</v>
      </c>
      <c r="L323" s="296">
        <v>5.3057862831821607</v>
      </c>
      <c r="M323" s="297">
        <v>1.8461730841864703</v>
      </c>
      <c r="N323" s="298">
        <v>7.1519593673686312</v>
      </c>
      <c r="P323" s="274">
        <f t="shared" si="29"/>
        <v>5.1024382131467823</v>
      </c>
      <c r="Q323" s="275">
        <f t="shared" si="30"/>
        <v>7.809466286491495</v>
      </c>
      <c r="R323" s="171"/>
    </row>
    <row r="324" spans="2:18">
      <c r="B324" s="94">
        <f t="shared" si="31"/>
        <v>2048</v>
      </c>
      <c r="C324" s="1">
        <f t="shared" si="32"/>
        <v>7</v>
      </c>
      <c r="D324" s="213">
        <v>54240</v>
      </c>
      <c r="E324" s="1" t="str">
        <f t="shared" si="28"/>
        <v>7-2048</v>
      </c>
      <c r="F324" s="296">
        <v>4.9221024614566726</v>
      </c>
      <c r="G324" s="297">
        <v>2.3656319281227751</v>
      </c>
      <c r="H324" s="298">
        <v>7.2877343895794482</v>
      </c>
      <c r="I324" s="297">
        <v>5.1587252872125422</v>
      </c>
      <c r="J324" s="297">
        <v>3.9092792077248943</v>
      </c>
      <c r="K324" s="297">
        <v>9.068004494937437</v>
      </c>
      <c r="L324" s="296">
        <v>5.3478164752748913</v>
      </c>
      <c r="M324" s="297">
        <v>1.8461730841864703</v>
      </c>
      <c r="N324" s="298">
        <v>7.1939895594613619</v>
      </c>
      <c r="P324" s="274">
        <f t="shared" si="29"/>
        <v>5.1428814079813687</v>
      </c>
      <c r="Q324" s="275">
        <f t="shared" si="30"/>
        <v>7.8499094813260823</v>
      </c>
      <c r="R324" s="171"/>
    </row>
    <row r="325" spans="2:18">
      <c r="B325" s="94">
        <f t="shared" si="31"/>
        <v>2048</v>
      </c>
      <c r="C325" s="1">
        <f t="shared" si="32"/>
        <v>8</v>
      </c>
      <c r="D325" s="213">
        <v>54271</v>
      </c>
      <c r="E325" s="1" t="str">
        <f t="shared" si="28"/>
        <v>8-2048</v>
      </c>
      <c r="F325" s="296">
        <v>4.8840996801968792</v>
      </c>
      <c r="G325" s="297">
        <v>2.3656319281227751</v>
      </c>
      <c r="H325" s="298">
        <v>7.2497316083196548</v>
      </c>
      <c r="I325" s="297">
        <v>5.1188162827829427</v>
      </c>
      <c r="J325" s="297">
        <v>3.9092792077248943</v>
      </c>
      <c r="K325" s="297">
        <v>9.0280954905078374</v>
      </c>
      <c r="L325" s="296">
        <v>5.3064471056239348</v>
      </c>
      <c r="M325" s="297">
        <v>1.8461730841864703</v>
      </c>
      <c r="N325" s="298">
        <v>7.1526201898104054</v>
      </c>
      <c r="P325" s="274">
        <f t="shared" si="29"/>
        <v>5.1031210228679189</v>
      </c>
      <c r="Q325" s="275">
        <f t="shared" si="30"/>
        <v>7.8101490962126334</v>
      </c>
      <c r="R325" s="171"/>
    </row>
    <row r="326" spans="2:18">
      <c r="B326" s="94">
        <f t="shared" si="31"/>
        <v>2048</v>
      </c>
      <c r="C326" s="1">
        <f t="shared" si="32"/>
        <v>9</v>
      </c>
      <c r="D326" s="213">
        <v>54302</v>
      </c>
      <c r="E326" s="1" t="str">
        <f t="shared" si="28"/>
        <v>9-2048</v>
      </c>
      <c r="F326" s="296">
        <v>4.9528150432384912</v>
      </c>
      <c r="G326" s="297">
        <v>2.3656319281227751</v>
      </c>
      <c r="H326" s="298">
        <v>7.3184469713612668</v>
      </c>
      <c r="I326" s="297">
        <v>5.1907535028072633</v>
      </c>
      <c r="J326" s="297">
        <v>3.9092792077248943</v>
      </c>
      <c r="K326" s="297">
        <v>9.1000327105321581</v>
      </c>
      <c r="L326" s="296">
        <v>5.3810237129754936</v>
      </c>
      <c r="M326" s="297">
        <v>1.8461730841864703</v>
      </c>
      <c r="N326" s="298">
        <v>7.2271967971619642</v>
      </c>
      <c r="P326" s="274">
        <f t="shared" si="29"/>
        <v>5.1748640863404161</v>
      </c>
      <c r="Q326" s="275">
        <f t="shared" si="30"/>
        <v>7.8818921596851297</v>
      </c>
      <c r="R326" s="171"/>
    </row>
    <row r="327" spans="2:18">
      <c r="B327" s="94">
        <f t="shared" si="31"/>
        <v>2048</v>
      </c>
      <c r="C327" s="1">
        <f t="shared" si="32"/>
        <v>10</v>
      </c>
      <c r="D327" s="213">
        <v>54332</v>
      </c>
      <c r="E327" s="1" t="str">
        <f t="shared" ref="E327:E390" si="33">C327&amp;"-"&amp;B327</f>
        <v>10-2048</v>
      </c>
      <c r="F327" s="296">
        <v>4.9242905556395336</v>
      </c>
      <c r="G327" s="297">
        <v>2.3656319281227751</v>
      </c>
      <c r="H327" s="298">
        <v>7.2899224837623091</v>
      </c>
      <c r="I327" s="297">
        <v>5.1607787084568955</v>
      </c>
      <c r="J327" s="297">
        <v>3.9092792077248943</v>
      </c>
      <c r="K327" s="297">
        <v>9.0700579161817902</v>
      </c>
      <c r="L327" s="296">
        <v>5.3499526800483714</v>
      </c>
      <c r="M327" s="297">
        <v>1.8461730841864703</v>
      </c>
      <c r="N327" s="298">
        <v>7.196125764234842</v>
      </c>
      <c r="P327" s="274">
        <f t="shared" ref="P327:P390" si="34">AVERAGE(F327,I327,L327)</f>
        <v>5.1450073147149338</v>
      </c>
      <c r="Q327" s="275">
        <f t="shared" ref="Q327:Q390" si="35">AVERAGE(H327,K327,N327)</f>
        <v>7.8520353880596474</v>
      </c>
      <c r="R327" s="171"/>
    </row>
    <row r="328" spans="2:18">
      <c r="B328" s="94">
        <f t="shared" si="31"/>
        <v>2048</v>
      </c>
      <c r="C328" s="1">
        <f t="shared" si="32"/>
        <v>11</v>
      </c>
      <c r="D328" s="213">
        <v>54363</v>
      </c>
      <c r="E328" s="1" t="str">
        <f t="shared" si="33"/>
        <v>11-2048</v>
      </c>
      <c r="F328" s="296">
        <v>5.1676996358830483</v>
      </c>
      <c r="G328" s="297">
        <v>2.3656319281227751</v>
      </c>
      <c r="H328" s="298">
        <v>7.5333315640058238</v>
      </c>
      <c r="I328" s="297">
        <v>5.4157935460349753</v>
      </c>
      <c r="J328" s="297">
        <v>3.9092792077248943</v>
      </c>
      <c r="K328" s="297">
        <v>9.3250727537598692</v>
      </c>
      <c r="L328" s="296">
        <v>5.6143179943453738</v>
      </c>
      <c r="M328" s="297">
        <v>1.8461730841864703</v>
      </c>
      <c r="N328" s="298">
        <v>7.4604910785318443</v>
      </c>
      <c r="P328" s="274">
        <f t="shared" si="34"/>
        <v>5.3992703920877991</v>
      </c>
      <c r="Q328" s="275">
        <f t="shared" si="35"/>
        <v>8.1062984654325128</v>
      </c>
      <c r="R328" s="171"/>
    </row>
    <row r="329" spans="2:18">
      <c r="B329" s="94">
        <f t="shared" si="31"/>
        <v>2048</v>
      </c>
      <c r="C329" s="1">
        <f t="shared" si="32"/>
        <v>12</v>
      </c>
      <c r="D329" s="213">
        <v>54393</v>
      </c>
      <c r="E329" s="1" t="str">
        <f t="shared" si="33"/>
        <v>12-2048</v>
      </c>
      <c r="F329" s="296">
        <v>5.2092829721080705</v>
      </c>
      <c r="G329" s="297">
        <v>2.3656319281227751</v>
      </c>
      <c r="H329" s="298">
        <v>7.574914900230846</v>
      </c>
      <c r="I329" s="297">
        <v>5.4592886380929269</v>
      </c>
      <c r="J329" s="297">
        <v>3.9092792077248943</v>
      </c>
      <c r="K329" s="297">
        <v>9.3685678458178216</v>
      </c>
      <c r="L329" s="296">
        <v>5.6594101187058063</v>
      </c>
      <c r="M329" s="297">
        <v>1.8461730841864703</v>
      </c>
      <c r="N329" s="298">
        <v>7.5055832028922769</v>
      </c>
      <c r="P329" s="274">
        <f t="shared" si="34"/>
        <v>5.4426605763022673</v>
      </c>
      <c r="Q329" s="275">
        <f t="shared" si="35"/>
        <v>8.1496886496469809</v>
      </c>
      <c r="R329" s="171"/>
    </row>
    <row r="330" spans="2:18">
      <c r="B330" s="94">
        <f t="shared" si="31"/>
        <v>2049</v>
      </c>
      <c r="C330" s="1">
        <f t="shared" si="32"/>
        <v>1</v>
      </c>
      <c r="D330" s="213">
        <v>54424</v>
      </c>
      <c r="E330" s="1" t="str">
        <f t="shared" si="33"/>
        <v>1-2049</v>
      </c>
      <c r="F330" s="296">
        <v>5.2096222083323092</v>
      </c>
      <c r="G330" s="297">
        <v>2.4599374887613914</v>
      </c>
      <c r="H330" s="298">
        <v>7.6695596970937006</v>
      </c>
      <c r="I330" s="297">
        <v>5.4595557335305847</v>
      </c>
      <c r="J330" s="297">
        <v>4.06565037603389</v>
      </c>
      <c r="K330" s="297">
        <v>9.5252061095644756</v>
      </c>
      <c r="L330" s="296">
        <v>5.65968984155265</v>
      </c>
      <c r="M330" s="297">
        <v>1.9200200075539291</v>
      </c>
      <c r="N330" s="298">
        <v>7.5797098491065791</v>
      </c>
      <c r="P330" s="274">
        <f t="shared" si="34"/>
        <v>5.4429559278051824</v>
      </c>
      <c r="Q330" s="275">
        <f t="shared" si="35"/>
        <v>8.2581585519215839</v>
      </c>
      <c r="R330" s="171"/>
    </row>
    <row r="331" spans="2:18">
      <c r="B331" s="94">
        <f t="shared" si="31"/>
        <v>2049</v>
      </c>
      <c r="C331" s="1">
        <f t="shared" si="32"/>
        <v>2</v>
      </c>
      <c r="D331" s="213">
        <v>54455</v>
      </c>
      <c r="E331" s="1" t="str">
        <f t="shared" si="33"/>
        <v>2-2049</v>
      </c>
      <c r="F331" s="296">
        <v>5.0954351946480623</v>
      </c>
      <c r="G331" s="297">
        <v>2.4599374887613914</v>
      </c>
      <c r="H331" s="298">
        <v>7.5553726834094537</v>
      </c>
      <c r="I331" s="297">
        <v>5.3398040667191928</v>
      </c>
      <c r="J331" s="297">
        <v>4.06565037603389</v>
      </c>
      <c r="K331" s="297">
        <v>9.4054544427530828</v>
      </c>
      <c r="L331" s="296">
        <v>5.5355511428252999</v>
      </c>
      <c r="M331" s="297">
        <v>1.9200200075539291</v>
      </c>
      <c r="N331" s="298">
        <v>7.455571150379229</v>
      </c>
      <c r="P331" s="274">
        <f t="shared" si="34"/>
        <v>5.3235968013975183</v>
      </c>
      <c r="Q331" s="275">
        <f t="shared" si="35"/>
        <v>8.1387994255139215</v>
      </c>
      <c r="R331" s="171"/>
    </row>
    <row r="332" spans="2:18">
      <c r="B332" s="94">
        <f t="shared" si="31"/>
        <v>2049</v>
      </c>
      <c r="C332" s="1">
        <f t="shared" si="32"/>
        <v>3</v>
      </c>
      <c r="D332" s="213">
        <v>54483</v>
      </c>
      <c r="E332" s="1" t="str">
        <f t="shared" si="33"/>
        <v>3-2049</v>
      </c>
      <c r="F332" s="296">
        <v>4.6776541603260933</v>
      </c>
      <c r="G332" s="297">
        <v>2.4599374887613914</v>
      </c>
      <c r="H332" s="298">
        <v>7.1375916490874847</v>
      </c>
      <c r="I332" s="297">
        <v>4.9019075226332118</v>
      </c>
      <c r="J332" s="297">
        <v>4.06565037603389</v>
      </c>
      <c r="K332" s="297">
        <v>8.9675578986671027</v>
      </c>
      <c r="L332" s="296">
        <v>5.0816046903294003</v>
      </c>
      <c r="M332" s="297">
        <v>1.9200200075539291</v>
      </c>
      <c r="N332" s="298">
        <v>7.0016246978833294</v>
      </c>
      <c r="P332" s="274">
        <f t="shared" si="34"/>
        <v>4.8870554577629015</v>
      </c>
      <c r="Q332" s="275">
        <f t="shared" si="35"/>
        <v>7.7022580818793047</v>
      </c>
      <c r="R332" s="171"/>
    </row>
    <row r="333" spans="2:18">
      <c r="B333" s="94">
        <f t="shared" si="31"/>
        <v>2049</v>
      </c>
      <c r="C333" s="1">
        <f t="shared" si="32"/>
        <v>4</v>
      </c>
      <c r="D333" s="213">
        <v>54514</v>
      </c>
      <c r="E333" s="1" t="str">
        <f t="shared" si="33"/>
        <v>4-2049</v>
      </c>
      <c r="F333" s="296">
        <v>4.5980922840318819</v>
      </c>
      <c r="G333" s="297">
        <v>2.4599374887613914</v>
      </c>
      <c r="H333" s="298">
        <v>7.0580297727932733</v>
      </c>
      <c r="I333" s="297">
        <v>4.8184532787983008</v>
      </c>
      <c r="J333" s="297">
        <v>4.06565037603389</v>
      </c>
      <c r="K333" s="297">
        <v>8.8841036548321917</v>
      </c>
      <c r="L333" s="296">
        <v>4.9950936332021811</v>
      </c>
      <c r="M333" s="297">
        <v>1.9200200075539291</v>
      </c>
      <c r="N333" s="298">
        <v>6.9151136407561102</v>
      </c>
      <c r="P333" s="274">
        <f t="shared" si="34"/>
        <v>4.8038797320107882</v>
      </c>
      <c r="Q333" s="275">
        <f t="shared" si="35"/>
        <v>7.6190823561271914</v>
      </c>
      <c r="R333" s="171"/>
    </row>
    <row r="334" spans="2:18">
      <c r="B334" s="94">
        <f t="shared" si="31"/>
        <v>2049</v>
      </c>
      <c r="C334" s="1">
        <f t="shared" si="32"/>
        <v>5</v>
      </c>
      <c r="D334" s="213">
        <v>54544</v>
      </c>
      <c r="E334" s="1" t="str">
        <f t="shared" si="33"/>
        <v>5-2049</v>
      </c>
      <c r="F334" s="296">
        <v>4.7581510475677788</v>
      </c>
      <c r="G334" s="297">
        <v>2.4599374887613914</v>
      </c>
      <c r="H334" s="298">
        <v>7.2180885363291702</v>
      </c>
      <c r="I334" s="297">
        <v>4.9861019874267214</v>
      </c>
      <c r="J334" s="297">
        <v>4.06565037603389</v>
      </c>
      <c r="K334" s="297">
        <v>9.0517523634606114</v>
      </c>
      <c r="L334" s="296">
        <v>5.1688907909041975</v>
      </c>
      <c r="M334" s="297">
        <v>1.9200200075539291</v>
      </c>
      <c r="N334" s="298">
        <v>7.0889107984581265</v>
      </c>
      <c r="P334" s="274">
        <f t="shared" si="34"/>
        <v>4.9710479419662326</v>
      </c>
      <c r="Q334" s="275">
        <f t="shared" si="35"/>
        <v>7.7862505660826358</v>
      </c>
      <c r="R334" s="171"/>
    </row>
    <row r="335" spans="2:18">
      <c r="B335" s="94">
        <f t="shared" si="31"/>
        <v>2049</v>
      </c>
      <c r="C335" s="1">
        <f t="shared" si="32"/>
        <v>6</v>
      </c>
      <c r="D335" s="213">
        <v>54575</v>
      </c>
      <c r="E335" s="1" t="str">
        <f t="shared" si="33"/>
        <v>6-2049</v>
      </c>
      <c r="F335" s="296">
        <v>4.8811921232286597</v>
      </c>
      <c r="G335" s="297">
        <v>2.4599374887613914</v>
      </c>
      <c r="H335" s="298">
        <v>7.3411296119900511</v>
      </c>
      <c r="I335" s="297">
        <v>5.1149547725942659</v>
      </c>
      <c r="J335" s="297">
        <v>4.06565037603389</v>
      </c>
      <c r="K335" s="297">
        <v>9.1806051486281568</v>
      </c>
      <c r="L335" s="296">
        <v>5.3024699341631312</v>
      </c>
      <c r="M335" s="297">
        <v>1.9200200075539291</v>
      </c>
      <c r="N335" s="298">
        <v>7.2224899417170603</v>
      </c>
      <c r="P335" s="274">
        <f t="shared" si="34"/>
        <v>5.0995389433286853</v>
      </c>
      <c r="Q335" s="275">
        <f t="shared" si="35"/>
        <v>7.9147415674450903</v>
      </c>
      <c r="R335" s="171"/>
    </row>
    <row r="336" spans="2:18">
      <c r="B336" s="94">
        <f t="shared" si="31"/>
        <v>2049</v>
      </c>
      <c r="C336" s="1">
        <f t="shared" si="32"/>
        <v>7</v>
      </c>
      <c r="D336" s="213">
        <v>54605</v>
      </c>
      <c r="E336" s="1" t="str">
        <f t="shared" si="33"/>
        <v>7-2049</v>
      </c>
      <c r="F336" s="296">
        <v>4.9199503166430079</v>
      </c>
      <c r="G336" s="297">
        <v>2.4599374887613914</v>
      </c>
      <c r="H336" s="298">
        <v>7.3798878054043993</v>
      </c>
      <c r="I336" s="297">
        <v>5.1554855745827579</v>
      </c>
      <c r="J336" s="297">
        <v>4.06565037603389</v>
      </c>
      <c r="K336" s="297">
        <v>9.2211359506166488</v>
      </c>
      <c r="L336" s="296">
        <v>5.344489282781816</v>
      </c>
      <c r="M336" s="297">
        <v>1.9200200075539291</v>
      </c>
      <c r="N336" s="298">
        <v>7.2645092903357451</v>
      </c>
      <c r="P336" s="274">
        <f t="shared" si="34"/>
        <v>5.139975058002527</v>
      </c>
      <c r="Q336" s="275">
        <f t="shared" si="35"/>
        <v>7.9551776821189319</v>
      </c>
      <c r="R336" s="171"/>
    </row>
    <row r="337" spans="2:18">
      <c r="B337" s="94">
        <f t="shared" si="31"/>
        <v>2049</v>
      </c>
      <c r="C337" s="1">
        <f t="shared" si="32"/>
        <v>8</v>
      </c>
      <c r="D337" s="213">
        <v>54636</v>
      </c>
      <c r="E337" s="1" t="str">
        <f t="shared" si="33"/>
        <v>8-2049</v>
      </c>
      <c r="F337" s="296">
        <v>4.8819815711859382</v>
      </c>
      <c r="G337" s="297">
        <v>2.4599374887613914</v>
      </c>
      <c r="H337" s="298">
        <v>7.3419190599473296</v>
      </c>
      <c r="I337" s="297">
        <v>5.1156162311343509</v>
      </c>
      <c r="J337" s="297">
        <v>4.06565037603389</v>
      </c>
      <c r="K337" s="297">
        <v>9.1812666071682401</v>
      </c>
      <c r="L337" s="296">
        <v>5.3031609609959443</v>
      </c>
      <c r="M337" s="297">
        <v>1.9200200075539291</v>
      </c>
      <c r="N337" s="298">
        <v>7.2231809685498733</v>
      </c>
      <c r="P337" s="274">
        <f t="shared" si="34"/>
        <v>5.1002529211054108</v>
      </c>
      <c r="Q337" s="275">
        <f t="shared" si="35"/>
        <v>7.915455545221814</v>
      </c>
      <c r="R337" s="171"/>
    </row>
    <row r="338" spans="2:18">
      <c r="B338" s="94">
        <f t="shared" si="31"/>
        <v>2049</v>
      </c>
      <c r="C338" s="1">
        <f t="shared" si="32"/>
        <v>9</v>
      </c>
      <c r="D338" s="213">
        <v>54667</v>
      </c>
      <c r="E338" s="1" t="str">
        <f t="shared" si="33"/>
        <v>9-2049</v>
      </c>
      <c r="F338" s="296">
        <v>4.9506848000022616</v>
      </c>
      <c r="G338" s="297">
        <v>2.4599374887613914</v>
      </c>
      <c r="H338" s="298">
        <v>7.410622288763653</v>
      </c>
      <c r="I338" s="297">
        <v>5.1875232838935634</v>
      </c>
      <c r="J338" s="297">
        <v>4.06565037603389</v>
      </c>
      <c r="K338" s="297">
        <v>9.2531736599274534</v>
      </c>
      <c r="L338" s="296">
        <v>5.3777069113541955</v>
      </c>
      <c r="M338" s="297">
        <v>1.9200200075539291</v>
      </c>
      <c r="N338" s="298">
        <v>7.2977269189081246</v>
      </c>
      <c r="P338" s="274">
        <f t="shared" si="34"/>
        <v>5.1719716650833405</v>
      </c>
      <c r="Q338" s="275">
        <f t="shared" si="35"/>
        <v>7.9871742891997437</v>
      </c>
      <c r="R338" s="171"/>
    </row>
    <row r="339" spans="2:18">
      <c r="B339" s="94">
        <f t="shared" si="31"/>
        <v>2049</v>
      </c>
      <c r="C339" s="1">
        <f t="shared" si="32"/>
        <v>10</v>
      </c>
      <c r="D339" s="213">
        <v>54697</v>
      </c>
      <c r="E339" s="1" t="str">
        <f t="shared" si="33"/>
        <v>10-2049</v>
      </c>
      <c r="F339" s="296">
        <v>4.922190146481471</v>
      </c>
      <c r="G339" s="297">
        <v>2.4599374887613914</v>
      </c>
      <c r="H339" s="298">
        <v>7.3821276352428624</v>
      </c>
      <c r="I339" s="297">
        <v>5.157581863652088</v>
      </c>
      <c r="J339" s="297">
        <v>4.06565037603389</v>
      </c>
      <c r="K339" s="297">
        <v>9.2232322396859772</v>
      </c>
      <c r="L339" s="296">
        <v>5.3466704686179485</v>
      </c>
      <c r="M339" s="297">
        <v>1.9200200075539291</v>
      </c>
      <c r="N339" s="298">
        <v>7.2666904761718776</v>
      </c>
      <c r="P339" s="274">
        <f t="shared" si="34"/>
        <v>5.1421474929171689</v>
      </c>
      <c r="Q339" s="275">
        <f t="shared" si="35"/>
        <v>7.957350117033573</v>
      </c>
      <c r="R339" s="171"/>
    </row>
    <row r="340" spans="2:18">
      <c r="B340" s="94">
        <f t="shared" si="31"/>
        <v>2049</v>
      </c>
      <c r="C340" s="1">
        <f t="shared" si="32"/>
        <v>11</v>
      </c>
      <c r="D340" s="213">
        <v>54728</v>
      </c>
      <c r="E340" s="1" t="str">
        <f t="shared" si="33"/>
        <v>11-2049</v>
      </c>
      <c r="F340" s="296">
        <v>5.1655138380714085</v>
      </c>
      <c r="G340" s="297">
        <v>2.4599374887613914</v>
      </c>
      <c r="H340" s="298">
        <v>7.6254513268327999</v>
      </c>
      <c r="I340" s="297">
        <v>5.4124541820660852</v>
      </c>
      <c r="J340" s="297">
        <v>4.06565037603389</v>
      </c>
      <c r="K340" s="297">
        <v>9.4781045580999752</v>
      </c>
      <c r="L340" s="296">
        <v>5.6108897970058953</v>
      </c>
      <c r="M340" s="297">
        <v>1.9200200075539291</v>
      </c>
      <c r="N340" s="298">
        <v>7.5309098045598244</v>
      </c>
      <c r="P340" s="274">
        <f t="shared" si="34"/>
        <v>5.3962859390477966</v>
      </c>
      <c r="Q340" s="275">
        <f t="shared" si="35"/>
        <v>8.2114885631642007</v>
      </c>
      <c r="R340" s="171"/>
    </row>
    <row r="341" spans="2:18">
      <c r="B341" s="94">
        <f t="shared" si="31"/>
        <v>2049</v>
      </c>
      <c r="C341" s="1">
        <f t="shared" si="32"/>
        <v>12</v>
      </c>
      <c r="D341" s="213">
        <v>54758</v>
      </c>
      <c r="E341" s="1" t="str">
        <f t="shared" si="33"/>
        <v>12-2049</v>
      </c>
      <c r="F341" s="296">
        <v>5.207098170608158</v>
      </c>
      <c r="G341" s="297">
        <v>2.4599374887613914</v>
      </c>
      <c r="H341" s="298">
        <v>7.6670356593695494</v>
      </c>
      <c r="I341" s="297">
        <v>5.4559380307266006</v>
      </c>
      <c r="J341" s="297">
        <v>4.06565037603389</v>
      </c>
      <c r="K341" s="297">
        <v>9.5215884067604897</v>
      </c>
      <c r="L341" s="296">
        <v>5.6559707222153008</v>
      </c>
      <c r="M341" s="297">
        <v>1.9200200075539291</v>
      </c>
      <c r="N341" s="298">
        <v>7.5759907297692299</v>
      </c>
      <c r="P341" s="274">
        <f t="shared" si="34"/>
        <v>5.4396689745166862</v>
      </c>
      <c r="Q341" s="275">
        <f t="shared" si="35"/>
        <v>8.2548715986330894</v>
      </c>
      <c r="R341" s="171"/>
    </row>
    <row r="342" spans="2:18">
      <c r="B342" s="94">
        <f t="shared" si="31"/>
        <v>2050</v>
      </c>
      <c r="C342" s="1">
        <f t="shared" si="32"/>
        <v>1</v>
      </c>
      <c r="D342" s="213">
        <v>54789</v>
      </c>
      <c r="E342" s="1" t="str">
        <f t="shared" si="33"/>
        <v>1-2050</v>
      </c>
      <c r="F342" s="296">
        <v>5.2074415750808791</v>
      </c>
      <c r="G342" s="297">
        <v>2.558002578305385</v>
      </c>
      <c r="H342" s="298">
        <v>7.7654441533862641</v>
      </c>
      <c r="I342" s="297">
        <v>5.4562122367392902</v>
      </c>
      <c r="J342" s="297">
        <v>4.2282763910752452</v>
      </c>
      <c r="K342" s="297">
        <v>9.6844886278145346</v>
      </c>
      <c r="L342" s="296">
        <v>5.6562574962789149</v>
      </c>
      <c r="M342" s="297">
        <v>1.9968208078560863</v>
      </c>
      <c r="N342" s="298">
        <v>7.6530783041350015</v>
      </c>
      <c r="P342" s="274">
        <f t="shared" si="34"/>
        <v>5.4399704360330281</v>
      </c>
      <c r="Q342" s="275">
        <f t="shared" si="35"/>
        <v>8.3676703617786004</v>
      </c>
      <c r="R342" s="171"/>
    </row>
    <row r="343" spans="2:18">
      <c r="B343" s="94">
        <f t="shared" si="31"/>
        <v>2050</v>
      </c>
      <c r="C343" s="1">
        <f t="shared" si="32"/>
        <v>2</v>
      </c>
      <c r="D343" s="213">
        <v>54820</v>
      </c>
      <c r="E343" s="1" t="str">
        <f t="shared" si="33"/>
        <v>2-2050</v>
      </c>
      <c r="F343" s="296">
        <v>5.0933065739091248</v>
      </c>
      <c r="G343" s="297">
        <v>2.558002578305385</v>
      </c>
      <c r="H343" s="298">
        <v>7.6513091522145098</v>
      </c>
      <c r="I343" s="297">
        <v>5.3365410229412049</v>
      </c>
      <c r="J343" s="297">
        <v>4.2282763910752452</v>
      </c>
      <c r="K343" s="297">
        <v>9.5648174140164492</v>
      </c>
      <c r="L343" s="296">
        <v>5.5322011455832509</v>
      </c>
      <c r="M343" s="297">
        <v>1.9968208078560863</v>
      </c>
      <c r="N343" s="298">
        <v>7.5290219534393374</v>
      </c>
      <c r="P343" s="274">
        <f t="shared" si="34"/>
        <v>5.3206829141445269</v>
      </c>
      <c r="Q343" s="275">
        <f t="shared" si="35"/>
        <v>8.2483828398900982</v>
      </c>
      <c r="R343" s="171"/>
    </row>
    <row r="344" spans="2:18">
      <c r="B344" s="94">
        <f t="shared" si="31"/>
        <v>2050</v>
      </c>
      <c r="C344" s="1">
        <f t="shared" si="32"/>
        <v>3</v>
      </c>
      <c r="D344" s="213">
        <v>54848</v>
      </c>
      <c r="E344" s="1" t="str">
        <f t="shared" si="33"/>
        <v>3-2050</v>
      </c>
      <c r="F344" s="296">
        <v>4.6757039387426467</v>
      </c>
      <c r="G344" s="297">
        <v>2.558002578305385</v>
      </c>
      <c r="H344" s="298">
        <v>7.2337065170480317</v>
      </c>
      <c r="I344" s="297">
        <v>4.8989186011824719</v>
      </c>
      <c r="J344" s="297">
        <v>4.2282763910752452</v>
      </c>
      <c r="K344" s="297">
        <v>9.1271949922577171</v>
      </c>
      <c r="L344" s="296">
        <v>5.0785358967245688</v>
      </c>
      <c r="M344" s="297">
        <v>1.9968208078560863</v>
      </c>
      <c r="N344" s="298">
        <v>7.0753567045806554</v>
      </c>
      <c r="P344" s="274">
        <f t="shared" si="34"/>
        <v>4.8843861455498958</v>
      </c>
      <c r="Q344" s="275">
        <f t="shared" si="35"/>
        <v>7.8120860712954681</v>
      </c>
      <c r="R344" s="171"/>
    </row>
    <row r="345" spans="2:18">
      <c r="B345" s="94">
        <f t="shared" si="31"/>
        <v>2050</v>
      </c>
      <c r="C345" s="1">
        <f t="shared" si="32"/>
        <v>4</v>
      </c>
      <c r="D345" s="213">
        <v>54879</v>
      </c>
      <c r="E345" s="1" t="str">
        <f t="shared" si="33"/>
        <v>4-2050</v>
      </c>
      <c r="F345" s="296">
        <v>4.5961790389583772</v>
      </c>
      <c r="G345" s="297">
        <v>2.558002578305385</v>
      </c>
      <c r="H345" s="298">
        <v>7.1541816172637622</v>
      </c>
      <c r="I345" s="297">
        <v>4.8155216655357593</v>
      </c>
      <c r="J345" s="297">
        <v>4.2282763910752452</v>
      </c>
      <c r="K345" s="297">
        <v>9.0437980566110046</v>
      </c>
      <c r="L345" s="296">
        <v>4.9920834590280787</v>
      </c>
      <c r="M345" s="297">
        <v>1.9968208078560863</v>
      </c>
      <c r="N345" s="298">
        <v>6.9889042668841652</v>
      </c>
      <c r="P345" s="274">
        <f t="shared" si="34"/>
        <v>4.8012613878407384</v>
      </c>
      <c r="Q345" s="275">
        <f t="shared" si="35"/>
        <v>7.7289613135863107</v>
      </c>
      <c r="R345" s="171"/>
    </row>
    <row r="346" spans="2:18">
      <c r="B346" s="94">
        <f t="shared" si="31"/>
        <v>2050</v>
      </c>
      <c r="C346" s="1">
        <f t="shared" si="32"/>
        <v>5</v>
      </c>
      <c r="D346" s="213">
        <v>54909</v>
      </c>
      <c r="E346" s="1" t="str">
        <f t="shared" si="33"/>
        <v>5-2050</v>
      </c>
      <c r="F346" s="296">
        <v>4.7561751408506225</v>
      </c>
      <c r="G346" s="297">
        <v>2.558002578305385</v>
      </c>
      <c r="H346" s="298">
        <v>7.3141777191560076</v>
      </c>
      <c r="I346" s="297">
        <v>4.9830750207597188</v>
      </c>
      <c r="J346" s="297">
        <v>4.2282763910752452</v>
      </c>
      <c r="K346" s="297">
        <v>9.2113514118349649</v>
      </c>
      <c r="L346" s="296">
        <v>5.1657824796875653</v>
      </c>
      <c r="M346" s="297">
        <v>1.9968208078560863</v>
      </c>
      <c r="N346" s="298">
        <v>7.1626032875436518</v>
      </c>
      <c r="P346" s="274">
        <f t="shared" si="34"/>
        <v>4.9683442137659695</v>
      </c>
      <c r="Q346" s="275">
        <f t="shared" si="35"/>
        <v>7.8960441395115408</v>
      </c>
      <c r="R346" s="171"/>
    </row>
    <row r="347" spans="2:18">
      <c r="B347" s="94">
        <f t="shared" si="31"/>
        <v>2050</v>
      </c>
      <c r="C347" s="1">
        <f t="shared" si="32"/>
        <v>6</v>
      </c>
      <c r="D347" s="213">
        <v>54940</v>
      </c>
      <c r="E347" s="1" t="str">
        <f t="shared" si="33"/>
        <v>6-2050</v>
      </c>
      <c r="F347" s="296">
        <v>4.879169161709461</v>
      </c>
      <c r="G347" s="297">
        <v>2.558002578305385</v>
      </c>
      <c r="H347" s="298">
        <v>7.437171740014846</v>
      </c>
      <c r="I347" s="297">
        <v>5.1118564007104741</v>
      </c>
      <c r="J347" s="297">
        <v>4.2282763910752452</v>
      </c>
      <c r="K347" s="297">
        <v>9.3401327917857202</v>
      </c>
      <c r="L347" s="296">
        <v>5.2992880640240561</v>
      </c>
      <c r="M347" s="297">
        <v>1.9968208078560863</v>
      </c>
      <c r="N347" s="298">
        <v>7.2961088718801426</v>
      </c>
      <c r="P347" s="274">
        <f t="shared" si="34"/>
        <v>5.0967712088146637</v>
      </c>
      <c r="Q347" s="275">
        <f t="shared" si="35"/>
        <v>8.0244711345602369</v>
      </c>
      <c r="R347" s="171"/>
    </row>
    <row r="348" spans="2:18">
      <c r="B348" s="94">
        <f t="shared" si="31"/>
        <v>2050</v>
      </c>
      <c r="C348" s="1">
        <f t="shared" si="32"/>
        <v>7</v>
      </c>
      <c r="D348" s="213">
        <v>54970</v>
      </c>
      <c r="E348" s="1" t="str">
        <f t="shared" si="33"/>
        <v>7-2050</v>
      </c>
      <c r="F348" s="296">
        <v>4.9179153647307698</v>
      </c>
      <c r="G348" s="297">
        <v>2.558002578305385</v>
      </c>
      <c r="H348" s="298">
        <v>7.4759179430361549</v>
      </c>
      <c r="I348" s="297">
        <v>5.1523695248281873</v>
      </c>
      <c r="J348" s="297">
        <v>4.2282763910752452</v>
      </c>
      <c r="K348" s="297">
        <v>9.3806459159034326</v>
      </c>
      <c r="L348" s="296">
        <v>5.3412890211512778</v>
      </c>
      <c r="M348" s="297">
        <v>1.9968208078560863</v>
      </c>
      <c r="N348" s="298">
        <v>7.3381098290073643</v>
      </c>
      <c r="P348" s="274">
        <f t="shared" si="34"/>
        <v>5.137191303570078</v>
      </c>
      <c r="Q348" s="275">
        <f t="shared" si="35"/>
        <v>8.0648912293156503</v>
      </c>
      <c r="R348" s="171"/>
    </row>
    <row r="349" spans="2:18">
      <c r="B349" s="94">
        <f t="shared" si="31"/>
        <v>2050</v>
      </c>
      <c r="C349" s="1">
        <f t="shared" si="32"/>
        <v>8</v>
      </c>
      <c r="D349" s="213">
        <v>55001</v>
      </c>
      <c r="E349" s="1" t="str">
        <f t="shared" si="33"/>
        <v>8-2050</v>
      </c>
      <c r="F349" s="296">
        <v>4.8799663650215104</v>
      </c>
      <c r="G349" s="297">
        <v>2.558002578305385</v>
      </c>
      <c r="H349" s="298">
        <v>7.4379689433268954</v>
      </c>
      <c r="I349" s="297">
        <v>5.1125311000950431</v>
      </c>
      <c r="J349" s="297">
        <v>4.2282763910752452</v>
      </c>
      <c r="K349" s="297">
        <v>9.3408074911702883</v>
      </c>
      <c r="L349" s="296">
        <v>5.2999922177379268</v>
      </c>
      <c r="M349" s="297">
        <v>1.9968208078560863</v>
      </c>
      <c r="N349" s="298">
        <v>7.2968130255940133</v>
      </c>
      <c r="P349" s="274">
        <f t="shared" si="34"/>
        <v>5.0974965609514937</v>
      </c>
      <c r="Q349" s="275">
        <f t="shared" si="35"/>
        <v>8.0251964866970642</v>
      </c>
      <c r="R349" s="171"/>
    </row>
    <row r="350" spans="2:18">
      <c r="B350" s="94">
        <f t="shared" si="31"/>
        <v>2050</v>
      </c>
      <c r="C350" s="1">
        <f t="shared" si="32"/>
        <v>9</v>
      </c>
      <c r="D350" s="213">
        <v>55032</v>
      </c>
      <c r="E350" s="1" t="str">
        <f t="shared" si="33"/>
        <v>9-2050</v>
      </c>
      <c r="F350" s="296">
        <v>4.9486453327807398</v>
      </c>
      <c r="G350" s="297">
        <v>2.558002578305385</v>
      </c>
      <c r="H350" s="298">
        <v>7.5066479110861248</v>
      </c>
      <c r="I350" s="297">
        <v>5.1844017047734363</v>
      </c>
      <c r="J350" s="297">
        <v>4.2282763910752452</v>
      </c>
      <c r="K350" s="297">
        <v>9.4126780958486815</v>
      </c>
      <c r="L350" s="296">
        <v>5.3745004924142501</v>
      </c>
      <c r="M350" s="297">
        <v>1.9968208078560863</v>
      </c>
      <c r="N350" s="298">
        <v>7.3713213002703366</v>
      </c>
      <c r="P350" s="274">
        <f t="shared" si="34"/>
        <v>5.1691825099894757</v>
      </c>
      <c r="Q350" s="275">
        <f t="shared" si="35"/>
        <v>8.0968824357350471</v>
      </c>
      <c r="R350" s="171"/>
    </row>
    <row r="351" spans="2:18">
      <c r="B351" s="94">
        <f t="shared" si="31"/>
        <v>2050</v>
      </c>
      <c r="C351" s="1">
        <f t="shared" si="32"/>
        <v>10</v>
      </c>
      <c r="D351" s="213">
        <v>55062</v>
      </c>
      <c r="E351" s="1" t="str">
        <f t="shared" si="33"/>
        <v>10-2050</v>
      </c>
      <c r="F351" s="296">
        <v>4.920166493083669</v>
      </c>
      <c r="G351" s="297">
        <v>2.558002578305385</v>
      </c>
      <c r="H351" s="298">
        <v>7.4781690713890541</v>
      </c>
      <c r="I351" s="297">
        <v>5.1544851801803802</v>
      </c>
      <c r="J351" s="297">
        <v>4.2282763910752452</v>
      </c>
      <c r="K351" s="297">
        <v>9.3827615712556245</v>
      </c>
      <c r="L351" s="296">
        <v>5.3434893829868537</v>
      </c>
      <c r="M351" s="297">
        <v>1.9968208078560863</v>
      </c>
      <c r="N351" s="298">
        <v>7.3403101908429402</v>
      </c>
      <c r="P351" s="274">
        <f t="shared" si="34"/>
        <v>5.1393803520836343</v>
      </c>
      <c r="Q351" s="275">
        <f t="shared" si="35"/>
        <v>8.0670802778292057</v>
      </c>
      <c r="R351" s="171"/>
    </row>
    <row r="352" spans="2:18">
      <c r="B352" s="94">
        <f t="shared" si="31"/>
        <v>2050</v>
      </c>
      <c r="C352" s="1">
        <f t="shared" si="32"/>
        <v>11</v>
      </c>
      <c r="D352" s="213">
        <v>55093</v>
      </c>
      <c r="E352" s="1" t="str">
        <f t="shared" si="33"/>
        <v>11-2050</v>
      </c>
      <c r="F352" s="296">
        <v>5.1633944243516003</v>
      </c>
      <c r="G352" s="297">
        <v>2.558002578305385</v>
      </c>
      <c r="H352" s="298">
        <v>7.7213970026569854</v>
      </c>
      <c r="I352" s="297">
        <v>5.4092116888563186</v>
      </c>
      <c r="J352" s="297">
        <v>4.2282763910752452</v>
      </c>
      <c r="K352" s="297">
        <v>9.6374880799315648</v>
      </c>
      <c r="L352" s="296">
        <v>5.6075586761382068</v>
      </c>
      <c r="M352" s="297">
        <v>1.9968208078560863</v>
      </c>
      <c r="N352" s="298">
        <v>7.6043794839942933</v>
      </c>
      <c r="P352" s="274">
        <f t="shared" si="34"/>
        <v>5.3933882631153756</v>
      </c>
      <c r="Q352" s="275">
        <f t="shared" si="35"/>
        <v>8.3210881888609478</v>
      </c>
      <c r="R352" s="171"/>
    </row>
    <row r="353" spans="2:18">
      <c r="B353" s="94">
        <f t="shared" si="31"/>
        <v>2050</v>
      </c>
      <c r="C353" s="1">
        <f t="shared" si="32"/>
        <v>12</v>
      </c>
      <c r="D353" s="213">
        <v>55123</v>
      </c>
      <c r="E353" s="1" t="str">
        <f t="shared" si="33"/>
        <v>12-2050</v>
      </c>
      <c r="F353" s="296">
        <v>5.2049660065617358</v>
      </c>
      <c r="G353" s="297">
        <v>2.558002578305385</v>
      </c>
      <c r="H353" s="298">
        <v>7.7629685848671208</v>
      </c>
      <c r="I353" s="297">
        <v>5.4526767650814403</v>
      </c>
      <c r="J353" s="297">
        <v>4.2282763910752452</v>
      </c>
      <c r="K353" s="297">
        <v>9.6809531561566864</v>
      </c>
      <c r="L353" s="296">
        <v>5.6526200618347575</v>
      </c>
      <c r="M353" s="297">
        <v>1.9968208078560863</v>
      </c>
      <c r="N353" s="298">
        <v>7.649440869690844</v>
      </c>
      <c r="P353" s="274">
        <f t="shared" si="34"/>
        <v>5.436754277825977</v>
      </c>
      <c r="Q353" s="275">
        <f t="shared" si="35"/>
        <v>8.3644542035715492</v>
      </c>
      <c r="R353" s="171"/>
    </row>
    <row r="354" spans="2:18">
      <c r="B354" s="94">
        <f t="shared" si="31"/>
        <v>2051</v>
      </c>
      <c r="C354" s="1">
        <f t="shared" si="32"/>
        <v>1</v>
      </c>
      <c r="D354" s="213">
        <v>55154</v>
      </c>
      <c r="E354" s="1" t="str">
        <f t="shared" si="33"/>
        <v>1-2051</v>
      </c>
      <c r="F354" s="296">
        <v>5.2053259801016827</v>
      </c>
      <c r="G354" s="297">
        <v>2.6599770739332742</v>
      </c>
      <c r="H354" s="298">
        <v>7.8653030540349569</v>
      </c>
      <c r="I354" s="297">
        <v>5.4529726694238363</v>
      </c>
      <c r="J354" s="297">
        <v>4.3974074467182556</v>
      </c>
      <c r="K354" s="297">
        <v>9.850380116142091</v>
      </c>
      <c r="L354" s="296">
        <v>5.652929621917937</v>
      </c>
      <c r="M354" s="297">
        <v>2.0766936401703293</v>
      </c>
      <c r="N354" s="298">
        <v>7.7296232620882659</v>
      </c>
      <c r="P354" s="274">
        <f t="shared" si="34"/>
        <v>5.4370760904811526</v>
      </c>
      <c r="Q354" s="275">
        <f t="shared" si="35"/>
        <v>8.4817688107551046</v>
      </c>
      <c r="R354" s="171"/>
    </row>
    <row r="355" spans="2:18">
      <c r="B355" s="94">
        <f t="shared" si="31"/>
        <v>2051</v>
      </c>
      <c r="C355" s="1">
        <f t="shared" si="32"/>
        <v>2</v>
      </c>
      <c r="D355" s="213">
        <v>55185</v>
      </c>
      <c r="E355" s="1" t="str">
        <f t="shared" si="33"/>
        <v>2-2051</v>
      </c>
      <c r="F355" s="296">
        <v>5.0912536924087508</v>
      </c>
      <c r="G355" s="297">
        <v>2.6599770739332742</v>
      </c>
      <c r="H355" s="298">
        <v>7.751230766342025</v>
      </c>
      <c r="I355" s="297">
        <v>5.333393893982354</v>
      </c>
      <c r="J355" s="297">
        <v>4.3974074467182556</v>
      </c>
      <c r="K355" s="297">
        <v>9.7308013407006086</v>
      </c>
      <c r="L355" s="296">
        <v>5.5289687147533506</v>
      </c>
      <c r="M355" s="297">
        <v>2.0766936401703293</v>
      </c>
      <c r="N355" s="298">
        <v>7.6056623549236804</v>
      </c>
      <c r="P355" s="274">
        <f t="shared" si="34"/>
        <v>5.3178721003814848</v>
      </c>
      <c r="Q355" s="275">
        <f t="shared" si="35"/>
        <v>8.3625648206554377</v>
      </c>
      <c r="R355" s="171"/>
    </row>
    <row r="356" spans="2:18">
      <c r="B356" s="94">
        <f t="shared" si="31"/>
        <v>2051</v>
      </c>
      <c r="C356" s="1">
        <f t="shared" si="32"/>
        <v>3</v>
      </c>
      <c r="D356" s="213">
        <v>55213</v>
      </c>
      <c r="E356" s="1" t="str">
        <f t="shared" si="33"/>
        <v>3-2051</v>
      </c>
      <c r="F356" s="296">
        <v>4.6738343794614421</v>
      </c>
      <c r="G356" s="297">
        <v>2.6599770739332742</v>
      </c>
      <c r="H356" s="298">
        <v>7.3338114533947163</v>
      </c>
      <c r="I356" s="297">
        <v>4.8960491853193169</v>
      </c>
      <c r="J356" s="297">
        <v>4.3974074467182556</v>
      </c>
      <c r="K356" s="297">
        <v>9.2934566320375716</v>
      </c>
      <c r="L356" s="296">
        <v>5.0755891549836578</v>
      </c>
      <c r="M356" s="297">
        <v>2.0766936401703293</v>
      </c>
      <c r="N356" s="298">
        <v>7.1522827951539867</v>
      </c>
      <c r="P356" s="274">
        <f t="shared" si="34"/>
        <v>4.881824239921472</v>
      </c>
      <c r="Q356" s="275">
        <f t="shared" si="35"/>
        <v>7.9265169601954248</v>
      </c>
      <c r="R356" s="171"/>
    </row>
    <row r="357" spans="2:18">
      <c r="B357" s="94">
        <f t="shared" si="31"/>
        <v>2051</v>
      </c>
      <c r="C357" s="1">
        <f t="shared" si="32"/>
        <v>4</v>
      </c>
      <c r="D357" s="213">
        <v>55244</v>
      </c>
      <c r="E357" s="1" t="str">
        <f t="shared" si="33"/>
        <v>4-2051</v>
      </c>
      <c r="F357" s="296">
        <v>4.5943560286298686</v>
      </c>
      <c r="G357" s="297">
        <v>2.6599770739332742</v>
      </c>
      <c r="H357" s="298">
        <v>7.2543331025631428</v>
      </c>
      <c r="I357" s="297">
        <v>4.81272039813883</v>
      </c>
      <c r="J357" s="297">
        <v>4.3974074467182556</v>
      </c>
      <c r="K357" s="297">
        <v>9.2101278448570856</v>
      </c>
      <c r="L357" s="296">
        <v>4.9892071463358771</v>
      </c>
      <c r="M357" s="297">
        <v>2.0766936401703293</v>
      </c>
      <c r="N357" s="298">
        <v>7.0659007865062069</v>
      </c>
      <c r="P357" s="274">
        <f t="shared" si="34"/>
        <v>4.7987611910348589</v>
      </c>
      <c r="Q357" s="275">
        <f t="shared" si="35"/>
        <v>7.8434539113088109</v>
      </c>
      <c r="R357" s="171"/>
    </row>
    <row r="358" spans="2:18">
      <c r="B358" s="94">
        <f t="shared" si="31"/>
        <v>2051</v>
      </c>
      <c r="C358" s="1">
        <f t="shared" si="32"/>
        <v>5</v>
      </c>
      <c r="D358" s="213">
        <v>55274</v>
      </c>
      <c r="E358" s="1" t="str">
        <f t="shared" si="33"/>
        <v>5-2051</v>
      </c>
      <c r="F358" s="296">
        <v>4.75430393612075</v>
      </c>
      <c r="G358" s="297">
        <v>2.6599770739332742</v>
      </c>
      <c r="H358" s="298">
        <v>7.4142810100540242</v>
      </c>
      <c r="I358" s="297">
        <v>4.9801962592502385</v>
      </c>
      <c r="J358" s="297">
        <v>4.3974074467182556</v>
      </c>
      <c r="K358" s="297">
        <v>9.3776037059684931</v>
      </c>
      <c r="L358" s="296">
        <v>5.1628270595954966</v>
      </c>
      <c r="M358" s="297">
        <v>2.0766936401703293</v>
      </c>
      <c r="N358" s="298">
        <v>7.2395206997658264</v>
      </c>
      <c r="P358" s="274">
        <f t="shared" si="34"/>
        <v>4.965775751655495</v>
      </c>
      <c r="Q358" s="275">
        <f t="shared" si="35"/>
        <v>8.0104684719294479</v>
      </c>
      <c r="R358" s="171"/>
    </row>
    <row r="359" spans="2:18">
      <c r="B359" s="94">
        <f t="shared" si="31"/>
        <v>2051</v>
      </c>
      <c r="C359" s="1">
        <f t="shared" si="32"/>
        <v>6</v>
      </c>
      <c r="D359" s="213">
        <v>55305</v>
      </c>
      <c r="E359" s="1" t="str">
        <f t="shared" si="33"/>
        <v>6-2051</v>
      </c>
      <c r="F359" s="296">
        <v>4.8772652295507068</v>
      </c>
      <c r="G359" s="297">
        <v>2.6599770739332742</v>
      </c>
      <c r="H359" s="298">
        <v>7.5372423034839811</v>
      </c>
      <c r="I359" s="297">
        <v>5.1089237338472886</v>
      </c>
      <c r="J359" s="297">
        <v>4.3974074467182556</v>
      </c>
      <c r="K359" s="297">
        <v>9.5063311805655442</v>
      </c>
      <c r="L359" s="296">
        <v>5.2962777811945863</v>
      </c>
      <c r="M359" s="297">
        <v>2.0766936401703293</v>
      </c>
      <c r="N359" s="298">
        <v>7.372971421364916</v>
      </c>
      <c r="P359" s="274">
        <f t="shared" si="34"/>
        <v>5.0941555815308606</v>
      </c>
      <c r="Q359" s="275">
        <f t="shared" si="35"/>
        <v>8.1388483018048134</v>
      </c>
      <c r="R359" s="171"/>
    </row>
    <row r="360" spans="2:18">
      <c r="B360" s="94">
        <f t="shared" si="31"/>
        <v>2051</v>
      </c>
      <c r="C360" s="1">
        <f t="shared" si="32"/>
        <v>7</v>
      </c>
      <c r="D360" s="213">
        <v>55335</v>
      </c>
      <c r="E360" s="1" t="str">
        <f t="shared" si="33"/>
        <v>7-2051</v>
      </c>
      <c r="F360" s="296">
        <v>4.9160121002771788</v>
      </c>
      <c r="G360" s="297">
        <v>2.6599770739332742</v>
      </c>
      <c r="H360" s="298">
        <v>7.575989174210453</v>
      </c>
      <c r="I360" s="297">
        <v>5.1494342727552027</v>
      </c>
      <c r="J360" s="297">
        <v>4.3974074467182556</v>
      </c>
      <c r="K360" s="297">
        <v>9.5468417194734592</v>
      </c>
      <c r="L360" s="296">
        <v>5.338276569958806</v>
      </c>
      <c r="M360" s="297">
        <v>2.0766936401703293</v>
      </c>
      <c r="N360" s="298">
        <v>7.4149702101291357</v>
      </c>
      <c r="P360" s="274">
        <f t="shared" si="34"/>
        <v>5.1345743143303961</v>
      </c>
      <c r="Q360" s="275">
        <f t="shared" si="35"/>
        <v>8.179267034604349</v>
      </c>
      <c r="R360" s="171"/>
    </row>
    <row r="361" spans="2:18">
      <c r="B361" s="94">
        <f t="shared" si="31"/>
        <v>2051</v>
      </c>
      <c r="C361" s="1">
        <f t="shared" si="32"/>
        <v>8</v>
      </c>
      <c r="D361" s="213">
        <v>55366</v>
      </c>
      <c r="E361" s="1" t="str">
        <f t="shared" si="33"/>
        <v>8-2051</v>
      </c>
      <c r="F361" s="296">
        <v>4.8780934534317186</v>
      </c>
      <c r="G361" s="297">
        <v>2.6599770739332742</v>
      </c>
      <c r="H361" s="298">
        <v>7.5380705273649928</v>
      </c>
      <c r="I361" s="297">
        <v>5.1096390430134058</v>
      </c>
      <c r="J361" s="297">
        <v>4.3974074467182556</v>
      </c>
      <c r="K361" s="297">
        <v>9.5070464897316604</v>
      </c>
      <c r="L361" s="296">
        <v>5.2970245825462454</v>
      </c>
      <c r="M361" s="297">
        <v>2.0766936401703293</v>
      </c>
      <c r="N361" s="298">
        <v>7.3737182227165743</v>
      </c>
      <c r="P361" s="274">
        <f t="shared" si="34"/>
        <v>5.094919026330456</v>
      </c>
      <c r="Q361" s="275">
        <f t="shared" si="35"/>
        <v>8.1396117466044089</v>
      </c>
      <c r="R361" s="171"/>
    </row>
    <row r="362" spans="2:18">
      <c r="B362" s="94">
        <f t="shared" si="31"/>
        <v>2051</v>
      </c>
      <c r="C362" s="1">
        <f t="shared" si="32"/>
        <v>9</v>
      </c>
      <c r="D362" s="213">
        <v>55397</v>
      </c>
      <c r="E362" s="1" t="str">
        <f t="shared" si="33"/>
        <v>9-2051</v>
      </c>
      <c r="F362" s="296">
        <v>4.9467619504051763</v>
      </c>
      <c r="G362" s="297">
        <v>2.6599770739332742</v>
      </c>
      <c r="H362" s="298">
        <v>7.6067390243384505</v>
      </c>
      <c r="I362" s="297">
        <v>5.1814897816183505</v>
      </c>
      <c r="J362" s="297">
        <v>4.3974074467182556</v>
      </c>
      <c r="K362" s="297">
        <v>9.5788972283366061</v>
      </c>
      <c r="L362" s="296">
        <v>5.3715129672934703</v>
      </c>
      <c r="M362" s="297">
        <v>2.0766936401703293</v>
      </c>
      <c r="N362" s="298">
        <v>7.4482066074637991</v>
      </c>
      <c r="P362" s="274">
        <f t="shared" si="34"/>
        <v>5.1665882331056663</v>
      </c>
      <c r="Q362" s="275">
        <f t="shared" si="35"/>
        <v>8.2112809533796192</v>
      </c>
      <c r="R362" s="171"/>
    </row>
    <row r="363" spans="2:18">
      <c r="B363" s="94">
        <f t="shared" si="31"/>
        <v>2051</v>
      </c>
      <c r="C363" s="1">
        <f t="shared" si="32"/>
        <v>10</v>
      </c>
      <c r="D363" s="213">
        <v>55427</v>
      </c>
      <c r="E363" s="1" t="str">
        <f t="shared" si="33"/>
        <v>10-2051</v>
      </c>
      <c r="F363" s="296">
        <v>4.9183097469128798</v>
      </c>
      <c r="G363" s="297">
        <v>2.6599770739332742</v>
      </c>
      <c r="H363" s="298">
        <v>7.578286820846154</v>
      </c>
      <c r="I363" s="297">
        <v>5.1516107320317319</v>
      </c>
      <c r="J363" s="297">
        <v>4.3974074467182556</v>
      </c>
      <c r="K363" s="297">
        <v>9.5490181787499875</v>
      </c>
      <c r="L363" s="296">
        <v>5.3405408018437415</v>
      </c>
      <c r="M363" s="297">
        <v>2.0766936401703293</v>
      </c>
      <c r="N363" s="298">
        <v>7.4172344420140703</v>
      </c>
      <c r="P363" s="274">
        <f t="shared" si="34"/>
        <v>5.1368204269294511</v>
      </c>
      <c r="Q363" s="275">
        <f t="shared" si="35"/>
        <v>8.1815131472034039</v>
      </c>
      <c r="R363" s="171"/>
    </row>
    <row r="364" spans="2:18">
      <c r="B364" s="94">
        <f t="shared" si="31"/>
        <v>2051</v>
      </c>
      <c r="C364" s="1">
        <f t="shared" si="32"/>
        <v>11</v>
      </c>
      <c r="D364" s="213">
        <v>55458</v>
      </c>
      <c r="E364" s="1" t="str">
        <f t="shared" si="33"/>
        <v>11-2051</v>
      </c>
      <c r="F364" s="296">
        <v>5.1614624697784928</v>
      </c>
      <c r="G364" s="297">
        <v>2.6599770739332742</v>
      </c>
      <c r="H364" s="298">
        <v>7.821439543711767</v>
      </c>
      <c r="I364" s="297">
        <v>5.4062168855447048</v>
      </c>
      <c r="J364" s="297">
        <v>4.3974074467182556</v>
      </c>
      <c r="K364" s="297">
        <v>9.8036243322629595</v>
      </c>
      <c r="L364" s="296">
        <v>5.6044871601507582</v>
      </c>
      <c r="M364" s="297">
        <v>2.0766936401703293</v>
      </c>
      <c r="N364" s="298">
        <v>7.6811808003210871</v>
      </c>
      <c r="P364" s="274">
        <f t="shared" si="34"/>
        <v>5.3907221718246516</v>
      </c>
      <c r="Q364" s="275">
        <f t="shared" si="35"/>
        <v>8.4354148920986045</v>
      </c>
      <c r="R364" s="171"/>
    </row>
    <row r="365" spans="2:18">
      <c r="B365" s="94">
        <f t="shared" si="31"/>
        <v>2051</v>
      </c>
      <c r="C365" s="1">
        <f t="shared" si="32"/>
        <v>12</v>
      </c>
      <c r="D365" s="213">
        <v>55488</v>
      </c>
      <c r="E365" s="1" t="str">
        <f t="shared" si="33"/>
        <v>12-2051</v>
      </c>
      <c r="F365" s="296">
        <v>5.2030352116967293</v>
      </c>
      <c r="G365" s="297">
        <v>2.6599770739332742</v>
      </c>
      <c r="H365" s="298">
        <v>7.8630122856300035</v>
      </c>
      <c r="I365" s="297">
        <v>5.4496797694165862</v>
      </c>
      <c r="J365" s="297">
        <v>4.3974074467182556</v>
      </c>
      <c r="K365" s="297">
        <v>9.8470872161348417</v>
      </c>
      <c r="L365" s="296">
        <v>5.649546829750606</v>
      </c>
      <c r="M365" s="297">
        <v>2.0766936401703293</v>
      </c>
      <c r="N365" s="298">
        <v>7.7262404699209348</v>
      </c>
      <c r="P365" s="274">
        <f t="shared" si="34"/>
        <v>5.4340872702879741</v>
      </c>
      <c r="Q365" s="275">
        <f t="shared" si="35"/>
        <v>8.478779990561927</v>
      </c>
      <c r="R365" s="171"/>
    </row>
    <row r="366" spans="2:18">
      <c r="B366" s="94">
        <f t="shared" si="31"/>
        <v>2052</v>
      </c>
      <c r="C366" s="1">
        <f t="shared" si="32"/>
        <v>1</v>
      </c>
      <c r="D366" s="213">
        <v>55519</v>
      </c>
      <c r="E366" s="1" t="str">
        <f t="shared" si="33"/>
        <v>1-2052</v>
      </c>
      <c r="F366" s="296">
        <v>5.2033907124095311</v>
      </c>
      <c r="G366" s="297">
        <v>2.7660168279004642</v>
      </c>
      <c r="H366" s="298">
        <v>7.9694075403099953</v>
      </c>
      <c r="I366" s="297">
        <v>5.4499726700119906</v>
      </c>
      <c r="J366" s="297">
        <v>4.573303744586986</v>
      </c>
      <c r="K366" s="297">
        <v>10.023276414598977</v>
      </c>
      <c r="L366" s="296">
        <v>5.6498524863954165</v>
      </c>
      <c r="M366" s="297">
        <v>2.1597613857771427</v>
      </c>
      <c r="N366" s="298">
        <v>7.8096138721725588</v>
      </c>
      <c r="P366" s="274">
        <f t="shared" si="34"/>
        <v>5.4344052896056461</v>
      </c>
      <c r="Q366" s="275">
        <f t="shared" si="35"/>
        <v>8.6007659423605105</v>
      </c>
      <c r="R366" s="171"/>
    </row>
    <row r="367" spans="2:18">
      <c r="B367" s="94">
        <f t="shared" si="31"/>
        <v>2052</v>
      </c>
      <c r="C367" s="1">
        <f t="shared" si="32"/>
        <v>2</v>
      </c>
      <c r="D367" s="213">
        <v>55550</v>
      </c>
      <c r="E367" s="1" t="str">
        <f t="shared" si="33"/>
        <v>2-2052</v>
      </c>
      <c r="F367" s="296">
        <v>5.0893565907413079</v>
      </c>
      <c r="G367" s="297">
        <v>2.7660168279004642</v>
      </c>
      <c r="H367" s="298">
        <v>7.8553734186417721</v>
      </c>
      <c r="I367" s="297">
        <v>5.3304569027949391</v>
      </c>
      <c r="J367" s="297">
        <v>4.573303744586986</v>
      </c>
      <c r="K367" s="297">
        <v>9.903760647381926</v>
      </c>
      <c r="L367" s="296">
        <v>5.5259554029848861</v>
      </c>
      <c r="M367" s="297">
        <v>2.1597613857771427</v>
      </c>
      <c r="N367" s="298">
        <v>7.6857167887620292</v>
      </c>
      <c r="P367" s="274">
        <f t="shared" si="34"/>
        <v>5.3152562988403771</v>
      </c>
      <c r="Q367" s="275">
        <f t="shared" si="35"/>
        <v>8.4816169515952424</v>
      </c>
      <c r="R367" s="171"/>
    </row>
    <row r="368" spans="2:18">
      <c r="B368" s="94">
        <f t="shared" si="31"/>
        <v>2052</v>
      </c>
      <c r="C368" s="1">
        <f t="shared" si="32"/>
        <v>3</v>
      </c>
      <c r="D368" s="213">
        <v>55579</v>
      </c>
      <c r="E368" s="1" t="str">
        <f t="shared" si="33"/>
        <v>3-2052</v>
      </c>
      <c r="F368" s="296">
        <v>4.6720889197623769</v>
      </c>
      <c r="G368" s="297">
        <v>2.7660168279004642</v>
      </c>
      <c r="H368" s="298">
        <v>7.4381057476628412</v>
      </c>
      <c r="I368" s="297">
        <v>4.8933504795326446</v>
      </c>
      <c r="J368" s="297">
        <v>4.573303744586986</v>
      </c>
      <c r="K368" s="297">
        <v>9.4666542241196296</v>
      </c>
      <c r="L368" s="296">
        <v>5.0728195827585738</v>
      </c>
      <c r="M368" s="297">
        <v>2.1597613857771427</v>
      </c>
      <c r="N368" s="298">
        <v>7.2325809685357161</v>
      </c>
      <c r="P368" s="274">
        <f t="shared" si="34"/>
        <v>4.8794196606845324</v>
      </c>
      <c r="Q368" s="275">
        <f t="shared" si="35"/>
        <v>8.0457803134393959</v>
      </c>
      <c r="R368" s="171"/>
    </row>
    <row r="369" spans="2:18">
      <c r="B369" s="94">
        <f t="shared" si="31"/>
        <v>2052</v>
      </c>
      <c r="C369" s="1">
        <f t="shared" si="32"/>
        <v>4</v>
      </c>
      <c r="D369" s="213">
        <v>55610</v>
      </c>
      <c r="E369" s="1" t="str">
        <f t="shared" si="33"/>
        <v>4-2052</v>
      </c>
      <c r="F369" s="296">
        <v>4.5926364197130134</v>
      </c>
      <c r="G369" s="297">
        <v>2.7660168279004642</v>
      </c>
      <c r="H369" s="298">
        <v>7.3586532476134776</v>
      </c>
      <c r="I369" s="297">
        <v>4.8100651150267941</v>
      </c>
      <c r="J369" s="297">
        <v>4.573303744586986</v>
      </c>
      <c r="K369" s="297">
        <v>9.3833688596137801</v>
      </c>
      <c r="L369" s="296">
        <v>4.9864814122823278</v>
      </c>
      <c r="M369" s="297">
        <v>2.1597613857771427</v>
      </c>
      <c r="N369" s="298">
        <v>7.14624279805947</v>
      </c>
      <c r="P369" s="274">
        <f t="shared" si="34"/>
        <v>4.7963943156740454</v>
      </c>
      <c r="Q369" s="275">
        <f t="shared" si="35"/>
        <v>7.9627549684289081</v>
      </c>
      <c r="R369" s="171"/>
    </row>
    <row r="370" spans="2:18">
      <c r="B370" s="94">
        <f t="shared" si="31"/>
        <v>2052</v>
      </c>
      <c r="C370" s="1">
        <f t="shared" si="32"/>
        <v>5</v>
      </c>
      <c r="D370" s="213">
        <v>55640</v>
      </c>
      <c r="E370" s="1" t="str">
        <f t="shared" si="33"/>
        <v>5-2052</v>
      </c>
      <c r="F370" s="296">
        <v>4.7525204964494998</v>
      </c>
      <c r="G370" s="297">
        <v>2.7660168279004642</v>
      </c>
      <c r="H370" s="298">
        <v>7.518537324349964</v>
      </c>
      <c r="I370" s="297">
        <v>4.9774459803103781</v>
      </c>
      <c r="J370" s="297">
        <v>4.573303744586986</v>
      </c>
      <c r="K370" s="297">
        <v>9.550749724897365</v>
      </c>
      <c r="L370" s="296">
        <v>5.1600030599121869</v>
      </c>
      <c r="M370" s="297">
        <v>2.1597613857771427</v>
      </c>
      <c r="N370" s="298">
        <v>7.31976444568933</v>
      </c>
      <c r="P370" s="274">
        <f t="shared" si="34"/>
        <v>4.963323178890688</v>
      </c>
      <c r="Q370" s="275">
        <f t="shared" si="35"/>
        <v>8.1296838316455524</v>
      </c>
      <c r="R370" s="171"/>
    </row>
    <row r="371" spans="2:18">
      <c r="B371" s="94">
        <f t="shared" si="31"/>
        <v>2052</v>
      </c>
      <c r="C371" s="1">
        <f t="shared" si="32"/>
        <v>6</v>
      </c>
      <c r="D371" s="213">
        <v>55671</v>
      </c>
      <c r="E371" s="1" t="str">
        <f t="shared" si="33"/>
        <v>6-2052</v>
      </c>
      <c r="F371" s="296">
        <v>4.8754315974337903</v>
      </c>
      <c r="G371" s="297">
        <v>2.7660168279004642</v>
      </c>
      <c r="H371" s="298">
        <v>7.6414484253342545</v>
      </c>
      <c r="I371" s="297">
        <v>5.1060997029796873</v>
      </c>
      <c r="J371" s="297">
        <v>4.573303744586986</v>
      </c>
      <c r="K371" s="297">
        <v>9.6794034475666741</v>
      </c>
      <c r="L371" s="296">
        <v>5.2933772846244969</v>
      </c>
      <c r="M371" s="297">
        <v>2.1597613857771427</v>
      </c>
      <c r="N371" s="298">
        <v>7.4531386704016391</v>
      </c>
      <c r="P371" s="274">
        <f t="shared" si="34"/>
        <v>5.0916361950126579</v>
      </c>
      <c r="Q371" s="275">
        <f t="shared" si="35"/>
        <v>8.2579968477675223</v>
      </c>
      <c r="R371" s="171"/>
    </row>
    <row r="372" spans="2:18">
      <c r="B372" s="94">
        <f t="shared" si="31"/>
        <v>2052</v>
      </c>
      <c r="C372" s="1">
        <f t="shared" si="32"/>
        <v>7</v>
      </c>
      <c r="D372" s="213">
        <v>55701</v>
      </c>
      <c r="E372" s="1" t="str">
        <f t="shared" si="33"/>
        <v>7-2052</v>
      </c>
      <c r="F372" s="296">
        <v>4.9141598014463161</v>
      </c>
      <c r="G372" s="297">
        <v>2.7660168279004642</v>
      </c>
      <c r="H372" s="298">
        <v>7.6801766293467804</v>
      </c>
      <c r="I372" s="297">
        <v>5.1465851646735663</v>
      </c>
      <c r="J372" s="297">
        <v>4.573303744586986</v>
      </c>
      <c r="K372" s="297">
        <v>9.7198889092605523</v>
      </c>
      <c r="L372" s="296">
        <v>5.335349543681521</v>
      </c>
      <c r="M372" s="297">
        <v>2.1597613857771427</v>
      </c>
      <c r="N372" s="298">
        <v>7.4951109294586633</v>
      </c>
      <c r="P372" s="274">
        <f t="shared" si="34"/>
        <v>5.1320315032671351</v>
      </c>
      <c r="Q372" s="275">
        <f t="shared" si="35"/>
        <v>8.2983921560219986</v>
      </c>
      <c r="R372" s="171"/>
    </row>
    <row r="373" spans="2:18">
      <c r="B373" s="94">
        <f t="shared" si="31"/>
        <v>2052</v>
      </c>
      <c r="C373" s="1">
        <f t="shared" si="32"/>
        <v>8</v>
      </c>
      <c r="D373" s="213">
        <v>55732</v>
      </c>
      <c r="E373" s="1" t="str">
        <f t="shared" si="33"/>
        <v>8-2052</v>
      </c>
      <c r="F373" s="296">
        <v>4.8762513736613</v>
      </c>
      <c r="G373" s="297">
        <v>2.7660168279004642</v>
      </c>
      <c r="H373" s="298">
        <v>7.6422682015617642</v>
      </c>
      <c r="I373" s="297">
        <v>5.1068092891300347</v>
      </c>
      <c r="J373" s="297">
        <v>4.573303744586986</v>
      </c>
      <c r="K373" s="297">
        <v>9.6801130337170207</v>
      </c>
      <c r="L373" s="296">
        <v>5.2941166729190048</v>
      </c>
      <c r="M373" s="297">
        <v>2.1597613857771427</v>
      </c>
      <c r="N373" s="298">
        <v>7.4538780586961479</v>
      </c>
      <c r="P373" s="274">
        <f t="shared" si="34"/>
        <v>5.0923924452367801</v>
      </c>
      <c r="Q373" s="275">
        <f t="shared" si="35"/>
        <v>8.2587530979916437</v>
      </c>
      <c r="R373" s="171"/>
    </row>
    <row r="374" spans="2:18">
      <c r="B374" s="94">
        <f t="shared" ref="B374:B401" si="36">YEAR(D374)</f>
        <v>2052</v>
      </c>
      <c r="C374" s="1">
        <f t="shared" ref="C374:C401" si="37">MONTH(D374)</f>
        <v>9</v>
      </c>
      <c r="D374" s="213">
        <v>55763</v>
      </c>
      <c r="E374" s="1" t="str">
        <f t="shared" si="33"/>
        <v>9-2052</v>
      </c>
      <c r="F374" s="296">
        <v>4.9448898140493158</v>
      </c>
      <c r="G374" s="297">
        <v>2.7660168279004642</v>
      </c>
      <c r="H374" s="298">
        <v>7.71090664194978</v>
      </c>
      <c r="I374" s="297">
        <v>5.1786175346543111</v>
      </c>
      <c r="J374" s="297">
        <v>4.573303744586986</v>
      </c>
      <c r="K374" s="297">
        <v>9.7519212792412979</v>
      </c>
      <c r="L374" s="296">
        <v>5.3685606139829396</v>
      </c>
      <c r="M374" s="297">
        <v>2.1597613857771427</v>
      </c>
      <c r="N374" s="298">
        <v>7.5283219997600828</v>
      </c>
      <c r="P374" s="274">
        <f t="shared" si="34"/>
        <v>5.1640226542288552</v>
      </c>
      <c r="Q374" s="275">
        <f t="shared" si="35"/>
        <v>8.3303833069837196</v>
      </c>
      <c r="R374" s="171"/>
    </row>
    <row r="375" spans="2:18">
      <c r="B375" s="94">
        <f t="shared" si="36"/>
        <v>2052</v>
      </c>
      <c r="C375" s="1">
        <f t="shared" si="37"/>
        <v>10</v>
      </c>
      <c r="D375" s="213">
        <v>55793</v>
      </c>
      <c r="E375" s="1" t="str">
        <f t="shared" si="33"/>
        <v>10-2052</v>
      </c>
      <c r="F375" s="296">
        <v>4.9164442761783871</v>
      </c>
      <c r="G375" s="297">
        <v>2.7660168279004642</v>
      </c>
      <c r="H375" s="298">
        <v>7.6824611040788513</v>
      </c>
      <c r="I375" s="297">
        <v>5.1487523615679232</v>
      </c>
      <c r="J375" s="297">
        <v>4.573303744586986</v>
      </c>
      <c r="K375" s="297">
        <v>9.7220561061549091</v>
      </c>
      <c r="L375" s="296">
        <v>5.3376019402076862</v>
      </c>
      <c r="M375" s="297">
        <v>2.1597613857771427</v>
      </c>
      <c r="N375" s="298">
        <v>7.4973633259848285</v>
      </c>
      <c r="P375" s="274">
        <f t="shared" si="34"/>
        <v>5.1342661926513324</v>
      </c>
      <c r="Q375" s="275">
        <f t="shared" si="35"/>
        <v>8.300626845406196</v>
      </c>
      <c r="R375" s="171"/>
    </row>
    <row r="376" spans="2:18">
      <c r="B376" s="94">
        <f t="shared" si="36"/>
        <v>2052</v>
      </c>
      <c r="C376" s="1">
        <f t="shared" si="37"/>
        <v>11</v>
      </c>
      <c r="D376" s="213">
        <v>55824</v>
      </c>
      <c r="E376" s="1" t="str">
        <f t="shared" si="33"/>
        <v>11-2052</v>
      </c>
      <c r="F376" s="296">
        <v>5.1595004680092584</v>
      </c>
      <c r="G376" s="297">
        <v>2.7660168279004642</v>
      </c>
      <c r="H376" s="298">
        <v>7.9255172959097226</v>
      </c>
      <c r="I376" s="297">
        <v>5.4032144275654046</v>
      </c>
      <c r="J376" s="297">
        <v>4.573303744586986</v>
      </c>
      <c r="K376" s="297">
        <v>9.9765181721523906</v>
      </c>
      <c r="L376" s="296">
        <v>5.6013993442244301</v>
      </c>
      <c r="M376" s="297">
        <v>2.1597613857771427</v>
      </c>
      <c r="N376" s="298">
        <v>7.7611607300015724</v>
      </c>
      <c r="P376" s="274">
        <f t="shared" si="34"/>
        <v>5.3880380799330316</v>
      </c>
      <c r="Q376" s="275">
        <f t="shared" si="35"/>
        <v>8.5543987326878952</v>
      </c>
      <c r="R376" s="171"/>
    </row>
    <row r="377" spans="2:18">
      <c r="B377" s="94">
        <f t="shared" si="36"/>
        <v>2052</v>
      </c>
      <c r="C377" s="1">
        <f t="shared" si="37"/>
        <v>12</v>
      </c>
      <c r="D377" s="213">
        <v>55854</v>
      </c>
      <c r="E377" s="1" t="str">
        <f t="shared" si="33"/>
        <v>12-2052</v>
      </c>
      <c r="F377" s="296">
        <v>5.2010530667463915</v>
      </c>
      <c r="G377" s="297">
        <v>2.7660168279004642</v>
      </c>
      <c r="H377" s="298">
        <v>7.9670698946468557</v>
      </c>
      <c r="I377" s="297">
        <v>5.446650331142127</v>
      </c>
      <c r="J377" s="297">
        <v>4.573303744586986</v>
      </c>
      <c r="K377" s="297">
        <v>10.019954075729114</v>
      </c>
      <c r="L377" s="296">
        <v>5.6464304513841856</v>
      </c>
      <c r="M377" s="297">
        <v>2.1597613857771427</v>
      </c>
      <c r="N377" s="298">
        <v>7.8061918371613288</v>
      </c>
      <c r="P377" s="274">
        <f t="shared" si="34"/>
        <v>5.431377949757568</v>
      </c>
      <c r="Q377" s="275">
        <f t="shared" si="35"/>
        <v>8.5977386025124325</v>
      </c>
      <c r="R377" s="171"/>
    </row>
    <row r="378" spans="2:18">
      <c r="B378" s="94">
        <f t="shared" si="36"/>
        <v>2053</v>
      </c>
      <c r="C378" s="1">
        <f t="shared" si="37"/>
        <v>1</v>
      </c>
      <c r="D378" s="213">
        <v>55885</v>
      </c>
      <c r="E378" s="1" t="str">
        <f t="shared" si="33"/>
        <v>1-2053</v>
      </c>
      <c r="F378" s="296">
        <v>5.2014585432750478</v>
      </c>
      <c r="G378" s="297">
        <v>2.8762839057477949</v>
      </c>
      <c r="H378" s="298">
        <v>8.0777424490228427</v>
      </c>
      <c r="I378" s="297">
        <v>5.4470121451439644</v>
      </c>
      <c r="J378" s="297">
        <v>4.7562358943704659</v>
      </c>
      <c r="K378" s="297">
        <v>10.203248039514431</v>
      </c>
      <c r="L378" s="296">
        <v>5.6468062374841432</v>
      </c>
      <c r="M378" s="297">
        <v>2.2461518412082291</v>
      </c>
      <c r="N378" s="298">
        <v>7.8929580786923719</v>
      </c>
      <c r="P378" s="274">
        <f t="shared" si="34"/>
        <v>5.4317589753010518</v>
      </c>
      <c r="Q378" s="275">
        <f t="shared" si="35"/>
        <v>8.7246495224098819</v>
      </c>
      <c r="R378" s="171"/>
    </row>
    <row r="379" spans="2:18">
      <c r="B379" s="94">
        <f t="shared" si="36"/>
        <v>2053</v>
      </c>
      <c r="C379" s="1">
        <f t="shared" si="37"/>
        <v>2</v>
      </c>
      <c r="D379" s="213">
        <v>55916</v>
      </c>
      <c r="E379" s="1" t="str">
        <f t="shared" si="33"/>
        <v>2-2053</v>
      </c>
      <c r="F379" s="296">
        <v>5.0875157819209926</v>
      </c>
      <c r="G379" s="297">
        <v>2.8762839057477949</v>
      </c>
      <c r="H379" s="298">
        <v>7.9637996876687875</v>
      </c>
      <c r="I379" s="297">
        <v>5.32762886875157</v>
      </c>
      <c r="J379" s="297">
        <v>4.7562358943704659</v>
      </c>
      <c r="K379" s="297">
        <v>10.083864763122037</v>
      </c>
      <c r="L379" s="296">
        <v>5.5230447188550968</v>
      </c>
      <c r="M379" s="297">
        <v>2.2461518412082291</v>
      </c>
      <c r="N379" s="298">
        <v>7.7691965600633264</v>
      </c>
      <c r="P379" s="274">
        <f t="shared" si="34"/>
        <v>5.3127297898425532</v>
      </c>
      <c r="Q379" s="275">
        <f t="shared" si="35"/>
        <v>8.6056203369513842</v>
      </c>
      <c r="R379" s="171"/>
    </row>
    <row r="380" spans="2:18">
      <c r="B380" s="94">
        <f t="shared" si="36"/>
        <v>2053</v>
      </c>
      <c r="C380" s="1">
        <f t="shared" si="37"/>
        <v>3</v>
      </c>
      <c r="D380" s="213">
        <v>55944</v>
      </c>
      <c r="E380" s="1" t="str">
        <f t="shared" si="33"/>
        <v>3-2053</v>
      </c>
      <c r="F380" s="296">
        <v>4.6704440359795063</v>
      </c>
      <c r="G380" s="297">
        <v>2.8762839057477949</v>
      </c>
      <c r="H380" s="298">
        <v>7.5467279417273012</v>
      </c>
      <c r="I380" s="297">
        <v>4.8908163817910308</v>
      </c>
      <c r="J380" s="297">
        <v>4.7562358943704659</v>
      </c>
      <c r="K380" s="297">
        <v>9.6470522761614959</v>
      </c>
      <c r="L380" s="296">
        <v>5.0702107086250967</v>
      </c>
      <c r="M380" s="297">
        <v>2.2461518412082291</v>
      </c>
      <c r="N380" s="298">
        <v>7.3163625498333253</v>
      </c>
      <c r="P380" s="274">
        <f t="shared" si="34"/>
        <v>4.877157042131878</v>
      </c>
      <c r="Q380" s="275">
        <f t="shared" si="35"/>
        <v>8.1700475892407081</v>
      </c>
      <c r="R380" s="171"/>
    </row>
    <row r="381" spans="2:18">
      <c r="B381" s="94">
        <f t="shared" si="36"/>
        <v>2053</v>
      </c>
      <c r="C381" s="1">
        <f t="shared" si="37"/>
        <v>4</v>
      </c>
      <c r="D381" s="213">
        <v>55975</v>
      </c>
      <c r="E381" s="1" t="str">
        <f t="shared" si="33"/>
        <v>4-2053</v>
      </c>
      <c r="F381" s="296">
        <v>4.5910637462610833</v>
      </c>
      <c r="G381" s="297">
        <v>2.8762839057477949</v>
      </c>
      <c r="H381" s="298">
        <v>7.4673476520088782</v>
      </c>
      <c r="I381" s="297">
        <v>4.8076351305121694</v>
      </c>
      <c r="J381" s="297">
        <v>4.7562358943704659</v>
      </c>
      <c r="K381" s="297">
        <v>9.5638710248826353</v>
      </c>
      <c r="L381" s="296">
        <v>4.9839790017684402</v>
      </c>
      <c r="M381" s="297">
        <v>2.2461518412082291</v>
      </c>
      <c r="N381" s="298">
        <v>7.2301308429766689</v>
      </c>
      <c r="P381" s="274">
        <f t="shared" si="34"/>
        <v>4.7942259595138976</v>
      </c>
      <c r="Q381" s="275">
        <f t="shared" si="35"/>
        <v>8.0871165066227277</v>
      </c>
      <c r="R381" s="171"/>
    </row>
    <row r="382" spans="2:18">
      <c r="B382" s="94">
        <f t="shared" si="36"/>
        <v>2053</v>
      </c>
      <c r="C382" s="1">
        <f t="shared" si="37"/>
        <v>5</v>
      </c>
      <c r="D382" s="213">
        <v>56005</v>
      </c>
      <c r="E382" s="1" t="str">
        <f t="shared" si="33"/>
        <v>5-2053</v>
      </c>
      <c r="F382" s="296">
        <v>4.7509388540713449</v>
      </c>
      <c r="G382" s="297">
        <v>2.8762839057477949</v>
      </c>
      <c r="H382" s="298">
        <v>7.6272227598191398</v>
      </c>
      <c r="I382" s="297">
        <v>4.9749945476112547</v>
      </c>
      <c r="J382" s="297">
        <v>4.7562358943704659</v>
      </c>
      <c r="K382" s="297">
        <v>9.7312304419817206</v>
      </c>
      <c r="L382" s="296">
        <v>5.1574777962256029</v>
      </c>
      <c r="M382" s="297">
        <v>2.2461518412082291</v>
      </c>
      <c r="N382" s="298">
        <v>7.4036296374338324</v>
      </c>
      <c r="P382" s="274">
        <f t="shared" si="34"/>
        <v>4.9611370659694005</v>
      </c>
      <c r="Q382" s="275">
        <f t="shared" si="35"/>
        <v>8.2540276130782306</v>
      </c>
      <c r="R382" s="171"/>
    </row>
    <row r="383" spans="2:18">
      <c r="B383" s="94">
        <f t="shared" si="36"/>
        <v>2053</v>
      </c>
      <c r="C383" s="1">
        <f t="shared" si="37"/>
        <v>6</v>
      </c>
      <c r="D383" s="213">
        <v>56036</v>
      </c>
      <c r="E383" s="1" t="str">
        <f t="shared" si="33"/>
        <v>6-2053</v>
      </c>
      <c r="F383" s="296">
        <v>4.8738560178963271</v>
      </c>
      <c r="G383" s="297">
        <v>2.8762839057477949</v>
      </c>
      <c r="H383" s="298">
        <v>7.750139923644122</v>
      </c>
      <c r="I383" s="297">
        <v>5.1036496550404031</v>
      </c>
      <c r="J383" s="297">
        <v>4.7562358943704659</v>
      </c>
      <c r="K383" s="297">
        <v>9.859885549410869</v>
      </c>
      <c r="L383" s="296">
        <v>5.2908526415918162</v>
      </c>
      <c r="M383" s="297">
        <v>2.2461518412082291</v>
      </c>
      <c r="N383" s="298">
        <v>7.5370044828000449</v>
      </c>
      <c r="P383" s="274">
        <f t="shared" si="34"/>
        <v>5.0894527715095146</v>
      </c>
      <c r="Q383" s="275">
        <f t="shared" si="35"/>
        <v>8.3823433186183447</v>
      </c>
      <c r="R383" s="171"/>
    </row>
    <row r="384" spans="2:18">
      <c r="B384" s="94">
        <f t="shared" si="36"/>
        <v>2053</v>
      </c>
      <c r="C384" s="1">
        <f t="shared" si="37"/>
        <v>7</v>
      </c>
      <c r="D384" s="213">
        <v>56066</v>
      </c>
      <c r="E384" s="1" t="str">
        <f t="shared" si="33"/>
        <v>7-2053</v>
      </c>
      <c r="F384" s="296">
        <v>4.9126190500678568</v>
      </c>
      <c r="G384" s="297">
        <v>2.8762839057477949</v>
      </c>
      <c r="H384" s="298">
        <v>7.7889029558156517</v>
      </c>
      <c r="I384" s="297">
        <v>5.1441809578790521</v>
      </c>
      <c r="J384" s="297">
        <v>4.7562358943704659</v>
      </c>
      <c r="K384" s="297">
        <v>9.9004168522495171</v>
      </c>
      <c r="L384" s="296">
        <v>5.3328713037486022</v>
      </c>
      <c r="M384" s="297">
        <v>2.2461518412082291</v>
      </c>
      <c r="N384" s="298">
        <v>7.5790231449568317</v>
      </c>
      <c r="P384" s="274">
        <f t="shared" si="34"/>
        <v>5.129890437231837</v>
      </c>
      <c r="Q384" s="275">
        <f t="shared" si="35"/>
        <v>8.4227809843406671</v>
      </c>
      <c r="R384" s="171"/>
    </row>
    <row r="385" spans="2:18">
      <c r="B385" s="94">
        <f t="shared" si="36"/>
        <v>2053</v>
      </c>
      <c r="C385" s="1">
        <f t="shared" si="37"/>
        <v>8</v>
      </c>
      <c r="D385" s="213">
        <v>56097</v>
      </c>
      <c r="E385" s="1" t="str">
        <f t="shared" si="33"/>
        <v>8-2053</v>
      </c>
      <c r="F385" s="296">
        <v>4.874769489438135</v>
      </c>
      <c r="G385" s="297">
        <v>2.8762839057477949</v>
      </c>
      <c r="H385" s="298">
        <v>7.75105339518593</v>
      </c>
      <c r="I385" s="297">
        <v>5.104488432245966</v>
      </c>
      <c r="J385" s="297">
        <v>4.7562358943704659</v>
      </c>
      <c r="K385" s="297">
        <v>9.8607243266164311</v>
      </c>
      <c r="L385" s="296">
        <v>5.2917234996683309</v>
      </c>
      <c r="M385" s="297">
        <v>2.2461518412082291</v>
      </c>
      <c r="N385" s="298">
        <v>7.5378753408765604</v>
      </c>
      <c r="P385" s="274">
        <f t="shared" si="34"/>
        <v>5.0903271404508112</v>
      </c>
      <c r="Q385" s="275">
        <f t="shared" si="35"/>
        <v>8.3832176875596414</v>
      </c>
      <c r="R385" s="171"/>
    </row>
    <row r="386" spans="2:18">
      <c r="B386" s="94">
        <f t="shared" si="36"/>
        <v>2053</v>
      </c>
      <c r="C386" s="1">
        <f t="shared" si="37"/>
        <v>9</v>
      </c>
      <c r="D386" s="213">
        <v>56128</v>
      </c>
      <c r="E386" s="1" t="str">
        <f t="shared" si="33"/>
        <v>9-2053</v>
      </c>
      <c r="F386" s="296">
        <v>4.9434347166782411</v>
      </c>
      <c r="G386" s="297">
        <v>2.8762839057477949</v>
      </c>
      <c r="H386" s="298">
        <v>7.819718622426036</v>
      </c>
      <c r="I386" s="297">
        <v>5.1763297291527248</v>
      </c>
      <c r="J386" s="297">
        <v>4.7562358943704659</v>
      </c>
      <c r="K386" s="297">
        <v>9.9325656235231907</v>
      </c>
      <c r="L386" s="296">
        <v>5.3662006360562122</v>
      </c>
      <c r="M386" s="297">
        <v>2.2461518412082291</v>
      </c>
      <c r="N386" s="298">
        <v>7.6123524772644409</v>
      </c>
      <c r="P386" s="274">
        <f t="shared" si="34"/>
        <v>5.16198836062906</v>
      </c>
      <c r="Q386" s="275">
        <f t="shared" si="35"/>
        <v>8.4548789077378892</v>
      </c>
      <c r="R386" s="171"/>
    </row>
    <row r="387" spans="2:18">
      <c r="B387" s="94">
        <f t="shared" si="36"/>
        <v>2053</v>
      </c>
      <c r="C387" s="1">
        <f t="shared" si="37"/>
        <v>10</v>
      </c>
      <c r="D387" s="213">
        <v>56158</v>
      </c>
      <c r="E387" s="1" t="str">
        <f t="shared" si="33"/>
        <v>10-2053</v>
      </c>
      <c r="F387" s="296">
        <v>4.9150449241506946</v>
      </c>
      <c r="G387" s="297">
        <v>2.8762839057477949</v>
      </c>
      <c r="H387" s="298">
        <v>7.7913288298984895</v>
      </c>
      <c r="I387" s="297">
        <v>5.146543062709509</v>
      </c>
      <c r="J387" s="297">
        <v>4.7562358943704659</v>
      </c>
      <c r="K387" s="297">
        <v>9.902778957079974</v>
      </c>
      <c r="L387" s="296">
        <v>5.3353220393580401</v>
      </c>
      <c r="M387" s="297">
        <v>2.2461518412082291</v>
      </c>
      <c r="N387" s="298">
        <v>7.5814738805662696</v>
      </c>
      <c r="P387" s="274">
        <f t="shared" si="34"/>
        <v>5.1323033420727482</v>
      </c>
      <c r="Q387" s="275">
        <f t="shared" si="35"/>
        <v>8.4251938891815783</v>
      </c>
      <c r="R387" s="171"/>
    </row>
    <row r="388" spans="2:18">
      <c r="B388" s="94">
        <f t="shared" si="36"/>
        <v>2053</v>
      </c>
      <c r="C388" s="1">
        <f t="shared" si="37"/>
        <v>11</v>
      </c>
      <c r="D388" s="213">
        <v>56189</v>
      </c>
      <c r="E388" s="1" t="str">
        <f t="shared" si="33"/>
        <v>11-2053</v>
      </c>
      <c r="F388" s="296">
        <v>5.1580816557909355</v>
      </c>
      <c r="G388" s="297">
        <v>2.8762839057477949</v>
      </c>
      <c r="H388" s="298">
        <v>8.0343655615387313</v>
      </c>
      <c r="I388" s="297">
        <v>5.4009644876362373</v>
      </c>
      <c r="J388" s="297">
        <v>4.7562358943704659</v>
      </c>
      <c r="K388" s="297">
        <v>10.157200382006703</v>
      </c>
      <c r="L388" s="296">
        <v>5.5990765243768577</v>
      </c>
      <c r="M388" s="297">
        <v>2.2461518412082291</v>
      </c>
      <c r="N388" s="298">
        <v>7.8452283655850863</v>
      </c>
      <c r="P388" s="274">
        <f t="shared" si="34"/>
        <v>5.3860408892680098</v>
      </c>
      <c r="Q388" s="275">
        <f t="shared" si="35"/>
        <v>8.6789314363768408</v>
      </c>
      <c r="R388" s="171"/>
    </row>
    <row r="389" spans="2:18">
      <c r="B389" s="94">
        <f t="shared" si="36"/>
        <v>2053</v>
      </c>
      <c r="C389" s="1">
        <f t="shared" si="37"/>
        <v>12</v>
      </c>
      <c r="D389" s="213">
        <v>56219</v>
      </c>
      <c r="E389" s="1" t="str">
        <f t="shared" si="33"/>
        <v>12-2053</v>
      </c>
      <c r="F389" s="296">
        <v>5.1996729517060229</v>
      </c>
      <c r="G389" s="297">
        <v>2.8762839057477949</v>
      </c>
      <c r="H389" s="298">
        <v>8.0759568574538179</v>
      </c>
      <c r="I389" s="297">
        <v>5.4444514086987068</v>
      </c>
      <c r="J389" s="297">
        <v>4.7562358943704659</v>
      </c>
      <c r="K389" s="297">
        <v>10.200687303069174</v>
      </c>
      <c r="L389" s="296">
        <v>5.6441592843695174</v>
      </c>
      <c r="M389" s="297">
        <v>2.2461518412082291</v>
      </c>
      <c r="N389" s="298">
        <v>7.8903111255777461</v>
      </c>
      <c r="P389" s="274">
        <f t="shared" si="34"/>
        <v>5.4294278815914154</v>
      </c>
      <c r="Q389" s="275">
        <f t="shared" si="35"/>
        <v>8.7223184287002464</v>
      </c>
      <c r="R389" s="171"/>
    </row>
    <row r="390" spans="2:18">
      <c r="B390" s="94">
        <f t="shared" si="36"/>
        <v>2054</v>
      </c>
      <c r="C390" s="1">
        <f t="shared" si="37"/>
        <v>1</v>
      </c>
      <c r="D390" s="213">
        <v>56250</v>
      </c>
      <c r="E390" s="1" t="str">
        <f t="shared" si="33"/>
        <v>1-2054</v>
      </c>
      <c r="F390" s="296">
        <v>5.2000908092427043</v>
      </c>
      <c r="G390" s="297">
        <v>2.9909468340068925</v>
      </c>
      <c r="H390" s="298">
        <v>8.1910376432495973</v>
      </c>
      <c r="I390" s="297">
        <v>5.4448368324700276</v>
      </c>
      <c r="J390" s="297">
        <v>4.9464853301452854</v>
      </c>
      <c r="K390" s="297">
        <v>10.391322162615314</v>
      </c>
      <c r="L390" s="296">
        <v>5.6445569425393334</v>
      </c>
      <c r="M390" s="297">
        <v>2.3359979148565584</v>
      </c>
      <c r="N390" s="298">
        <v>7.9805548573958918</v>
      </c>
      <c r="P390" s="274">
        <f t="shared" si="34"/>
        <v>5.4298281947506881</v>
      </c>
      <c r="Q390" s="275">
        <f t="shared" si="35"/>
        <v>8.8543048877536012</v>
      </c>
      <c r="R390" s="171"/>
    </row>
    <row r="391" spans="2:18">
      <c r="B391" s="94">
        <f t="shared" si="36"/>
        <v>2054</v>
      </c>
      <c r="C391" s="1">
        <f t="shared" si="37"/>
        <v>2</v>
      </c>
      <c r="D391" s="213">
        <v>56281</v>
      </c>
      <c r="E391" s="1" t="str">
        <f t="shared" ref="E391:E401" si="38">C391&amp;"-"&amp;B391</f>
        <v>2-2054</v>
      </c>
      <c r="F391" s="296">
        <v>5.0861902249362316</v>
      </c>
      <c r="G391" s="297">
        <v>2.9909468340068925</v>
      </c>
      <c r="H391" s="298">
        <v>8.0771370589431246</v>
      </c>
      <c r="I391" s="297">
        <v>5.3255244695922714</v>
      </c>
      <c r="J391" s="297">
        <v>4.9464853301452854</v>
      </c>
      <c r="K391" s="297">
        <v>10.272009799737557</v>
      </c>
      <c r="L391" s="296">
        <v>5.5208662638752157</v>
      </c>
      <c r="M391" s="297">
        <v>2.3359979148565584</v>
      </c>
      <c r="N391" s="298">
        <v>7.8568641787317741</v>
      </c>
      <c r="P391" s="274">
        <f t="shared" ref="P391:P401" si="39">AVERAGE(F391,I391,L391)</f>
        <v>5.3108603194679063</v>
      </c>
      <c r="Q391" s="275">
        <f t="shared" ref="Q391:Q401" si="40">AVERAGE(H391,K391,N391)</f>
        <v>8.7353370124708203</v>
      </c>
      <c r="R391" s="171"/>
    </row>
    <row r="392" spans="2:18">
      <c r="B392" s="94">
        <f t="shared" si="36"/>
        <v>2054</v>
      </c>
      <c r="C392" s="1">
        <f t="shared" si="37"/>
        <v>3</v>
      </c>
      <c r="D392" s="213">
        <v>56309</v>
      </c>
      <c r="E392" s="1" t="str">
        <f t="shared" si="38"/>
        <v>3-2054</v>
      </c>
      <c r="F392" s="296">
        <v>4.6692383620660731</v>
      </c>
      <c r="G392" s="297">
        <v>2.9909468340068925</v>
      </c>
      <c r="H392" s="298">
        <v>7.6601851960729661</v>
      </c>
      <c r="I392" s="297">
        <v>4.8889058553932809</v>
      </c>
      <c r="J392" s="297">
        <v>4.9464853301452854</v>
      </c>
      <c r="K392" s="297">
        <v>9.8353911855385654</v>
      </c>
      <c r="L392" s="296">
        <v>5.0682306420831962</v>
      </c>
      <c r="M392" s="297">
        <v>2.3359979148565584</v>
      </c>
      <c r="N392" s="298">
        <v>7.4042285569397546</v>
      </c>
      <c r="P392" s="274">
        <f t="shared" si="39"/>
        <v>4.875458286514184</v>
      </c>
      <c r="Q392" s="275">
        <f t="shared" si="40"/>
        <v>8.2999349795170954</v>
      </c>
      <c r="R392" s="171"/>
    </row>
    <row r="393" spans="2:18">
      <c r="B393" s="94">
        <f t="shared" si="36"/>
        <v>2054</v>
      </c>
      <c r="C393" s="1">
        <f t="shared" si="37"/>
        <v>4</v>
      </c>
      <c r="D393" s="213">
        <v>56340</v>
      </c>
      <c r="E393" s="1" t="str">
        <f t="shared" si="38"/>
        <v>4-2054</v>
      </c>
      <c r="F393" s="296">
        <v>4.5898895888676723</v>
      </c>
      <c r="G393" s="297">
        <v>2.9909468340068925</v>
      </c>
      <c r="H393" s="298">
        <v>7.5808364228745653</v>
      </c>
      <c r="I393" s="297">
        <v>4.8057780692466112</v>
      </c>
      <c r="J393" s="297">
        <v>4.9464853301452854</v>
      </c>
      <c r="K393" s="297">
        <v>9.7522633993918966</v>
      </c>
      <c r="L393" s="296">
        <v>4.9820520532732653</v>
      </c>
      <c r="M393" s="297">
        <v>2.3359979148565584</v>
      </c>
      <c r="N393" s="298">
        <v>7.3180499681298237</v>
      </c>
      <c r="P393" s="274">
        <f t="shared" si="39"/>
        <v>4.7925732371291829</v>
      </c>
      <c r="Q393" s="275">
        <f t="shared" si="40"/>
        <v>8.2170499301320952</v>
      </c>
      <c r="R393" s="171"/>
    </row>
    <row r="394" spans="2:18">
      <c r="B394" s="94">
        <f t="shared" si="36"/>
        <v>2054</v>
      </c>
      <c r="C394" s="1">
        <f t="shared" si="37"/>
        <v>5</v>
      </c>
      <c r="D394" s="213">
        <v>56370</v>
      </c>
      <c r="E394" s="1" t="str">
        <f t="shared" si="38"/>
        <v>5-2054</v>
      </c>
      <c r="F394" s="296">
        <v>4.7497352177999153</v>
      </c>
      <c r="G394" s="297">
        <v>2.9909468340068925</v>
      </c>
      <c r="H394" s="298">
        <v>7.7406820518068074</v>
      </c>
      <c r="I394" s="297">
        <v>4.9730945429553675</v>
      </c>
      <c r="J394" s="297">
        <v>4.9464853301452854</v>
      </c>
      <c r="K394" s="297">
        <v>9.9195798731006519</v>
      </c>
      <c r="L394" s="296">
        <v>5.155503888323727</v>
      </c>
      <c r="M394" s="297">
        <v>2.3359979148565584</v>
      </c>
      <c r="N394" s="298">
        <v>7.4915018031802854</v>
      </c>
      <c r="P394" s="274">
        <f t="shared" si="39"/>
        <v>4.9594445496930026</v>
      </c>
      <c r="Q394" s="275">
        <f t="shared" si="40"/>
        <v>8.383921242695914</v>
      </c>
      <c r="R394" s="171"/>
    </row>
    <row r="395" spans="2:18">
      <c r="B395" s="94">
        <f t="shared" si="36"/>
        <v>2054</v>
      </c>
      <c r="C395" s="1">
        <f t="shared" si="37"/>
        <v>6</v>
      </c>
      <c r="D395" s="213">
        <v>56401</v>
      </c>
      <c r="E395" s="1" t="str">
        <f t="shared" si="38"/>
        <v>6-2054</v>
      </c>
      <c r="F395" s="296">
        <v>4.8726329455490536</v>
      </c>
      <c r="G395" s="297">
        <v>2.9909468340068925</v>
      </c>
      <c r="H395" s="298">
        <v>7.8635797795559466</v>
      </c>
      <c r="I395" s="297">
        <v>5.1017227814345203</v>
      </c>
      <c r="J395" s="297">
        <v>4.9464853301452854</v>
      </c>
      <c r="K395" s="297">
        <v>10.048208111579806</v>
      </c>
      <c r="L395" s="296">
        <v>5.2888483293657096</v>
      </c>
      <c r="M395" s="297">
        <v>2.3359979148565584</v>
      </c>
      <c r="N395" s="298">
        <v>7.624846244222268</v>
      </c>
      <c r="P395" s="274">
        <f t="shared" si="39"/>
        <v>5.0877346854497612</v>
      </c>
      <c r="Q395" s="275">
        <f t="shared" si="40"/>
        <v>8.5122113784526743</v>
      </c>
      <c r="R395" s="171"/>
    </row>
    <row r="396" spans="2:18">
      <c r="B396" s="94">
        <f t="shared" si="36"/>
        <v>2054</v>
      </c>
      <c r="C396" s="1">
        <f t="shared" si="37"/>
        <v>7</v>
      </c>
      <c r="D396" s="213">
        <v>56431</v>
      </c>
      <c r="E396" s="1" t="str">
        <f t="shared" si="38"/>
        <v>7-2054</v>
      </c>
      <c r="F396" s="296">
        <v>4.9113980485460687</v>
      </c>
      <c r="G396" s="297">
        <v>2.9909468340068925</v>
      </c>
      <c r="H396" s="298">
        <v>7.9023448825529616</v>
      </c>
      <c r="I396" s="297">
        <v>5.14226122592948</v>
      </c>
      <c r="J396" s="297">
        <v>4.9464853301452854</v>
      </c>
      <c r="K396" s="297">
        <v>10.088746556074765</v>
      </c>
      <c r="L396" s="296">
        <v>5.3308718809704683</v>
      </c>
      <c r="M396" s="297">
        <v>2.3359979148565584</v>
      </c>
      <c r="N396" s="298">
        <v>7.6668697958270267</v>
      </c>
      <c r="P396" s="274">
        <f t="shared" si="39"/>
        <v>5.1281770518153396</v>
      </c>
      <c r="Q396" s="275">
        <f t="shared" si="40"/>
        <v>8.5526537448182509</v>
      </c>
      <c r="R396" s="171"/>
    </row>
    <row r="397" spans="2:18">
      <c r="B397" s="94">
        <f t="shared" si="36"/>
        <v>2054</v>
      </c>
      <c r="C397" s="1">
        <f t="shared" si="37"/>
        <v>8</v>
      </c>
      <c r="D397" s="213">
        <v>56462</v>
      </c>
      <c r="E397" s="1" t="str">
        <f t="shared" si="38"/>
        <v>8-2054</v>
      </c>
      <c r="F397" s="296">
        <v>4.8735696030464739</v>
      </c>
      <c r="G397" s="297">
        <v>2.9909468340068925</v>
      </c>
      <c r="H397" s="298">
        <v>7.864516437053366</v>
      </c>
      <c r="I397" s="297">
        <v>5.1026057854528277</v>
      </c>
      <c r="J397" s="297">
        <v>4.9464853301452854</v>
      </c>
      <c r="K397" s="297">
        <v>10.049091115598113</v>
      </c>
      <c r="L397" s="296">
        <v>5.2897601522455249</v>
      </c>
      <c r="M397" s="297">
        <v>2.3359979148565584</v>
      </c>
      <c r="N397" s="298">
        <v>7.6257580671020833</v>
      </c>
      <c r="P397" s="274">
        <f t="shared" si="39"/>
        <v>5.0886451802482755</v>
      </c>
      <c r="Q397" s="275">
        <f t="shared" si="40"/>
        <v>8.5131218732511869</v>
      </c>
      <c r="R397" s="171"/>
    </row>
    <row r="398" spans="2:18">
      <c r="B398" s="94">
        <f t="shared" si="36"/>
        <v>2054</v>
      </c>
      <c r="C398" s="1">
        <f t="shared" si="37"/>
        <v>9</v>
      </c>
      <c r="D398" s="213">
        <v>56493</v>
      </c>
      <c r="E398" s="1" t="str">
        <f t="shared" si="38"/>
        <v>9-2054</v>
      </c>
      <c r="F398" s="296">
        <v>4.9422298021704814</v>
      </c>
      <c r="G398" s="297">
        <v>2.9909468340068925</v>
      </c>
      <c r="H398" s="298">
        <v>7.9331766361773735</v>
      </c>
      <c r="I398" s="297">
        <v>5.1744431732023033</v>
      </c>
      <c r="J398" s="297">
        <v>4.9464853301452854</v>
      </c>
      <c r="K398" s="297">
        <v>10.120928503347589</v>
      </c>
      <c r="L398" s="296">
        <v>5.3642305960109447</v>
      </c>
      <c r="M398" s="297">
        <v>2.3359979148565584</v>
      </c>
      <c r="N398" s="298">
        <v>7.700228510867503</v>
      </c>
      <c r="P398" s="274">
        <f t="shared" si="39"/>
        <v>5.1603011904612428</v>
      </c>
      <c r="Q398" s="275">
        <f t="shared" si="40"/>
        <v>8.5847778834641559</v>
      </c>
      <c r="R398" s="171"/>
    </row>
    <row r="399" spans="2:18">
      <c r="B399" s="94">
        <f t="shared" si="36"/>
        <v>2054</v>
      </c>
      <c r="C399" s="1">
        <f t="shared" si="37"/>
        <v>10</v>
      </c>
      <c r="D399" s="213">
        <v>56523</v>
      </c>
      <c r="E399" s="1" t="str">
        <f t="shared" si="38"/>
        <v>10-2054</v>
      </c>
      <c r="F399" s="296">
        <v>4.9138587350082918</v>
      </c>
      <c r="G399" s="297">
        <v>2.9909468340068925</v>
      </c>
      <c r="H399" s="298">
        <v>7.9048055690151848</v>
      </c>
      <c r="I399" s="297">
        <v>5.1446898217706272</v>
      </c>
      <c r="J399" s="297">
        <v>4.9464853301452854</v>
      </c>
      <c r="K399" s="297">
        <v>10.091175151915913</v>
      </c>
      <c r="L399" s="296">
        <v>5.3333841564231754</v>
      </c>
      <c r="M399" s="297">
        <v>2.3359979148565584</v>
      </c>
      <c r="N399" s="298">
        <v>7.6693820712797338</v>
      </c>
      <c r="P399" s="274">
        <f t="shared" si="39"/>
        <v>5.1306442377340318</v>
      </c>
      <c r="Q399" s="275">
        <f t="shared" si="40"/>
        <v>8.555120930736944</v>
      </c>
      <c r="R399" s="171"/>
    </row>
    <row r="400" spans="2:18">
      <c r="B400" s="94">
        <f t="shared" si="36"/>
        <v>2054</v>
      </c>
      <c r="C400" s="1">
        <f t="shared" si="37"/>
        <v>11</v>
      </c>
      <c r="D400" s="213">
        <v>56554</v>
      </c>
      <c r="E400" s="1" t="str">
        <f t="shared" si="38"/>
        <v>11-2054</v>
      </c>
      <c r="F400" s="296">
        <v>5.1568492024837163</v>
      </c>
      <c r="G400" s="297">
        <v>2.9909468340068925</v>
      </c>
      <c r="H400" s="298">
        <v>8.1477960364906092</v>
      </c>
      <c r="I400" s="297">
        <v>5.3990432018595369</v>
      </c>
      <c r="J400" s="297">
        <v>4.9464853301452854</v>
      </c>
      <c r="K400" s="297">
        <v>10.345528532004822</v>
      </c>
      <c r="L400" s="296">
        <v>5.5970646928853149</v>
      </c>
      <c r="M400" s="297">
        <v>2.3359979148565584</v>
      </c>
      <c r="N400" s="298">
        <v>7.9330626077418733</v>
      </c>
      <c r="P400" s="274">
        <f t="shared" si="39"/>
        <v>5.3843190324095227</v>
      </c>
      <c r="Q400" s="275">
        <f t="shared" si="40"/>
        <v>8.8087957254124358</v>
      </c>
      <c r="R400" s="171"/>
    </row>
    <row r="401" spans="2:18">
      <c r="B401" s="95">
        <f t="shared" si="36"/>
        <v>2054</v>
      </c>
      <c r="C401" s="215">
        <f t="shared" si="37"/>
        <v>12</v>
      </c>
      <c r="D401" s="216">
        <v>56584</v>
      </c>
      <c r="E401" s="215" t="str">
        <f t="shared" si="38"/>
        <v>12-2054</v>
      </c>
      <c r="F401" s="299">
        <v>5.1984430511164597</v>
      </c>
      <c r="G401" s="300">
        <v>2.9909468340068925</v>
      </c>
      <c r="H401" s="301">
        <v>8.1893898851233526</v>
      </c>
      <c r="I401" s="300">
        <v>5.4425384155719119</v>
      </c>
      <c r="J401" s="300">
        <v>4.9464853301452854</v>
      </c>
      <c r="K401" s="300">
        <v>10.389023745717196</v>
      </c>
      <c r="L401" s="299">
        <v>5.6421532831127754</v>
      </c>
      <c r="M401" s="300">
        <v>2.3359979148565584</v>
      </c>
      <c r="N401" s="301">
        <v>7.9781511979693338</v>
      </c>
      <c r="P401" s="276">
        <f t="shared" si="39"/>
        <v>5.4277115832670484</v>
      </c>
      <c r="Q401" s="277">
        <f t="shared" si="40"/>
        <v>8.8521882762699615</v>
      </c>
      <c r="R401" s="171"/>
    </row>
  </sheetData>
  <mergeCells count="6">
    <mergeCell ref="Q4:Q5"/>
    <mergeCell ref="P4:P5"/>
    <mergeCell ref="B4:C4"/>
    <mergeCell ref="L4:N4"/>
    <mergeCell ref="J4:K4"/>
    <mergeCell ref="G4:H4"/>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63A3-BC4F-4DA1-9E26-C055037740E9}">
  <sheetPr codeName="Sheet14">
    <tabColor theme="5"/>
  </sheetPr>
  <dimension ref="A1:C89"/>
  <sheetViews>
    <sheetView workbookViewId="0"/>
  </sheetViews>
  <sheetFormatPr baseColWidth="10" defaultColWidth="9" defaultRowHeight="15"/>
  <cols>
    <col min="1" max="1" width="7.796875" customWidth="1"/>
    <col min="2" max="2" width="24" style="7" customWidth="1"/>
    <col min="3" max="3" width="11" style="7" customWidth="1"/>
  </cols>
  <sheetData>
    <row r="1" spans="1:3" s="56" customFormat="1">
      <c r="A1" s="26"/>
    </row>
    <row r="2" spans="1:3" s="181" customFormat="1">
      <c r="A2" s="59"/>
      <c r="B2" s="59" t="s">
        <v>211</v>
      </c>
      <c r="C2" s="59"/>
    </row>
    <row r="3" spans="1:3" s="56" customFormat="1">
      <c r="A3" s="26"/>
    </row>
    <row r="4" spans="1:3">
      <c r="B4" s="27" t="s">
        <v>201</v>
      </c>
      <c r="C4" s="28">
        <v>2022</v>
      </c>
    </row>
    <row r="5" spans="1:3">
      <c r="B5" s="168">
        <v>1970</v>
      </c>
      <c r="C5" s="302">
        <v>7.9560589296590392</v>
      </c>
    </row>
    <row r="6" spans="1:3">
      <c r="B6" s="168">
        <v>1971</v>
      </c>
      <c r="C6" s="302">
        <v>8.3596244764924084</v>
      </c>
    </row>
    <row r="7" spans="1:3">
      <c r="B7" s="168">
        <v>1972</v>
      </c>
      <c r="C7" s="302">
        <v>8.7208881322184144</v>
      </c>
    </row>
    <row r="8" spans="1:3">
      <c r="B8" s="168">
        <v>1973</v>
      </c>
      <c r="C8" s="302">
        <v>9.1986884510818427</v>
      </c>
    </row>
    <row r="9" spans="1:3">
      <c r="B9" s="168">
        <v>1974</v>
      </c>
      <c r="C9" s="302">
        <v>10.023804730555616</v>
      </c>
    </row>
    <row r="10" spans="1:3">
      <c r="B10" s="168">
        <v>1975</v>
      </c>
      <c r="C10" s="302">
        <v>19.756176042115598</v>
      </c>
    </row>
    <row r="11" spans="1:3">
      <c r="B11" s="168">
        <v>1976</v>
      </c>
      <c r="C11" s="302">
        <v>20.897073032936024</v>
      </c>
    </row>
    <row r="12" spans="1:3">
      <c r="B12" s="168">
        <v>1977</v>
      </c>
      <c r="C12" s="302">
        <v>22.249020673532879</v>
      </c>
    </row>
    <row r="13" spans="1:3">
      <c r="B13" s="168">
        <v>1978</v>
      </c>
      <c r="C13" s="302">
        <v>23.946601986952011</v>
      </c>
    </row>
    <row r="14" spans="1:3">
      <c r="B14" s="168">
        <v>1979</v>
      </c>
      <c r="C14" s="302">
        <v>26.641321152938051</v>
      </c>
    </row>
    <row r="15" spans="1:3">
      <c r="B15" s="168">
        <v>1980</v>
      </c>
      <c r="C15" s="302">
        <v>30.238358314345078</v>
      </c>
    </row>
    <row r="16" spans="1:3">
      <c r="B16" s="168">
        <v>1981</v>
      </c>
      <c r="C16" s="302">
        <v>33.376589715368539</v>
      </c>
    </row>
    <row r="17" spans="2:3">
      <c r="B17" s="168">
        <v>1982</v>
      </c>
      <c r="C17" s="302">
        <v>35.432039521886836</v>
      </c>
    </row>
    <row r="18" spans="2:3">
      <c r="B18" s="168">
        <v>1983</v>
      </c>
      <c r="C18" s="302">
        <v>36.551525577222691</v>
      </c>
    </row>
    <row r="19" spans="2:3">
      <c r="B19" s="168">
        <v>1984</v>
      </c>
      <c r="C19" s="302">
        <v>38.148169623357447</v>
      </c>
    </row>
    <row r="20" spans="2:3">
      <c r="B20" s="168">
        <v>1985</v>
      </c>
      <c r="C20" s="302">
        <v>39.493999853815858</v>
      </c>
    </row>
    <row r="21" spans="2:3">
      <c r="B21" s="168">
        <v>1986</v>
      </c>
      <c r="C21" s="302">
        <v>40.261734826190995</v>
      </c>
    </row>
    <row r="22" spans="2:3">
      <c r="B22" s="168">
        <v>1987</v>
      </c>
      <c r="C22" s="302">
        <v>41.702384913795335</v>
      </c>
    </row>
    <row r="23" spans="2:3">
      <c r="B23" s="168">
        <v>1988</v>
      </c>
      <c r="C23" s="302">
        <v>43.412201047491365</v>
      </c>
    </row>
    <row r="24" spans="2:3">
      <c r="B24" s="168">
        <v>1989</v>
      </c>
      <c r="C24" s="302">
        <v>45.492120494563451</v>
      </c>
    </row>
    <row r="25" spans="2:3">
      <c r="B25" s="168">
        <v>1990</v>
      </c>
      <c r="C25" s="302">
        <v>47.957436780357718</v>
      </c>
    </row>
    <row r="26" spans="2:3">
      <c r="B26" s="168">
        <v>1991</v>
      </c>
      <c r="C26" s="302">
        <v>49.979240831114559</v>
      </c>
    </row>
    <row r="27" spans="2:3">
      <c r="B27" s="168">
        <v>1992</v>
      </c>
      <c r="C27" s="302">
        <v>51.499417250518697</v>
      </c>
    </row>
    <row r="28" spans="2:3">
      <c r="B28" s="168">
        <v>1993</v>
      </c>
      <c r="C28" s="302">
        <v>53.028769785130535</v>
      </c>
    </row>
    <row r="29" spans="2:3">
      <c r="B29" s="168">
        <v>1994</v>
      </c>
      <c r="C29" s="302">
        <v>54.405187066281179</v>
      </c>
    </row>
    <row r="30" spans="2:3">
      <c r="B30" s="168">
        <v>1995</v>
      </c>
      <c r="C30" s="302">
        <v>55.931480895823782</v>
      </c>
    </row>
    <row r="31" spans="2:3">
      <c r="B31" s="168">
        <v>1996</v>
      </c>
      <c r="C31" s="302">
        <v>57.574005517996888</v>
      </c>
    </row>
    <row r="32" spans="2:3">
      <c r="B32" s="168">
        <v>1997</v>
      </c>
      <c r="C32" s="302">
        <v>58.919835748455306</v>
      </c>
    </row>
    <row r="33" spans="2:3">
      <c r="B33" s="168">
        <v>1998</v>
      </c>
      <c r="C33" s="302">
        <v>59.831329859083951</v>
      </c>
    </row>
    <row r="34" spans="2:3">
      <c r="B34" s="168">
        <v>1999</v>
      </c>
      <c r="C34" s="302">
        <v>61.143514333780892</v>
      </c>
    </row>
    <row r="35" spans="2:3">
      <c r="B35" s="168">
        <v>2000</v>
      </c>
      <c r="C35" s="302">
        <v>63.202022845368418</v>
      </c>
    </row>
    <row r="36" spans="2:3">
      <c r="B36" s="168">
        <v>2001</v>
      </c>
      <c r="C36" s="302">
        <v>64.982189195656588</v>
      </c>
    </row>
    <row r="37" spans="2:3">
      <c r="B37" s="168">
        <v>2002</v>
      </c>
      <c r="C37" s="302">
        <v>66.019090214123409</v>
      </c>
    </row>
    <row r="38" spans="2:3">
      <c r="B38" s="168">
        <v>2003</v>
      </c>
      <c r="C38" s="302">
        <v>67.536207928458353</v>
      </c>
    </row>
    <row r="39" spans="2:3">
      <c r="B39" s="168">
        <v>2004</v>
      </c>
      <c r="C39" s="302">
        <v>69.337785214231076</v>
      </c>
    </row>
    <row r="40" spans="2:3">
      <c r="B40" s="168">
        <v>2005</v>
      </c>
      <c r="C40" s="302">
        <v>71.671577182048722</v>
      </c>
    </row>
    <row r="41" spans="2:3">
      <c r="B41" s="168">
        <v>2006</v>
      </c>
      <c r="C41" s="302">
        <v>73.980899509312593</v>
      </c>
    </row>
    <row r="42" spans="2:3">
      <c r="B42" s="168">
        <v>2007</v>
      </c>
      <c r="C42" s="302">
        <v>76.104558438874577</v>
      </c>
    </row>
    <row r="43" spans="2:3">
      <c r="B43" s="168">
        <v>2008</v>
      </c>
      <c r="C43" s="302">
        <v>79.007911877632353</v>
      </c>
    </row>
    <row r="44" spans="2:3">
      <c r="B44" s="168">
        <v>2009</v>
      </c>
      <c r="C44" s="302">
        <v>78.754804033154102</v>
      </c>
    </row>
    <row r="45" spans="2:3">
      <c r="B45" s="168">
        <v>2010</v>
      </c>
      <c r="C45" s="302">
        <v>80.043681175223568</v>
      </c>
    </row>
    <row r="46" spans="2:3">
      <c r="B46" s="168">
        <v>2011</v>
      </c>
      <c r="C46" s="302">
        <v>82.556774434199113</v>
      </c>
    </row>
    <row r="47" spans="2:3">
      <c r="B47" s="168">
        <v>2012</v>
      </c>
      <c r="C47" s="302">
        <v>84.268334029784583</v>
      </c>
    </row>
    <row r="48" spans="2:3">
      <c r="B48" s="168">
        <v>2013</v>
      </c>
      <c r="C48" s="302">
        <v>85.503683833142645</v>
      </c>
    </row>
    <row r="49" spans="2:3">
      <c r="B49" s="168">
        <v>2014</v>
      </c>
      <c r="C49" s="302">
        <v>86.884964455353355</v>
      </c>
    </row>
    <row r="50" spans="2:3">
      <c r="B50" s="168">
        <v>2015</v>
      </c>
      <c r="C50" s="302">
        <v>86.990214496785342</v>
      </c>
    </row>
    <row r="51" spans="2:3">
      <c r="B51" s="168">
        <v>2016</v>
      </c>
      <c r="C51" s="302">
        <v>88.092694151936314</v>
      </c>
    </row>
    <row r="52" spans="2:3">
      <c r="B52" s="168">
        <v>2017</v>
      </c>
      <c r="C52" s="302">
        <v>89.97566357960109</v>
      </c>
    </row>
    <row r="53" spans="2:3">
      <c r="B53" s="168">
        <v>2018</v>
      </c>
      <c r="C53" s="302">
        <v>92.165757583266611</v>
      </c>
    </row>
    <row r="54" spans="2:3">
      <c r="B54" s="168">
        <v>2019</v>
      </c>
      <c r="C54" s="302">
        <v>93.835902312214799</v>
      </c>
    </row>
    <row r="55" spans="2:3">
      <c r="B55" s="168">
        <v>2020</v>
      </c>
      <c r="C55" s="302">
        <v>95.007325179626093</v>
      </c>
    </row>
    <row r="56" spans="2:3">
      <c r="B56" s="168">
        <v>2021</v>
      </c>
      <c r="C56" s="302">
        <v>97.619651400618736</v>
      </c>
    </row>
    <row r="57" spans="2:3">
      <c r="B57" s="168">
        <v>2022</v>
      </c>
      <c r="C57" s="302">
        <v>100</v>
      </c>
    </row>
    <row r="58" spans="2:3">
      <c r="B58" s="168">
        <v>2023</v>
      </c>
      <c r="C58" s="302">
        <v>102.32543488183042</v>
      </c>
    </row>
    <row r="59" spans="2:3">
      <c r="B59" s="168">
        <v>2024</v>
      </c>
      <c r="C59" s="302">
        <v>104.71193657284044</v>
      </c>
    </row>
    <row r="60" spans="2:3">
      <c r="B60" s="168">
        <v>2025</v>
      </c>
      <c r="C60" s="302">
        <v>107.16080191943588</v>
      </c>
    </row>
    <row r="61" spans="2:3">
      <c r="B61" s="168">
        <v>2026</v>
      </c>
      <c r="C61" s="302">
        <v>109.63757665422082</v>
      </c>
    </row>
    <row r="62" spans="2:3">
      <c r="B62" s="168">
        <v>2027</v>
      </c>
      <c r="C62" s="302">
        <v>111.99502092991037</v>
      </c>
    </row>
    <row r="63" spans="2:3">
      <c r="B63" s="168">
        <v>2028</v>
      </c>
      <c r="C63" s="302">
        <v>114.37105810725292</v>
      </c>
    </row>
    <row r="64" spans="2:3">
      <c r="B64" s="168">
        <v>2029</v>
      </c>
      <c r="C64" s="302">
        <v>116.77886122850276</v>
      </c>
    </row>
    <row r="65" spans="2:3">
      <c r="B65" s="168">
        <v>2030</v>
      </c>
      <c r="C65" s="302">
        <v>119.23248839120428</v>
      </c>
    </row>
    <row r="66" spans="2:3">
      <c r="B66" s="168">
        <v>2031</v>
      </c>
      <c r="C66" s="302">
        <v>121.74031741357936</v>
      </c>
    </row>
    <row r="67" spans="2:3">
      <c r="B67" s="168">
        <v>2032</v>
      </c>
      <c r="C67" s="302">
        <v>124.32656345680466</v>
      </c>
    </row>
    <row r="68" spans="2:3">
      <c r="B68" s="168">
        <v>2033</v>
      </c>
      <c r="C68" s="302">
        <v>126.99917201671637</v>
      </c>
    </row>
    <row r="69" spans="2:3">
      <c r="B69" s="168">
        <v>2034</v>
      </c>
      <c r="C69" s="302">
        <v>129.75937102072933</v>
      </c>
    </row>
    <row r="70" spans="2:3">
      <c r="B70" s="168">
        <v>2035</v>
      </c>
      <c r="C70" s="302">
        <v>132.59859179418149</v>
      </c>
    </row>
    <row r="71" spans="2:3">
      <c r="B71" s="168">
        <v>2036</v>
      </c>
      <c r="C71" s="302">
        <v>135.52628406537579</v>
      </c>
    </row>
    <row r="72" spans="2:3">
      <c r="B72" s="168">
        <v>2037</v>
      </c>
      <c r="C72" s="302">
        <v>138.54056139678127</v>
      </c>
    </row>
    <row r="73" spans="2:3">
      <c r="B73" s="168">
        <v>2038</v>
      </c>
      <c r="C73" s="302">
        <v>141.64909194355283</v>
      </c>
    </row>
    <row r="74" spans="2:3">
      <c r="B74" s="168">
        <v>2039</v>
      </c>
      <c r="C74" s="302">
        <v>144.85206669315946</v>
      </c>
    </row>
    <row r="75" spans="2:3">
      <c r="B75" s="168">
        <v>2040</v>
      </c>
      <c r="C75" s="302">
        <v>148.14792315206685</v>
      </c>
    </row>
    <row r="76" spans="2:3">
      <c r="B76" s="168">
        <v>2041</v>
      </c>
      <c r="C76" s="302">
        <v>151.52149516489277</v>
      </c>
    </row>
    <row r="77" spans="2:3">
      <c r="B77" s="168">
        <v>2042</v>
      </c>
      <c r="C77" s="302">
        <v>154.95781377331838</v>
      </c>
    </row>
    <row r="78" spans="2:3">
      <c r="B78" s="168">
        <v>2043</v>
      </c>
      <c r="C78" s="302">
        <v>158.4770326158673</v>
      </c>
    </row>
    <row r="79" spans="2:3">
      <c r="B79" s="168">
        <v>2044</v>
      </c>
      <c r="C79" s="302">
        <v>162.0801458912207</v>
      </c>
    </row>
    <row r="80" spans="2:3">
      <c r="B80" s="168">
        <v>2045</v>
      </c>
      <c r="C80" s="302">
        <v>165.75717088510586</v>
      </c>
    </row>
    <row r="81" spans="2:3">
      <c r="B81" s="168">
        <v>2046</v>
      </c>
      <c r="C81" s="302">
        <v>169.52155587812135</v>
      </c>
    </row>
    <row r="82" spans="2:3">
      <c r="B82" s="168">
        <v>2047</v>
      </c>
      <c r="C82" s="302">
        <v>173.37839319127147</v>
      </c>
    </row>
    <row r="83" spans="2:3">
      <c r="B83" s="168">
        <v>2048</v>
      </c>
      <c r="C83" s="302">
        <v>177.33045541199047</v>
      </c>
    </row>
    <row r="84" spans="2:3">
      <c r="B84" s="168">
        <v>2049</v>
      </c>
      <c r="C84" s="302">
        <v>181.36548393788212</v>
      </c>
    </row>
    <row r="85" spans="2:3">
      <c r="B85" s="168">
        <v>2050</v>
      </c>
      <c r="C85" s="302">
        <v>185.47829720863663</v>
      </c>
    </row>
    <row r="86" spans="2:3">
      <c r="B86" s="236">
        <v>2051</v>
      </c>
      <c r="C86" s="235">
        <f t="shared" ref="C86:C89" si="0">_xlfn.FORECAST.LINEAR(B86,C80:C85,B80:B85)</f>
        <v>189.28084055393356</v>
      </c>
    </row>
    <row r="87" spans="2:3">
      <c r="B87" s="236">
        <v>2052</v>
      </c>
      <c r="C87" s="235">
        <f t="shared" si="0"/>
        <v>193.30562075934358</v>
      </c>
    </row>
    <row r="88" spans="2:3">
      <c r="B88" s="236">
        <v>2053</v>
      </c>
      <c r="C88" s="235">
        <f t="shared" si="0"/>
        <v>197.31652583087089</v>
      </c>
    </row>
    <row r="89" spans="2:3">
      <c r="B89" s="236">
        <v>2054</v>
      </c>
      <c r="C89" s="235">
        <f t="shared" si="0"/>
        <v>201.30153454085121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B12B-BEE4-4573-848A-670F6FF75489}">
  <sheetPr codeName="Sheet10">
    <tabColor theme="0" tint="-0.499984740745262"/>
  </sheetPr>
  <dimension ref="B2:O29"/>
  <sheetViews>
    <sheetView workbookViewId="0">
      <pane ySplit="2" topLeftCell="A3" activePane="bottomLeft" state="frozen"/>
      <selection pane="bottomLeft"/>
    </sheetView>
  </sheetViews>
  <sheetFormatPr baseColWidth="10" defaultColWidth="9" defaultRowHeight="15"/>
  <cols>
    <col min="1" max="1" width="7.796875" style="1" customWidth="1"/>
    <col min="2" max="2" width="9" style="1"/>
    <col min="3" max="3" width="14.796875" style="1" customWidth="1"/>
    <col min="4" max="4" width="29.3984375" style="1" bestFit="1" customWidth="1"/>
    <col min="5" max="5" width="43.59765625" style="1" customWidth="1"/>
    <col min="6" max="6" width="35.19921875" style="1" customWidth="1"/>
    <col min="7" max="7" width="21.3984375" style="1" customWidth="1"/>
    <col min="8" max="8" width="12.796875" style="1" customWidth="1"/>
    <col min="9" max="9" width="11.796875" style="1" customWidth="1"/>
    <col min="10" max="10" width="28.796875" style="1" customWidth="1"/>
    <col min="11" max="11" width="22.19921875" style="1" customWidth="1"/>
    <col min="12" max="12" width="41.59765625" style="1" customWidth="1"/>
    <col min="13" max="15" width="26.796875" style="1" customWidth="1"/>
    <col min="16" max="16384" width="9" style="1"/>
  </cols>
  <sheetData>
    <row r="2" spans="2:15" s="141" customFormat="1" ht="32">
      <c r="B2" s="237" t="s">
        <v>212</v>
      </c>
      <c r="C2" s="238" t="s">
        <v>213</v>
      </c>
      <c r="D2" s="238" t="s">
        <v>214</v>
      </c>
      <c r="E2" s="238" t="s">
        <v>215</v>
      </c>
      <c r="F2" s="238" t="s">
        <v>216</v>
      </c>
      <c r="G2" s="238" t="s">
        <v>217</v>
      </c>
      <c r="H2" s="238" t="s">
        <v>218</v>
      </c>
      <c r="I2" s="238" t="s">
        <v>219</v>
      </c>
      <c r="J2" s="238" t="s">
        <v>220</v>
      </c>
      <c r="K2" s="238" t="s">
        <v>221</v>
      </c>
      <c r="L2" s="238" t="s">
        <v>222</v>
      </c>
      <c r="M2" s="238" t="s">
        <v>223</v>
      </c>
      <c r="N2" s="238" t="s">
        <v>224</v>
      </c>
      <c r="O2" s="303" t="s">
        <v>225</v>
      </c>
    </row>
    <row r="3" spans="2:15" s="142" customFormat="1" ht="90">
      <c r="B3" s="304">
        <v>-4.0000000000000002E-4</v>
      </c>
      <c r="C3" s="1" t="s">
        <v>226</v>
      </c>
      <c r="D3" s="305" t="s">
        <v>227</v>
      </c>
      <c r="E3" s="305" t="s">
        <v>228</v>
      </c>
      <c r="F3" s="142" t="s">
        <v>229</v>
      </c>
      <c r="G3" s="1" t="s">
        <v>230</v>
      </c>
      <c r="H3" s="306">
        <v>45386</v>
      </c>
      <c r="I3" s="306">
        <v>44986</v>
      </c>
      <c r="J3" s="142" t="s">
        <v>231</v>
      </c>
      <c r="K3" s="142" t="s">
        <v>232</v>
      </c>
      <c r="L3" s="142" t="s">
        <v>233</v>
      </c>
      <c r="M3" s="307"/>
      <c r="N3" s="307" t="s">
        <v>234</v>
      </c>
      <c r="O3" s="308" t="s">
        <v>235</v>
      </c>
    </row>
    <row r="4" spans="2:15" ht="16">
      <c r="B4" s="309">
        <v>0.17169999999999999</v>
      </c>
      <c r="C4" s="1" t="s">
        <v>226</v>
      </c>
      <c r="D4" s="305" t="s">
        <v>236</v>
      </c>
      <c r="E4" s="1" t="s">
        <v>237</v>
      </c>
      <c r="O4" s="214"/>
    </row>
    <row r="5" spans="2:15">
      <c r="B5" s="94">
        <v>1.0058</v>
      </c>
      <c r="C5" s="1" t="s">
        <v>226</v>
      </c>
      <c r="D5" s="1" t="s">
        <v>238</v>
      </c>
      <c r="E5" s="1" t="s">
        <v>239</v>
      </c>
      <c r="O5" s="214"/>
    </row>
    <row r="6" spans="2:15">
      <c r="B6" s="94">
        <v>0.35980000000000001</v>
      </c>
      <c r="C6" s="1" t="s">
        <v>226</v>
      </c>
      <c r="D6" s="1" t="s">
        <v>240</v>
      </c>
      <c r="E6" s="1" t="s">
        <v>241</v>
      </c>
      <c r="O6" s="214"/>
    </row>
    <row r="7" spans="2:15" s="5" customFormat="1">
      <c r="B7" s="94">
        <v>0.1084</v>
      </c>
      <c r="C7" s="1" t="s">
        <v>226</v>
      </c>
      <c r="D7" s="1" t="s">
        <v>242</v>
      </c>
      <c r="E7" s="1" t="s">
        <v>243</v>
      </c>
      <c r="F7" s="1"/>
      <c r="G7" s="1"/>
      <c r="H7" s="1"/>
      <c r="I7" s="1"/>
      <c r="J7" s="1"/>
      <c r="K7" s="1"/>
      <c r="L7" s="1"/>
      <c r="M7" s="1"/>
      <c r="N7" s="1"/>
      <c r="O7" s="214"/>
    </row>
    <row r="8" spans="2:15" ht="112">
      <c r="B8" s="310">
        <v>7.2700000000000001E-2</v>
      </c>
      <c r="C8" s="1" t="s">
        <v>244</v>
      </c>
      <c r="D8" s="1" t="s">
        <v>245</v>
      </c>
      <c r="E8" s="1" t="s">
        <v>246</v>
      </c>
      <c r="K8" s="1" t="s">
        <v>247</v>
      </c>
      <c r="L8" s="305" t="s">
        <v>248</v>
      </c>
      <c r="N8" s="311" t="s">
        <v>249</v>
      </c>
      <c r="O8" s="312" t="s">
        <v>250</v>
      </c>
    </row>
    <row r="9" spans="2:15" ht="112">
      <c r="B9" s="310">
        <v>7.4399999999999994E-2</v>
      </c>
      <c r="C9" s="1" t="s">
        <v>244</v>
      </c>
      <c r="D9" s="1" t="s">
        <v>251</v>
      </c>
      <c r="E9" s="1" t="s">
        <v>252</v>
      </c>
      <c r="K9" s="1" t="s">
        <v>247</v>
      </c>
      <c r="L9" s="305" t="s">
        <v>248</v>
      </c>
      <c r="N9" s="311" t="s">
        <v>249</v>
      </c>
      <c r="O9" s="312" t="s">
        <v>250</v>
      </c>
    </row>
    <row r="10" spans="2:15" s="5" customFormat="1" ht="112">
      <c r="B10" s="310">
        <v>7.1800000000000003E-2</v>
      </c>
      <c r="C10" s="1" t="s">
        <v>244</v>
      </c>
      <c r="D10" s="1" t="s">
        <v>253</v>
      </c>
      <c r="E10" s="1" t="s">
        <v>254</v>
      </c>
      <c r="F10" s="1"/>
      <c r="G10" s="1"/>
      <c r="H10" s="1"/>
      <c r="I10" s="1"/>
      <c r="J10" s="1"/>
      <c r="K10" s="1" t="s">
        <v>247</v>
      </c>
      <c r="L10" s="305" t="s">
        <v>248</v>
      </c>
      <c r="M10" s="1"/>
      <c r="N10" s="311" t="s">
        <v>249</v>
      </c>
      <c r="O10" s="312" t="s">
        <v>250</v>
      </c>
    </row>
    <row r="11" spans="2:15" ht="80">
      <c r="B11" s="313">
        <v>114</v>
      </c>
      <c r="C11" s="305" t="s">
        <v>255</v>
      </c>
      <c r="D11" s="305" t="s">
        <v>256</v>
      </c>
      <c r="E11" s="305" t="s">
        <v>257</v>
      </c>
      <c r="F11" s="305" t="s">
        <v>258</v>
      </c>
      <c r="G11" s="305" t="s">
        <v>259</v>
      </c>
      <c r="H11" s="314">
        <v>44648</v>
      </c>
      <c r="I11" s="314">
        <v>44421</v>
      </c>
      <c r="J11" s="305" t="s">
        <v>231</v>
      </c>
      <c r="K11" s="305"/>
      <c r="L11" s="305"/>
      <c r="M11" s="305"/>
      <c r="N11" s="305" t="s">
        <v>260</v>
      </c>
      <c r="O11" s="315"/>
    </row>
    <row r="12" spans="2:15" ht="64">
      <c r="B12" s="94"/>
      <c r="D12" s="1" t="s">
        <v>261</v>
      </c>
      <c r="E12" s="1" t="s">
        <v>262</v>
      </c>
      <c r="F12" s="305" t="s">
        <v>263</v>
      </c>
      <c r="G12" s="1" t="s">
        <v>264</v>
      </c>
      <c r="H12" s="85">
        <v>44692</v>
      </c>
      <c r="I12" s="85">
        <v>44692</v>
      </c>
      <c r="J12" s="1" t="s">
        <v>265</v>
      </c>
      <c r="L12" s="305" t="s">
        <v>266</v>
      </c>
      <c r="O12" s="214"/>
    </row>
    <row r="13" spans="2:15" ht="32">
      <c r="B13" s="94"/>
      <c r="D13" s="1" t="s">
        <v>267</v>
      </c>
      <c r="E13" s="1" t="s">
        <v>268</v>
      </c>
      <c r="G13" s="1" t="s">
        <v>269</v>
      </c>
      <c r="H13" s="85">
        <v>45017</v>
      </c>
      <c r="I13" s="85">
        <v>45017</v>
      </c>
      <c r="J13" s="1" t="s">
        <v>270</v>
      </c>
      <c r="L13" s="305" t="s">
        <v>271</v>
      </c>
      <c r="O13" s="214"/>
    </row>
    <row r="14" spans="2:15" ht="112">
      <c r="B14" s="94"/>
      <c r="D14" s="1" t="s">
        <v>272</v>
      </c>
      <c r="E14" s="1" t="s">
        <v>273</v>
      </c>
      <c r="F14" s="305" t="s">
        <v>274</v>
      </c>
      <c r="G14" s="1" t="s">
        <v>275</v>
      </c>
      <c r="H14" s="85">
        <v>45017</v>
      </c>
      <c r="I14" s="85">
        <v>45017</v>
      </c>
      <c r="J14" s="1" t="s">
        <v>18</v>
      </c>
      <c r="L14" s="305" t="s">
        <v>271</v>
      </c>
      <c r="O14" s="214"/>
    </row>
    <row r="15" spans="2:15">
      <c r="B15" s="310">
        <v>7.3400000000000007E-2</v>
      </c>
      <c r="C15" s="1" t="s">
        <v>244</v>
      </c>
      <c r="D15" s="1" t="s">
        <v>276</v>
      </c>
      <c r="E15" s="1" t="s">
        <v>277</v>
      </c>
      <c r="O15" s="214"/>
    </row>
    <row r="16" spans="2:15">
      <c r="B16" s="94">
        <v>0.186</v>
      </c>
      <c r="D16" s="1" t="s">
        <v>278</v>
      </c>
      <c r="E16" s="1" t="s">
        <v>279</v>
      </c>
      <c r="F16" s="1" t="s">
        <v>280</v>
      </c>
      <c r="N16" s="316" t="s">
        <v>281</v>
      </c>
      <c r="O16" s="317" t="s">
        <v>282</v>
      </c>
    </row>
    <row r="17" spans="2:15">
      <c r="B17" s="94">
        <v>117</v>
      </c>
      <c r="D17" s="1" t="s">
        <v>283</v>
      </c>
      <c r="E17" s="1" t="s">
        <v>284</v>
      </c>
      <c r="F17" s="1" t="s">
        <v>280</v>
      </c>
      <c r="N17" s="316" t="s">
        <v>281</v>
      </c>
      <c r="O17" s="317" t="s">
        <v>282</v>
      </c>
    </row>
    <row r="18" spans="2:15">
      <c r="B18" s="94">
        <v>11.34</v>
      </c>
      <c r="D18" s="1" t="s">
        <v>285</v>
      </c>
      <c r="E18" s="1" t="s">
        <v>286</v>
      </c>
      <c r="N18" s="316"/>
      <c r="O18" s="317"/>
    </row>
    <row r="19" spans="2:15">
      <c r="B19" s="94">
        <v>15.86</v>
      </c>
      <c r="D19" s="1" t="s">
        <v>287</v>
      </c>
      <c r="E19" s="1" t="s">
        <v>288</v>
      </c>
      <c r="N19" s="316"/>
      <c r="O19" s="317"/>
    </row>
    <row r="20" spans="2:15" ht="96">
      <c r="B20" s="94">
        <v>0.21</v>
      </c>
      <c r="D20" s="1" t="s">
        <v>289</v>
      </c>
      <c r="E20" s="1" t="s">
        <v>290</v>
      </c>
      <c r="F20" s="305" t="s">
        <v>291</v>
      </c>
      <c r="G20" s="1" t="s">
        <v>275</v>
      </c>
      <c r="H20" s="85">
        <v>45352</v>
      </c>
      <c r="I20" s="85">
        <v>45352</v>
      </c>
      <c r="J20" s="1" t="s">
        <v>270</v>
      </c>
      <c r="L20" s="305" t="s">
        <v>292</v>
      </c>
      <c r="N20" s="316"/>
      <c r="O20" s="317"/>
    </row>
    <row r="21" spans="2:15" ht="96">
      <c r="B21" s="94">
        <v>16.600000000000001</v>
      </c>
      <c r="D21" s="1" t="s">
        <v>293</v>
      </c>
      <c r="E21" s="1" t="s">
        <v>294</v>
      </c>
      <c r="F21" s="305" t="s">
        <v>291</v>
      </c>
      <c r="G21" s="1" t="s">
        <v>295</v>
      </c>
      <c r="H21" s="85">
        <v>45352</v>
      </c>
      <c r="I21" s="85">
        <v>45352</v>
      </c>
      <c r="J21" s="1" t="s">
        <v>18</v>
      </c>
      <c r="L21" s="305" t="s">
        <v>292</v>
      </c>
      <c r="O21" s="214"/>
    </row>
    <row r="22" spans="2:15" ht="90">
      <c r="B22" s="94"/>
      <c r="D22" s="1" t="s">
        <v>296</v>
      </c>
      <c r="F22" s="142" t="s">
        <v>229</v>
      </c>
      <c r="G22" s="1" t="s">
        <v>230</v>
      </c>
      <c r="H22" s="306">
        <v>45386</v>
      </c>
      <c r="I22" s="306">
        <v>44986</v>
      </c>
      <c r="J22" s="142" t="s">
        <v>231</v>
      </c>
      <c r="K22" s="142" t="s">
        <v>232</v>
      </c>
      <c r="L22" s="142" t="s">
        <v>233</v>
      </c>
      <c r="M22" s="307"/>
      <c r="N22" s="307" t="s">
        <v>234</v>
      </c>
      <c r="O22" s="308" t="s">
        <v>235</v>
      </c>
    </row>
    <row r="23" spans="2:15" ht="90">
      <c r="B23" s="94"/>
      <c r="D23" s="1" t="s">
        <v>297</v>
      </c>
      <c r="F23" s="142" t="s">
        <v>229</v>
      </c>
      <c r="G23" s="1" t="s">
        <v>297</v>
      </c>
      <c r="H23" s="306">
        <v>45386</v>
      </c>
      <c r="I23" s="306">
        <v>44986</v>
      </c>
      <c r="J23" s="142" t="s">
        <v>231</v>
      </c>
      <c r="K23" s="142" t="s">
        <v>232</v>
      </c>
      <c r="L23" s="142" t="s">
        <v>233</v>
      </c>
      <c r="M23" s="307"/>
      <c r="N23" s="307" t="s">
        <v>234</v>
      </c>
      <c r="O23" s="308" t="s">
        <v>235</v>
      </c>
    </row>
    <row r="24" spans="2:15">
      <c r="B24" s="94"/>
      <c r="E24" s="1" t="s">
        <v>161</v>
      </c>
      <c r="O24" s="214"/>
    </row>
    <row r="25" spans="2:15">
      <c r="B25" s="94"/>
      <c r="E25" s="1" t="s">
        <v>162</v>
      </c>
      <c r="O25" s="214"/>
    </row>
    <row r="26" spans="2:15" ht="48">
      <c r="B26" s="94">
        <v>1.23</v>
      </c>
      <c r="C26" s="1" t="s">
        <v>298</v>
      </c>
      <c r="D26" s="1" t="s">
        <v>299</v>
      </c>
      <c r="E26" s="1" t="s">
        <v>114</v>
      </c>
      <c r="F26" s="305" t="s">
        <v>300</v>
      </c>
      <c r="G26" s="305" t="s">
        <v>301</v>
      </c>
      <c r="I26" s="306">
        <v>44197</v>
      </c>
      <c r="J26" s="305" t="s">
        <v>302</v>
      </c>
      <c r="N26" s="307" t="s">
        <v>303</v>
      </c>
      <c r="O26" s="214"/>
    </row>
    <row r="27" spans="2:15" ht="96">
      <c r="B27" s="94">
        <v>51</v>
      </c>
      <c r="C27" s="1" t="s">
        <v>304</v>
      </c>
      <c r="D27" s="1" t="s">
        <v>305</v>
      </c>
      <c r="E27" s="1" t="s">
        <v>306</v>
      </c>
      <c r="F27" s="305" t="s">
        <v>307</v>
      </c>
      <c r="G27" s="305" t="s">
        <v>308</v>
      </c>
      <c r="I27" s="306">
        <v>44228</v>
      </c>
      <c r="J27" s="305" t="s">
        <v>309</v>
      </c>
      <c r="N27" s="318" t="s">
        <v>310</v>
      </c>
      <c r="O27" s="214"/>
    </row>
    <row r="28" spans="2:15">
      <c r="B28" s="310">
        <v>6.1000000000000004E-3</v>
      </c>
      <c r="C28" s="1" t="s">
        <v>244</v>
      </c>
      <c r="D28" s="1" t="s">
        <v>311</v>
      </c>
      <c r="E28" s="68" t="s">
        <v>312</v>
      </c>
      <c r="F28" s="68" t="s">
        <v>313</v>
      </c>
      <c r="O28" s="214"/>
    </row>
    <row r="29" spans="2:15">
      <c r="B29" s="319">
        <v>2.3E-2</v>
      </c>
      <c r="C29" s="215" t="s">
        <v>244</v>
      </c>
      <c r="D29" s="215" t="s">
        <v>314</v>
      </c>
      <c r="E29" s="215" t="s">
        <v>315</v>
      </c>
      <c r="F29" s="320" t="s">
        <v>316</v>
      </c>
      <c r="G29" s="215" t="s">
        <v>317</v>
      </c>
      <c r="H29" s="215"/>
      <c r="I29" s="321">
        <v>45436</v>
      </c>
      <c r="J29" s="215" t="s">
        <v>318</v>
      </c>
      <c r="K29" s="215" t="s">
        <v>319</v>
      </c>
      <c r="L29" s="215"/>
      <c r="M29" s="215"/>
      <c r="N29" s="215"/>
      <c r="O29" s="322"/>
    </row>
  </sheetData>
  <phoneticPr fontId="21" type="noConversion"/>
  <hyperlinks>
    <hyperlink ref="N16" r:id="rId1" xr:uid="{7410B0CB-4A35-4F20-987A-B3E104EFBE3F}"/>
    <hyperlink ref="N17:N20" r:id="rId2" display="https://www.epa.gov/sites/default/files/2020-09/documents/1.4_natural_gas_combustion.pdf" xr:uid="{E6E9491C-8F2A-4827-9515-AF2B762B1E52}"/>
    <hyperlink ref="O16" r:id="rId3" xr:uid="{D168FAD2-5149-4508-AE00-96DC71A8E600}"/>
    <hyperlink ref="O3" r:id="rId4" xr:uid="{1115735C-9281-41F6-86A1-E6BEB4D771E2}"/>
    <hyperlink ref="O22" r:id="rId5" xr:uid="{D20D1253-B8C3-4C03-A9CB-05908CB8CDC1}"/>
    <hyperlink ref="O23" r:id="rId6" xr:uid="{1F333003-4B9F-44CA-9116-7AA977FE7F89}"/>
    <hyperlink ref="N26" r:id="rId7" xr:uid="{B51B477A-94CD-4128-A4B2-7567A59D3277}"/>
    <hyperlink ref="N27" r:id="rId8" xr:uid="{A38BA55C-43F4-4B04-A6FB-B3E7E3EEB51B}"/>
  </hyperlinks>
  <pageMargins left="0.7" right="0.7" top="0.75" bottom="0.75" header="0.3" footer="0.3"/>
  <pageSetup orientation="portrait" horizontalDpi="90" verticalDpi="90"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499984740745262"/>
  </sheetPr>
  <dimension ref="B2:G20"/>
  <sheetViews>
    <sheetView workbookViewId="0"/>
  </sheetViews>
  <sheetFormatPr baseColWidth="10" defaultColWidth="9" defaultRowHeight="15"/>
  <cols>
    <col min="1" max="1" width="7.796875" style="1" customWidth="1"/>
    <col min="2" max="2" width="26.796875" style="1" customWidth="1"/>
    <col min="3" max="3" width="27" style="1" customWidth="1"/>
    <col min="4" max="4" width="24.796875" style="1" bestFit="1" customWidth="1"/>
    <col min="5" max="5" width="18.3984375" style="1" bestFit="1" customWidth="1"/>
    <col min="6" max="6" width="11.19921875" style="1" bestFit="1" customWidth="1"/>
    <col min="7" max="16384" width="9" style="1"/>
  </cols>
  <sheetData>
    <row r="2" spans="2:7" s="88" customFormat="1">
      <c r="B2" s="88" t="s">
        <v>320</v>
      </c>
    </row>
    <row r="3" spans="2:7">
      <c r="B3" s="37" t="s">
        <v>17</v>
      </c>
      <c r="C3" s="37" t="s">
        <v>19</v>
      </c>
      <c r="D3" s="37" t="s">
        <v>21</v>
      </c>
      <c r="E3" s="37" t="s">
        <v>23</v>
      </c>
      <c r="F3" s="37" t="s">
        <v>321</v>
      </c>
      <c r="G3" s="37" t="s">
        <v>322</v>
      </c>
    </row>
    <row r="4" spans="2:7">
      <c r="B4" s="1" t="s">
        <v>126</v>
      </c>
      <c r="C4" s="1" t="s">
        <v>20</v>
      </c>
      <c r="D4" s="1" t="s">
        <v>104</v>
      </c>
      <c r="E4" s="1" t="str">
        <f>IF('User Dashboard'!$C$7=$D$6,Lists!C10,Lists!B10)</f>
        <v>Uncontrolled</v>
      </c>
      <c r="F4" s="1" t="s">
        <v>166</v>
      </c>
      <c r="G4" s="1" t="s">
        <v>323</v>
      </c>
    </row>
    <row r="5" spans="2:7">
      <c r="B5" s="1" t="s">
        <v>133</v>
      </c>
      <c r="C5" s="1" t="s">
        <v>127</v>
      </c>
      <c r="D5" s="1" t="s">
        <v>22</v>
      </c>
      <c r="E5" s="1" t="str">
        <f>IF('User Dashboard'!$C$7=$D$6,Lists!C11,Lists!B11)</f>
        <v>Low Nox Burner</v>
      </c>
      <c r="F5" s="1" t="s">
        <v>26</v>
      </c>
      <c r="G5" s="1" t="s">
        <v>28</v>
      </c>
    </row>
    <row r="6" spans="2:7">
      <c r="B6" s="1" t="s">
        <v>18</v>
      </c>
      <c r="C6" s="1" t="s">
        <v>128</v>
      </c>
      <c r="D6" s="1" t="s">
        <v>107</v>
      </c>
      <c r="E6" s="1" t="str">
        <f>IF('User Dashboard'!$C$7=$D$6,Lists!C12,Lists!B12)</f>
        <v>Flue Gas Recirculation</v>
      </c>
    </row>
    <row r="8" spans="2:7">
      <c r="B8" s="37" t="s">
        <v>324</v>
      </c>
    </row>
    <row r="9" spans="2:7">
      <c r="B9" s="96" t="s">
        <v>325</v>
      </c>
      <c r="C9" s="93" t="s">
        <v>107</v>
      </c>
    </row>
    <row r="10" spans="2:7">
      <c r="B10" s="94" t="s">
        <v>105</v>
      </c>
      <c r="C10" s="97" t="s">
        <v>105</v>
      </c>
    </row>
    <row r="11" spans="2:7">
      <c r="B11" s="94" t="s">
        <v>106</v>
      </c>
      <c r="C11" s="97" t="str">
        <f>""</f>
        <v/>
      </c>
    </row>
    <row r="12" spans="2:7">
      <c r="B12" s="95" t="s">
        <v>24</v>
      </c>
      <c r="C12" s="98" t="str">
        <f>""</f>
        <v/>
      </c>
    </row>
    <row r="15" spans="2:7" s="88" customFormat="1">
      <c r="B15" s="88" t="s">
        <v>326</v>
      </c>
    </row>
    <row r="16" spans="2:7">
      <c r="B16" s="37" t="s">
        <v>186</v>
      </c>
      <c r="C16" s="37" t="s">
        <v>173</v>
      </c>
      <c r="D16" s="37" t="s">
        <v>327</v>
      </c>
    </row>
    <row r="17" spans="2:4">
      <c r="B17" s="1" t="s">
        <v>192</v>
      </c>
      <c r="C17" s="1" t="s">
        <v>179</v>
      </c>
      <c r="D17" s="1" t="s">
        <v>328</v>
      </c>
    </row>
    <row r="18" spans="2:4">
      <c r="B18" s="1" t="s">
        <v>178</v>
      </c>
      <c r="C18" s="1" t="s">
        <v>187</v>
      </c>
      <c r="D18" s="1" t="s">
        <v>329</v>
      </c>
    </row>
    <row r="19" spans="2:4">
      <c r="C19" s="1" t="s">
        <v>188</v>
      </c>
    </row>
    <row r="20" spans="2:4">
      <c r="C20" s="1" t="s">
        <v>189</v>
      </c>
    </row>
  </sheetData>
  <phoneticPr fontId="6" type="noConversion"/>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18D5B-7A5A-4AEA-AC3A-61AB7595CD4B}">
  <sheetPr codeName="Sheet11">
    <tabColor theme="0" tint="-0.499984740745262"/>
  </sheetPr>
  <dimension ref="B2:K44"/>
  <sheetViews>
    <sheetView topLeftCell="A12" workbookViewId="0">
      <selection activeCell="F44" sqref="F44"/>
    </sheetView>
  </sheetViews>
  <sheetFormatPr baseColWidth="10" defaultColWidth="9" defaultRowHeight="15"/>
  <cols>
    <col min="1" max="1" width="7.796875" style="1" customWidth="1"/>
    <col min="2" max="2" width="13.19921875" style="1" customWidth="1"/>
    <col min="3" max="3" width="12.796875" style="1" customWidth="1"/>
    <col min="4" max="4" width="19.796875" style="1" customWidth="1"/>
    <col min="5" max="5" width="11.796875" style="1" customWidth="1"/>
    <col min="6" max="6" width="79.19921875" style="1" customWidth="1"/>
    <col min="7" max="16384" width="9" style="1"/>
  </cols>
  <sheetData>
    <row r="2" spans="2:11" s="88" customFormat="1">
      <c r="B2" s="87"/>
      <c r="C2" s="87" t="s">
        <v>202</v>
      </c>
      <c r="D2" s="87" t="s">
        <v>330</v>
      </c>
      <c r="E2" s="87" t="s">
        <v>331</v>
      </c>
      <c r="F2" s="87" t="s">
        <v>332</v>
      </c>
    </row>
    <row r="3" spans="2:11" s="84" customFormat="1">
      <c r="B3" s="84">
        <v>2020</v>
      </c>
    </row>
    <row r="4" spans="2:11">
      <c r="B4" s="1" t="s">
        <v>333</v>
      </c>
      <c r="C4" s="85">
        <v>43964</v>
      </c>
      <c r="D4" s="1" t="s">
        <v>334</v>
      </c>
      <c r="E4" s="1" t="s">
        <v>335</v>
      </c>
      <c r="F4" s="1" t="s">
        <v>336</v>
      </c>
    </row>
    <row r="5" spans="2:11">
      <c r="F5" s="1" t="s">
        <v>337</v>
      </c>
    </row>
    <row r="6" spans="2:11">
      <c r="D6" s="1" t="s">
        <v>338</v>
      </c>
      <c r="F6" s="1" t="s">
        <v>339</v>
      </c>
    </row>
    <row r="7" spans="2:11">
      <c r="B7" s="1" t="s">
        <v>340</v>
      </c>
      <c r="C7" s="85">
        <v>43999</v>
      </c>
      <c r="D7" s="1" t="s">
        <v>341</v>
      </c>
      <c r="E7" s="1" t="s">
        <v>342</v>
      </c>
      <c r="F7" s="1" t="s">
        <v>343</v>
      </c>
    </row>
    <row r="8" spans="2:11">
      <c r="D8" s="1" t="s">
        <v>344</v>
      </c>
      <c r="E8" s="1" t="s">
        <v>345</v>
      </c>
      <c r="F8" s="1" t="s">
        <v>346</v>
      </c>
    </row>
    <row r="9" spans="2:11" s="84" customFormat="1">
      <c r="B9" s="84">
        <v>2021</v>
      </c>
    </row>
    <row r="10" spans="2:11">
      <c r="B10" s="1" t="s">
        <v>347</v>
      </c>
      <c r="C10" s="85">
        <v>44298</v>
      </c>
      <c r="D10" s="1" t="s">
        <v>348</v>
      </c>
      <c r="F10" s="1" t="s">
        <v>349</v>
      </c>
    </row>
    <row r="11" spans="2:11">
      <c r="D11" s="1" t="s">
        <v>350</v>
      </c>
      <c r="F11" s="1" t="s">
        <v>351</v>
      </c>
    </row>
    <row r="12" spans="2:11">
      <c r="D12" s="1" t="s">
        <v>334</v>
      </c>
      <c r="E12" s="1" t="s">
        <v>335</v>
      </c>
      <c r="F12" s="1" t="s">
        <v>352</v>
      </c>
    </row>
    <row r="13" spans="2:11" s="86" customFormat="1">
      <c r="B13" s="1"/>
      <c r="C13" s="1"/>
      <c r="D13" s="1" t="s">
        <v>344</v>
      </c>
      <c r="E13" s="1" t="s">
        <v>345</v>
      </c>
      <c r="F13" s="1" t="s">
        <v>353</v>
      </c>
      <c r="G13" s="1"/>
      <c r="H13" s="1"/>
      <c r="I13" s="1"/>
      <c r="J13" s="1"/>
      <c r="K13" s="1"/>
    </row>
    <row r="14" spans="2:11" s="84" customFormat="1">
      <c r="B14" s="84">
        <v>2022</v>
      </c>
    </row>
    <row r="15" spans="2:11">
      <c r="B15" s="1" t="s">
        <v>347</v>
      </c>
      <c r="D15" s="1" t="s">
        <v>350</v>
      </c>
      <c r="F15" s="1" t="s">
        <v>354</v>
      </c>
    </row>
    <row r="16" spans="2:11">
      <c r="D16" s="1" t="s">
        <v>355</v>
      </c>
      <c r="E16" s="1" t="s">
        <v>356</v>
      </c>
      <c r="F16" s="1" t="s">
        <v>357</v>
      </c>
    </row>
    <row r="17" spans="2:6">
      <c r="D17" s="1" t="s">
        <v>355</v>
      </c>
      <c r="F17" s="1" t="s">
        <v>358</v>
      </c>
    </row>
    <row r="18" spans="2:6">
      <c r="D18" s="1" t="s">
        <v>359</v>
      </c>
      <c r="E18" s="1" t="s">
        <v>360</v>
      </c>
      <c r="F18" s="1" t="s">
        <v>361</v>
      </c>
    </row>
    <row r="19" spans="2:6">
      <c r="D19" s="1" t="s">
        <v>348</v>
      </c>
      <c r="E19" s="1" t="s">
        <v>362</v>
      </c>
      <c r="F19" s="1" t="s">
        <v>363</v>
      </c>
    </row>
    <row r="20" spans="2:6">
      <c r="C20" s="85">
        <v>44648</v>
      </c>
      <c r="D20" s="1" t="s">
        <v>334</v>
      </c>
      <c r="E20" s="1" t="s">
        <v>364</v>
      </c>
      <c r="F20" s="1" t="s">
        <v>365</v>
      </c>
    </row>
    <row r="21" spans="2:6">
      <c r="C21" s="85">
        <v>44704</v>
      </c>
      <c r="D21" s="1" t="s">
        <v>366</v>
      </c>
      <c r="F21" s="1" t="s">
        <v>367</v>
      </c>
    </row>
    <row r="22" spans="2:6">
      <c r="C22" s="85">
        <v>44720</v>
      </c>
      <c r="D22" s="1" t="s">
        <v>341</v>
      </c>
      <c r="E22" s="1" t="s">
        <v>342</v>
      </c>
      <c r="F22" s="1" t="s">
        <v>368</v>
      </c>
    </row>
    <row r="23" spans="2:6">
      <c r="B23" s="1" t="s">
        <v>369</v>
      </c>
      <c r="C23" s="85">
        <v>44756</v>
      </c>
      <c r="D23" s="1" t="s">
        <v>334</v>
      </c>
      <c r="E23" s="1" t="s">
        <v>370</v>
      </c>
      <c r="F23" s="1" t="s">
        <v>371</v>
      </c>
    </row>
    <row r="24" spans="2:6">
      <c r="D24" s="1" t="s">
        <v>372</v>
      </c>
      <c r="F24" s="1" t="s">
        <v>373</v>
      </c>
    </row>
    <row r="25" spans="2:6">
      <c r="C25" s="85">
        <v>44760</v>
      </c>
      <c r="D25" s="1" t="s">
        <v>334</v>
      </c>
      <c r="E25" s="1" t="s">
        <v>374</v>
      </c>
      <c r="F25" s="1" t="s">
        <v>375</v>
      </c>
    </row>
    <row r="26" spans="2:6" s="84" customFormat="1">
      <c r="B26" s="84">
        <v>2024</v>
      </c>
    </row>
    <row r="27" spans="2:6">
      <c r="B27" s="1" t="s">
        <v>347</v>
      </c>
      <c r="D27" s="1" t="s">
        <v>341</v>
      </c>
      <c r="E27" s="1" t="s">
        <v>376</v>
      </c>
      <c r="F27" s="1" t="s">
        <v>377</v>
      </c>
    </row>
    <row r="28" spans="2:6">
      <c r="D28" s="1" t="s">
        <v>341</v>
      </c>
      <c r="E28" s="1" t="s">
        <v>378</v>
      </c>
      <c r="F28" s="1" t="s">
        <v>379</v>
      </c>
    </row>
    <row r="29" spans="2:6">
      <c r="D29" s="1" t="s">
        <v>341</v>
      </c>
      <c r="E29" s="1" t="s">
        <v>380</v>
      </c>
      <c r="F29" s="1" t="s">
        <v>381</v>
      </c>
    </row>
    <row r="30" spans="2:6">
      <c r="D30" s="1" t="s">
        <v>359</v>
      </c>
      <c r="E30" s="1" t="s">
        <v>382</v>
      </c>
      <c r="F30" s="1" t="s">
        <v>383</v>
      </c>
    </row>
    <row r="31" spans="2:6">
      <c r="D31" s="1" t="s">
        <v>338</v>
      </c>
      <c r="E31" s="1" t="s">
        <v>384</v>
      </c>
      <c r="F31" s="1" t="s">
        <v>385</v>
      </c>
    </row>
    <row r="32" spans="2:6">
      <c r="D32" s="1" t="s">
        <v>296</v>
      </c>
      <c r="E32" s="1" t="s">
        <v>386</v>
      </c>
      <c r="F32" s="1" t="s">
        <v>387</v>
      </c>
    </row>
    <row r="33" spans="2:6">
      <c r="D33" s="1" t="s">
        <v>366</v>
      </c>
      <c r="E33" s="1" t="s">
        <v>388</v>
      </c>
      <c r="F33" s="1" t="s">
        <v>389</v>
      </c>
    </row>
    <row r="34" spans="2:6">
      <c r="D34" s="1" t="s">
        <v>41</v>
      </c>
      <c r="E34" s="1" t="s">
        <v>390</v>
      </c>
      <c r="F34" s="1" t="s">
        <v>391</v>
      </c>
    </row>
    <row r="35" spans="2:6">
      <c r="D35" s="1" t="s">
        <v>41</v>
      </c>
      <c r="E35" s="1" t="s">
        <v>392</v>
      </c>
      <c r="F35" s="1" t="s">
        <v>393</v>
      </c>
    </row>
    <row r="36" spans="2:6">
      <c r="B36" s="1" t="s">
        <v>369</v>
      </c>
      <c r="C36" s="85">
        <v>45491</v>
      </c>
      <c r="D36" s="1" t="s">
        <v>394</v>
      </c>
      <c r="E36" s="1" t="s">
        <v>396</v>
      </c>
      <c r="F36" s="1" t="s">
        <v>395</v>
      </c>
    </row>
    <row r="37" spans="2:6">
      <c r="D37" s="1" t="s">
        <v>334</v>
      </c>
      <c r="E37" s="1" t="s">
        <v>400</v>
      </c>
      <c r="F37" s="1" t="s">
        <v>401</v>
      </c>
    </row>
    <row r="38" spans="2:6">
      <c r="D38" s="1" t="s">
        <v>334</v>
      </c>
      <c r="E38" s="1" t="s">
        <v>402</v>
      </c>
      <c r="F38" s="1" t="s">
        <v>403</v>
      </c>
    </row>
    <row r="39" spans="2:6">
      <c r="D39" s="1" t="s">
        <v>348</v>
      </c>
      <c r="E39" s="1" t="s">
        <v>370</v>
      </c>
      <c r="F39" s="1" t="s">
        <v>404</v>
      </c>
    </row>
    <row r="40" spans="2:6">
      <c r="D40" s="1" t="s">
        <v>359</v>
      </c>
      <c r="E40" s="1" t="s">
        <v>405</v>
      </c>
      <c r="F40" s="1" t="s">
        <v>406</v>
      </c>
    </row>
    <row r="41" spans="2:6">
      <c r="D41" s="1" t="s">
        <v>359</v>
      </c>
      <c r="E41" s="1" t="s">
        <v>407</v>
      </c>
      <c r="F41" s="1" t="s">
        <v>408</v>
      </c>
    </row>
    <row r="42" spans="2:6">
      <c r="C42" s="85">
        <v>45590</v>
      </c>
      <c r="D42" s="1" t="s">
        <v>334</v>
      </c>
      <c r="E42" s="1" t="s">
        <v>410</v>
      </c>
      <c r="F42" s="1" t="s">
        <v>411</v>
      </c>
    </row>
    <row r="43" spans="2:6">
      <c r="D43" s="1" t="s">
        <v>344</v>
      </c>
      <c r="E43" s="1" t="s">
        <v>378</v>
      </c>
      <c r="F43" s="1" t="s">
        <v>412</v>
      </c>
    </row>
    <row r="44" spans="2:6">
      <c r="D44" s="1" t="s">
        <v>359</v>
      </c>
      <c r="E44" s="1" t="s">
        <v>414</v>
      </c>
      <c r="F44" s="1" t="s">
        <v>415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5B365957C7CB40992C2FD98AC36155" ma:contentTypeVersion="21" ma:contentTypeDescription="Create a new document." ma:contentTypeScope="" ma:versionID="5ea9d529df108530e46402ae65a5780a">
  <xsd:schema xmlns:xsd="http://www.w3.org/2001/XMLSchema" xmlns:xs="http://www.w3.org/2001/XMLSchema" xmlns:p="http://schemas.microsoft.com/office/2006/metadata/properties" xmlns:ns1="http://schemas.microsoft.com/sharepoint/v3" xmlns:ns2="b48abb86-6b75-4cc9-8ac7-293f3cb026c9" xmlns:ns3="b2b8bedc-0fcb-47cf-97d0-3e95d67c491f" targetNamespace="http://schemas.microsoft.com/office/2006/metadata/properties" ma:root="true" ma:fieldsID="60bc3fc9ac9b9b06185e5f5d12f7d8e6" ns1:_="" ns2:_="" ns3:_="">
    <xsd:import namespace="http://schemas.microsoft.com/sharepoint/v3"/>
    <xsd:import namespace="b48abb86-6b75-4cc9-8ac7-293f3cb026c9"/>
    <xsd:import namespace="b2b8bedc-0fcb-47cf-97d0-3e95d67c491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Workingon" minOccurs="0"/>
                <xsd:element ref="ns2:test"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8abb86-6b75-4cc9-8ac7-293f3cb02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Workingon" ma:index="18" nillable="true" ma:displayName="Working on" ma:description="Who is working on the document" ma:format="Dropdown" ma:list="UserInfo" ma:SharePointGroup="0" ma:internalName="Workingon">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est" ma:index="19" nillable="true" ma:displayName="test" ma:format="Dropdown" ma:internalName="test">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5d88ab5-8cf0-45ea-9ae7-0517292233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b8bedc-0fcb-47cf-97d0-3e95d67c491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2a55c05a-23b9-47f8-b20a-12e0714192d7}" ma:internalName="TaxCatchAll" ma:showField="CatchAllData" ma:web="b2b8bedc-0fcb-47cf-97d0-3e95d67c49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b48abb86-6b75-4cc9-8ac7-293f3cb026c9" xsi:nil="true"/>
    <Workingon xmlns="b48abb86-6b75-4cc9-8ac7-293f3cb026c9">
      <UserInfo>
        <DisplayName/>
        <AccountId xsi:nil="true"/>
        <AccountType/>
      </UserInfo>
    </Workingon>
    <SharedWithUsers xmlns="b2b8bedc-0fcb-47cf-97d0-3e95d67c491f">
      <UserInfo>
        <DisplayName/>
        <AccountId xsi:nil="true"/>
        <AccountType/>
      </UserInfo>
    </SharedWithUsers>
    <_ip_UnifiedCompliancePolicyUIAction xmlns="http://schemas.microsoft.com/sharepoint/v3" xsi:nil="true"/>
    <TaxCatchAll xmlns="b2b8bedc-0fcb-47cf-97d0-3e95d67c491f" xsi:nil="true"/>
    <_ip_UnifiedCompliancePolicyProperties xmlns="http://schemas.microsoft.com/sharepoint/v3" xsi:nil="true"/>
    <lcf76f155ced4ddcb4097134ff3c332f xmlns="b48abb86-6b75-4cc9-8ac7-293f3cb026c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B3E653-F1EC-4CD9-9413-45F65B3269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48abb86-6b75-4cc9-8ac7-293f3cb026c9"/>
    <ds:schemaRef ds:uri="b2b8bedc-0fcb-47cf-97d0-3e95d67c49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54E193-1BB3-4DC1-A8AD-2228590D137E}">
  <ds:schemaRefs>
    <ds:schemaRef ds:uri="http://schemas.microsoft.com/sharepoint/v3/contenttype/forms"/>
  </ds:schemaRefs>
</ds:datastoreItem>
</file>

<file path=customXml/itemProps3.xml><?xml version="1.0" encoding="utf-8"?>
<ds:datastoreItem xmlns:ds="http://schemas.openxmlformats.org/officeDocument/2006/customXml" ds:itemID="{7D846A94-2BFD-4159-92AF-02873793800E}">
  <ds:schemaRefs>
    <ds:schemaRef ds:uri="http://schemas.microsoft.com/office/2006/documentManagement/types"/>
    <ds:schemaRef ds:uri="http://purl.org/dc/terms/"/>
    <ds:schemaRef ds:uri="b2b8bedc-0fcb-47cf-97d0-3e95d67c491f"/>
    <ds:schemaRef ds:uri="http://purl.org/dc/elements/1.1/"/>
    <ds:schemaRef ds:uri="http://schemas.microsoft.com/office/infopath/2007/PartnerControls"/>
    <ds:schemaRef ds:uri="http://schemas.openxmlformats.org/package/2006/metadata/core-properties"/>
    <ds:schemaRef ds:uri="http://schemas.microsoft.com/sharepoint/v3"/>
    <ds:schemaRef ds:uri="b48abb86-6b75-4cc9-8ac7-293f3cb026c9"/>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vt:lpstr>
      <vt:lpstr>User Dashboard</vt:lpstr>
      <vt:lpstr>Output</vt:lpstr>
      <vt:lpstr>Commodity</vt:lpstr>
      <vt:lpstr>Emissions</vt:lpstr>
      <vt:lpstr>T&amp;D</vt:lpstr>
      <vt:lpstr>Methane Leakage</vt:lpstr>
      <vt:lpstr>Other Inputs</vt:lpstr>
      <vt:lpstr>AGIC</vt:lpstr>
      <vt:lpstr>IEPR Gas Prices Nominal</vt:lpstr>
      <vt:lpstr>IEPR Gas Prices Real</vt:lpstr>
      <vt:lpstr>GDP Deflator</vt:lpstr>
      <vt:lpstr>References</vt:lpstr>
      <vt:lpstr>Lists</vt:lpstr>
      <vt:lpstr>Change Log</vt:lpstr>
    </vt:vector>
  </TitlesOfParts>
  <Manager/>
  <Company>E3</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ver. 6</dc:subject>
  <dc:creator>Energy and Environmental Economics, Inc. (415)391-5100</dc:creator>
  <cp:keywords>CPUC Avoided Cost</cp:keywords>
  <dc:description>Prepared by E3, Inc. for the California Public Utilities Comission.</dc:description>
  <cp:lastModifiedBy>Adam Scheer</cp:lastModifiedBy>
  <cp:revision/>
  <dcterms:created xsi:type="dcterms:W3CDTF">2003-10-23T22:01:03Z</dcterms:created>
  <dcterms:modified xsi:type="dcterms:W3CDTF">2026-01-12T23:42:00Z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{2AE9572C-5240-488D-AA54-3FE71EBBD264}</vt:lpwstr>
  </property>
  <property fmtid="{D5CDD505-2E9C-101B-9397-08002B2CF9AE}" pid="3" name="ContentTypeId">
    <vt:lpwstr>0x010100685B365957C7CB40992C2FD98AC36155</vt:lpwstr>
  </property>
  <property fmtid="{D5CDD505-2E9C-101B-9397-08002B2CF9AE}" pid="4" name="Order">
    <vt:r8>76600</vt:r8>
  </property>
  <property fmtid="{D5CDD505-2E9C-101B-9397-08002B2CF9AE}" pid="5" name="ComplianceAssetId">
    <vt:lpwstr/>
  </property>
  <property fmtid="{D5CDD505-2E9C-101B-9397-08002B2CF9AE}" pid="6" name="MediaServiceImageTags">
    <vt:lpwstr/>
  </property>
</Properties>
</file>