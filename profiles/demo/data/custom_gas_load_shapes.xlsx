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fication_monthly_gas.csv" sheetId="1" r:id="rId4"/>
  </sheets>
  <definedNames/>
  <calcPr/>
</workbook>
</file>

<file path=xl/sharedStrings.xml><?xml version="1.0" encoding="utf-8"?>
<sst xmlns="http://schemas.openxmlformats.org/spreadsheetml/2006/main" count="10" uniqueCount="9">
  <si>
    <t>month</t>
  </si>
  <si>
    <t>hvac_electrification_previous_ac_therms_impact</t>
  </si>
  <si>
    <t>hvac_electrification_previous_ac_therms_impact_norm</t>
  </si>
  <si>
    <t>hvac_electrification_previous_ac_therms_savings</t>
  </si>
  <si>
    <t>hvac_electrification_no_previous_ac_therms_impact</t>
  </si>
  <si>
    <t>hvac_electrification_no_previous_ac_therms_impact_norm</t>
  </si>
  <si>
    <t>hvac_electrification_no_previous_ac_therms_savings</t>
  </si>
  <si>
    <t>hpwh_electrification_therms_impact</t>
  </si>
  <si>
    <t>hpwh_electrification_therms_impact_norm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</si>
</sst>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41.63"/>
    <col customWidth="1" min="4" max="4" width="37.63"/>
    <col customWidth="1" min="5" max="5" width="39.75"/>
    <col customWidth="1" min="6" max="6" width="44.5"/>
    <col customWidth="1" min="7" max="7" width="40.5"/>
    <col customWidth="1" min="8" max="8" width="27.5"/>
    <col customWidth="1" min="9" max="9" width="32.25"/>
    <col customWidth="1" min="10" max="10" width="27.5"/>
    <col customWidth="1" min="11" max="11" width="68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7</v>
      </c>
    </row>
    <row r="2">
      <c r="A2" s="1">
        <v>1.0</v>
      </c>
      <c r="B2" s="3">
        <v>-46.5540533714789</v>
      </c>
      <c r="C2" s="4">
        <v>0.209961114711134</v>
      </c>
      <c r="D2" s="1">
        <f t="shared" ref="D2:D13" si="1">B2*-1</f>
        <v>46.55405337</v>
      </c>
      <c r="E2" s="3">
        <v>-39.2781098379785</v>
      </c>
      <c r="F2" s="4">
        <v>0.187466783504782</v>
      </c>
      <c r="G2" s="1">
        <f t="shared" ref="G2:G13" si="2">E2*-1</f>
        <v>39.27810984</v>
      </c>
      <c r="H2" s="3">
        <v>-21.6600866528713</v>
      </c>
      <c r="I2" s="4">
        <v>0.106342348729101</v>
      </c>
      <c r="J2" s="5">
        <f t="shared" ref="J2:J13" si="3">H2*-1</f>
        <v>21.66008665</v>
      </c>
    </row>
    <row r="3">
      <c r="A3" s="1">
        <v>2.0</v>
      </c>
      <c r="B3" s="3">
        <v>-40.7208748931052</v>
      </c>
      <c r="C3" s="4">
        <v>0.183653187324973</v>
      </c>
      <c r="D3" s="1">
        <f t="shared" si="1"/>
        <v>40.72087489</v>
      </c>
      <c r="E3" s="3">
        <v>-35.6461434523601</v>
      </c>
      <c r="F3" s="4">
        <v>0.170132113916099</v>
      </c>
      <c r="G3" s="1">
        <f t="shared" si="2"/>
        <v>35.64614345</v>
      </c>
      <c r="H3" s="3">
        <v>-20.3241170999994</v>
      </c>
      <c r="I3" s="4">
        <v>0.099783273395757</v>
      </c>
      <c r="J3" s="5">
        <f t="shared" si="3"/>
        <v>20.3241171</v>
      </c>
    </row>
    <row r="4">
      <c r="A4" s="1">
        <v>3.0</v>
      </c>
      <c r="B4" s="3">
        <v>-32.3700349133002</v>
      </c>
      <c r="C4" s="4">
        <v>0.145990480343407</v>
      </c>
      <c r="D4" s="1">
        <f t="shared" si="1"/>
        <v>32.37003491</v>
      </c>
      <c r="E4" s="3">
        <v>-30.0795470393151</v>
      </c>
      <c r="F4" s="4">
        <v>0.143563831253633</v>
      </c>
      <c r="G4" s="1">
        <f t="shared" si="2"/>
        <v>30.07954704</v>
      </c>
      <c r="H4" s="3">
        <v>-20.694344911584</v>
      </c>
      <c r="I4" s="4">
        <v>0.101600943642405</v>
      </c>
      <c r="J4" s="5">
        <f t="shared" si="3"/>
        <v>20.69434491</v>
      </c>
    </row>
    <row r="5">
      <c r="A5" s="1">
        <v>4.0</v>
      </c>
      <c r="B5" s="3">
        <v>-12.4174633056702</v>
      </c>
      <c r="C5" s="4">
        <v>0.0560033820629765</v>
      </c>
      <c r="D5" s="1">
        <f t="shared" si="1"/>
        <v>12.41746331</v>
      </c>
      <c r="E5" s="3">
        <v>-13.1840566506422</v>
      </c>
      <c r="F5" s="4">
        <v>0.0629249397192464</v>
      </c>
      <c r="G5" s="1">
        <f t="shared" si="2"/>
        <v>13.18405665</v>
      </c>
      <c r="H5" s="3">
        <v>-17.65427997185</v>
      </c>
      <c r="I5" s="4">
        <v>0.0866754425970313</v>
      </c>
      <c r="J5" s="5">
        <f t="shared" si="3"/>
        <v>17.65427997</v>
      </c>
    </row>
    <row r="6">
      <c r="A6" s="1">
        <v>5.0</v>
      </c>
      <c r="B6" s="3">
        <v>-4.09536264928897</v>
      </c>
      <c r="C6" s="4">
        <v>0.0184702908709094</v>
      </c>
      <c r="D6" s="1">
        <f t="shared" si="1"/>
        <v>4.095362649</v>
      </c>
      <c r="E6" s="3">
        <v>-5.8771315069676</v>
      </c>
      <c r="F6" s="4">
        <v>0.0280504063049521</v>
      </c>
      <c r="G6" s="1">
        <f t="shared" si="2"/>
        <v>5.877131507</v>
      </c>
      <c r="H6" s="3">
        <v>-15.4724741155788</v>
      </c>
      <c r="I6" s="4">
        <v>0.0759636498445296</v>
      </c>
      <c r="J6" s="5">
        <f t="shared" si="3"/>
        <v>15.47247412</v>
      </c>
    </row>
    <row r="7">
      <c r="A7" s="1">
        <v>6.0</v>
      </c>
      <c r="B7" s="3">
        <v>-1.3955567136647</v>
      </c>
      <c r="C7" s="4">
        <v>0.0062940307454122</v>
      </c>
      <c r="D7" s="1">
        <f t="shared" si="1"/>
        <v>1.395556714</v>
      </c>
      <c r="E7" s="3">
        <v>-2.94936352324832</v>
      </c>
      <c r="F7" s="4">
        <v>0.0140767388087265</v>
      </c>
      <c r="G7" s="1">
        <f t="shared" si="2"/>
        <v>2.949363523</v>
      </c>
      <c r="H7" s="3">
        <v>-13.2410195934294</v>
      </c>
      <c r="I7" s="4">
        <v>0.0650081020311468</v>
      </c>
      <c r="J7" s="5">
        <f t="shared" si="3"/>
        <v>13.24101959</v>
      </c>
    </row>
    <row r="8">
      <c r="A8" s="1">
        <v>7.0</v>
      </c>
      <c r="B8" s="3">
        <v>-0.97387488943705</v>
      </c>
      <c r="C8" s="4">
        <v>0.00439222457696146</v>
      </c>
      <c r="D8" s="1">
        <f t="shared" si="1"/>
        <v>0.9738748894</v>
      </c>
      <c r="E8" s="3">
        <v>-2.2726663151417</v>
      </c>
      <c r="F8" s="4">
        <v>0.0108469945686472</v>
      </c>
      <c r="G8" s="1">
        <f t="shared" si="2"/>
        <v>2.272666315</v>
      </c>
      <c r="H8" s="3">
        <v>-12.9179151178173</v>
      </c>
      <c r="I8" s="4">
        <v>0.0634217884871556</v>
      </c>
      <c r="J8" s="5">
        <f t="shared" si="3"/>
        <v>12.91791512</v>
      </c>
    </row>
    <row r="9">
      <c r="A9" s="1">
        <v>8.0</v>
      </c>
      <c r="B9" s="3">
        <v>-1.55901621965296</v>
      </c>
      <c r="C9" s="4">
        <v>0.00703124131252582</v>
      </c>
      <c r="D9" s="1">
        <f t="shared" si="1"/>
        <v>1.55901622</v>
      </c>
      <c r="E9" s="3">
        <v>-1.92982120667648</v>
      </c>
      <c r="F9" s="4">
        <v>0.00921066150706547</v>
      </c>
      <c r="G9" s="1">
        <f t="shared" si="2"/>
        <v>1.929821207</v>
      </c>
      <c r="H9" s="3">
        <v>-12.6437865789248</v>
      </c>
      <c r="I9" s="4">
        <v>0.0620759271733624</v>
      </c>
      <c r="J9" s="5">
        <f t="shared" si="3"/>
        <v>12.64378658</v>
      </c>
    </row>
    <row r="10">
      <c r="A10" s="1">
        <v>9.0</v>
      </c>
      <c r="B10" s="3">
        <v>-1.59159065007245</v>
      </c>
      <c r="C10" s="4">
        <v>0.00717815362684961</v>
      </c>
      <c r="D10" s="1">
        <f t="shared" si="1"/>
        <v>1.59159065</v>
      </c>
      <c r="E10" s="3">
        <v>-2.01486544087008</v>
      </c>
      <c r="F10" s="4">
        <v>0.00961656110624849</v>
      </c>
      <c r="G10" s="1">
        <f t="shared" si="2"/>
        <v>2.014865441</v>
      </c>
      <c r="H10" s="3">
        <v>-12.5231376034768</v>
      </c>
      <c r="I10" s="4">
        <v>0.0614835890342538</v>
      </c>
      <c r="J10" s="5">
        <f t="shared" si="3"/>
        <v>12.5231376</v>
      </c>
    </row>
    <row r="11">
      <c r="A11" s="1">
        <v>10.0</v>
      </c>
      <c r="B11" s="3">
        <v>-5.62259396436683</v>
      </c>
      <c r="C11" s="4">
        <v>0.0253581806702528</v>
      </c>
      <c r="D11" s="1">
        <f t="shared" si="1"/>
        <v>5.622593964</v>
      </c>
      <c r="E11" s="3">
        <v>-7.84566186493543</v>
      </c>
      <c r="F11" s="4">
        <v>0.0374458190669716</v>
      </c>
      <c r="G11" s="1">
        <f t="shared" si="2"/>
        <v>7.845661865</v>
      </c>
      <c r="H11" s="3">
        <v>-14.9420336049815</v>
      </c>
      <c r="I11" s="4">
        <v>0.0733593994247603</v>
      </c>
      <c r="J11" s="5">
        <f t="shared" si="3"/>
        <v>14.9420336</v>
      </c>
    </row>
    <row r="12">
      <c r="A12" s="1">
        <v>11.0</v>
      </c>
      <c r="B12" s="3">
        <v>-28.978708226395</v>
      </c>
      <c r="C12" s="4">
        <v>0.130695426959968</v>
      </c>
      <c r="D12" s="1">
        <f t="shared" si="1"/>
        <v>28.97870823</v>
      </c>
      <c r="E12" s="3">
        <v>-28.2115083792077</v>
      </c>
      <c r="F12" s="4">
        <v>0.13464804583225</v>
      </c>
      <c r="G12" s="1">
        <f t="shared" si="2"/>
        <v>28.21150838</v>
      </c>
      <c r="H12" s="3">
        <v>-19.1522874679738</v>
      </c>
      <c r="I12" s="4">
        <v>0.0940300593215442</v>
      </c>
      <c r="J12" s="5">
        <f t="shared" si="3"/>
        <v>19.15228747</v>
      </c>
    </row>
    <row r="13">
      <c r="A13" s="1">
        <v>12.0</v>
      </c>
      <c r="B13" s="3">
        <v>-45.4478953983434</v>
      </c>
      <c r="C13" s="4">
        <v>0.204972286794628</v>
      </c>
      <c r="D13" s="1">
        <f t="shared" si="1"/>
        <v>45.4478954</v>
      </c>
      <c r="E13" s="3">
        <v>-40.2314947578336</v>
      </c>
      <c r="F13" s="4">
        <v>0.192017104411375</v>
      </c>
      <c r="G13" s="1">
        <f t="shared" si="2"/>
        <v>40.23149476</v>
      </c>
      <c r="H13" s="3">
        <v>-22.4571226756115</v>
      </c>
      <c r="I13" s="4">
        <v>0.110255476318951</v>
      </c>
      <c r="J13" s="5">
        <f t="shared" si="3"/>
        <v>22.45712268</v>
      </c>
    </row>
  </sheetData>
  <drawing r:id="rId1"/>
</worksheet>
</file>