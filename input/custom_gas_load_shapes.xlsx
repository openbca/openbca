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fication_monthly_gas.csv" sheetId="1" r:id="rId4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<sst xmlns="http://schemas.openxmlformats.org/spreadsheetml/2006/main" count="6" uniqueCount="6">
  <si>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</si>
  <si>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hvac_electrification_previous_ac_therms_impact</t>
  </si>
  <si>
    <t>hvac_electrification_previous_ac_therms_savings</t>
  </si>
  <si>
    <t>hvac_electrification_no_previous_ac_therms_impact</t>
  </si>
  <si>
    <t>hvac_electrification_no_previous_ac_therms_savings</t>
  </si>
  <si>
    <t>avg_total_therms_impact_reporting_year_1_Water Heater Electrification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</si>
</sst>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0"/>
    <col customWidth="1" min="3" max="4" width="67.63"/>
    <col customWidth="1" min="5" max="6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-46.5540533714789</v>
      </c>
      <c r="C2" s="1">
        <f t="shared" ref="C2:C13" si="1">B2*-1</f>
        <v>46.55405337</v>
      </c>
      <c r="D2" s="2">
        <v>-39.2781098379785</v>
      </c>
      <c r="E2" s="1">
        <f t="shared" ref="E2:E13" si="2">D2*-1</f>
        <v>39.27810984</v>
      </c>
      <c r="F2" s="2">
        <v>-21.6600866528713</v>
      </c>
    </row>
    <row r="3">
      <c r="A3" s="1">
        <v>2.0</v>
      </c>
      <c r="B3" s="2">
        <v>-40.7208748931052</v>
      </c>
      <c r="C3" s="1">
        <f t="shared" si="1"/>
        <v>40.72087489</v>
      </c>
      <c r="D3" s="2">
        <v>-35.6461434523601</v>
      </c>
      <c r="E3" s="1">
        <f t="shared" si="2"/>
        <v>35.64614345</v>
      </c>
      <c r="F3" s="2">
        <v>-20.3241170999994</v>
      </c>
    </row>
    <row r="4">
      <c r="A4" s="1">
        <v>3.0</v>
      </c>
      <c r="B4" s="2">
        <v>-32.3700349133002</v>
      </c>
      <c r="C4" s="1">
        <f t="shared" si="1"/>
        <v>32.37003491</v>
      </c>
      <c r="D4" s="2">
        <v>-30.0795470393151</v>
      </c>
      <c r="E4" s="1">
        <f t="shared" si="2"/>
        <v>30.07954704</v>
      </c>
      <c r="F4" s="2">
        <v>-20.694344911584</v>
      </c>
    </row>
    <row r="5">
      <c r="A5" s="1">
        <v>4.0</v>
      </c>
      <c r="B5" s="2">
        <v>-12.4174633056702</v>
      </c>
      <c r="C5" s="1">
        <f t="shared" si="1"/>
        <v>12.41746331</v>
      </c>
      <c r="D5" s="2">
        <v>-13.1840566506422</v>
      </c>
      <c r="E5" s="1">
        <f t="shared" si="2"/>
        <v>13.18405665</v>
      </c>
      <c r="F5" s="2">
        <v>-17.65427997185</v>
      </c>
    </row>
    <row r="6">
      <c r="A6" s="1">
        <v>5.0</v>
      </c>
      <c r="B6" s="2">
        <v>-4.09536264928897</v>
      </c>
      <c r="C6" s="1">
        <f t="shared" si="1"/>
        <v>4.095362649</v>
      </c>
      <c r="D6" s="2">
        <v>-5.8771315069676</v>
      </c>
      <c r="E6" s="1">
        <f t="shared" si="2"/>
        <v>5.877131507</v>
      </c>
      <c r="F6" s="2">
        <v>-15.4724741155788</v>
      </c>
    </row>
    <row r="7">
      <c r="A7" s="1">
        <v>6.0</v>
      </c>
      <c r="B7" s="2">
        <v>-1.3955567136647</v>
      </c>
      <c r="C7" s="1">
        <f t="shared" si="1"/>
        <v>1.395556714</v>
      </c>
      <c r="D7" s="2">
        <v>-2.94936352324832</v>
      </c>
      <c r="E7" s="1">
        <f t="shared" si="2"/>
        <v>2.949363523</v>
      </c>
      <c r="F7" s="2">
        <v>-13.2410195934294</v>
      </c>
    </row>
    <row r="8">
      <c r="A8" s="1">
        <v>7.0</v>
      </c>
      <c r="B8" s="2">
        <v>-0.97387488943705</v>
      </c>
      <c r="C8" s="1">
        <f t="shared" si="1"/>
        <v>0.9738748894</v>
      </c>
      <c r="D8" s="2">
        <v>-2.2726663151417</v>
      </c>
      <c r="E8" s="1">
        <f t="shared" si="2"/>
        <v>2.272666315</v>
      </c>
      <c r="F8" s="2">
        <v>-12.9179151178173</v>
      </c>
    </row>
    <row r="9">
      <c r="A9" s="1">
        <v>8.0</v>
      </c>
      <c r="B9" s="2">
        <v>-1.55901621965296</v>
      </c>
      <c r="C9" s="1">
        <f t="shared" si="1"/>
        <v>1.55901622</v>
      </c>
      <c r="D9" s="2">
        <v>-1.92982120667648</v>
      </c>
      <c r="E9" s="1">
        <f t="shared" si="2"/>
        <v>1.929821207</v>
      </c>
      <c r="F9" s="2">
        <v>-12.6437865789248</v>
      </c>
    </row>
    <row r="10">
      <c r="A10" s="1">
        <v>9.0</v>
      </c>
      <c r="B10" s="2">
        <v>-1.59159065007245</v>
      </c>
      <c r="C10" s="1">
        <f t="shared" si="1"/>
        <v>1.59159065</v>
      </c>
      <c r="D10" s="2">
        <v>-2.01486544087008</v>
      </c>
      <c r="E10" s="1">
        <f t="shared" si="2"/>
        <v>2.014865441</v>
      </c>
      <c r="F10" s="2">
        <v>-12.5231376034768</v>
      </c>
    </row>
    <row r="11">
      <c r="A11" s="1">
        <v>10.0</v>
      </c>
      <c r="B11" s="2">
        <v>-5.62259396436683</v>
      </c>
      <c r="C11" s="1">
        <f t="shared" si="1"/>
        <v>5.622593964</v>
      </c>
      <c r="D11" s="2">
        <v>-7.84566186493543</v>
      </c>
      <c r="E11" s="1">
        <f t="shared" si="2"/>
        <v>7.845661865</v>
      </c>
      <c r="F11" s="2">
        <v>-14.9420336049815</v>
      </c>
    </row>
    <row r="12">
      <c r="A12" s="1">
        <v>11.0</v>
      </c>
      <c r="B12" s="2">
        <v>-28.978708226395</v>
      </c>
      <c r="C12" s="1">
        <f t="shared" si="1"/>
        <v>28.97870823</v>
      </c>
      <c r="D12" s="2">
        <v>-28.2115083792077</v>
      </c>
      <c r="E12" s="1">
        <f t="shared" si="2"/>
        <v>28.21150838</v>
      </c>
      <c r="F12" s="2">
        <v>-19.1522874679738</v>
      </c>
    </row>
    <row r="13">
      <c r="A13" s="1">
        <v>12.0</v>
      </c>
      <c r="B13" s="2">
        <v>-45.4478953983434</v>
      </c>
      <c r="C13" s="1">
        <f t="shared" si="1"/>
        <v>45.4478954</v>
      </c>
      <c r="D13" s="2">
        <v>-40.2314947578336</v>
      </c>
      <c r="E13" s="1">
        <f t="shared" si="2"/>
        <v>40.23149476</v>
      </c>
      <c r="F13" s="2">
        <v>-22.4571226756115</v>
      </c>
    </row>
  </sheetData>
  <drawing r:id="rId1"/>
</worksheet>
</file>